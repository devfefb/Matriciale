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todoOlavo" sheetId="1" state="visible" r:id="rId3"/>
  </sheets>
  <definedNames>
    <definedName function="false" hidden="true" localSheetId="0" name="_xlnm._FilterDatabase" vbProcedure="false">MetodoOlavo!$A$1:$CQ$388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<sst xmlns="http://schemas.openxmlformats.org/spreadsheetml/2006/main" count="814" uniqueCount="467">
  <si>
    <t xml:space="preserve">CLASSIFICAÇÃO</t>
  </si>
  <si>
    <t xml:space="preserve">NOME ITEM</t>
  </si>
  <si>
    <t xml:space="preserve">COD_ITEM</t>
  </si>
  <si>
    <t xml:space="preserve">2023_37</t>
  </si>
  <si>
    <t xml:space="preserve">2023_38</t>
  </si>
  <si>
    <t xml:space="preserve">2023_39</t>
  </si>
  <si>
    <t xml:space="preserve">2023_40</t>
  </si>
  <si>
    <t xml:space="preserve">2023_41</t>
  </si>
  <si>
    <t xml:space="preserve">2023_42</t>
  </si>
  <si>
    <t xml:space="preserve">2023_43</t>
  </si>
  <si>
    <t xml:space="preserve">2023_44</t>
  </si>
  <si>
    <t xml:space="preserve">2023_45</t>
  </si>
  <si>
    <t xml:space="preserve">2023_46</t>
  </si>
  <si>
    <t xml:space="preserve">2023_47</t>
  </si>
  <si>
    <t xml:space="preserve">2023_48</t>
  </si>
  <si>
    <t xml:space="preserve">2023_49</t>
  </si>
  <si>
    <t xml:space="preserve">2023_50</t>
  </si>
  <si>
    <t xml:space="preserve">2023_51</t>
  </si>
  <si>
    <t xml:space="preserve">2023_52</t>
  </si>
  <si>
    <t xml:space="preserve">2024_01</t>
  </si>
  <si>
    <t xml:space="preserve">2024_02</t>
  </si>
  <si>
    <t xml:space="preserve">2024_03</t>
  </si>
  <si>
    <t xml:space="preserve">2024_04</t>
  </si>
  <si>
    <t xml:space="preserve">2024_05</t>
  </si>
  <si>
    <t xml:space="preserve">2024_06</t>
  </si>
  <si>
    <t xml:space="preserve">2024_07</t>
  </si>
  <si>
    <t xml:space="preserve">2024_08</t>
  </si>
  <si>
    <t xml:space="preserve">2024_09</t>
  </si>
  <si>
    <t xml:space="preserve">2024_10</t>
  </si>
  <si>
    <t xml:space="preserve">2024_11</t>
  </si>
  <si>
    <t xml:space="preserve">2024_12</t>
  </si>
  <si>
    <t xml:space="preserve">2024_13</t>
  </si>
  <si>
    <t xml:space="preserve">2024_14</t>
  </si>
  <si>
    <t xml:space="preserve">2024_15</t>
  </si>
  <si>
    <t xml:space="preserve">2024_16</t>
  </si>
  <si>
    <t xml:space="preserve">2024_17</t>
  </si>
  <si>
    <t xml:space="preserve">2024_18</t>
  </si>
  <si>
    <t xml:space="preserve">2024_19</t>
  </si>
  <si>
    <t xml:space="preserve">2024_20</t>
  </si>
  <si>
    <t xml:space="preserve">2024_21</t>
  </si>
  <si>
    <t xml:space="preserve">2024_22</t>
  </si>
  <si>
    <t xml:space="preserve">2024_23</t>
  </si>
  <si>
    <t xml:space="preserve">2024_24</t>
  </si>
  <si>
    <t xml:space="preserve">2024_25</t>
  </si>
  <si>
    <t xml:space="preserve">2024_26</t>
  </si>
  <si>
    <t xml:space="preserve">2024_27</t>
  </si>
  <si>
    <t xml:space="preserve">2024_28</t>
  </si>
  <si>
    <t xml:space="preserve">2024_29</t>
  </si>
  <si>
    <t xml:space="preserve">2024_30</t>
  </si>
  <si>
    <t xml:space="preserve">2024_31</t>
  </si>
  <si>
    <t xml:space="preserve">2024_32</t>
  </si>
  <si>
    <t xml:space="preserve">2024_33</t>
  </si>
  <si>
    <t xml:space="preserve">2024_34</t>
  </si>
  <si>
    <t xml:space="preserve">2024_35</t>
  </si>
  <si>
    <t xml:space="preserve">2024_36</t>
  </si>
  <si>
    <t xml:space="preserve">2024_37</t>
  </si>
  <si>
    <t xml:space="preserve">2024_38</t>
  </si>
  <si>
    <t xml:space="preserve">2024_39</t>
  </si>
  <si>
    <t xml:space="preserve">2024_40</t>
  </si>
  <si>
    <t xml:space="preserve">2024_41</t>
  </si>
  <si>
    <t xml:space="preserve">2024_42</t>
  </si>
  <si>
    <t xml:space="preserve">2024_43</t>
  </si>
  <si>
    <t xml:space="preserve">2024_44</t>
  </si>
  <si>
    <t xml:space="preserve">2024_45</t>
  </si>
  <si>
    <t xml:space="preserve">2024_46</t>
  </si>
  <si>
    <t xml:space="preserve">2024_47</t>
  </si>
  <si>
    <t xml:space="preserve">2024_48</t>
  </si>
  <si>
    <t xml:space="preserve">2024_49</t>
  </si>
  <si>
    <t xml:space="preserve">2024_50</t>
  </si>
  <si>
    <t xml:space="preserve">2024_51</t>
  </si>
  <si>
    <t xml:space="preserve">2024_52</t>
  </si>
  <si>
    <t xml:space="preserve">2025_01</t>
  </si>
  <si>
    <t xml:space="preserve">Total Geral</t>
  </si>
  <si>
    <t xml:space="preserve">Md04</t>
  </si>
  <si>
    <t xml:space="preserve">Md08</t>
  </si>
  <si>
    <t xml:space="preserve">Md12</t>
  </si>
  <si>
    <t xml:space="preserve">Md16</t>
  </si>
  <si>
    <t xml:space="preserve">Md26</t>
  </si>
  <si>
    <t xml:space="preserve">Md52</t>
  </si>
  <si>
    <t xml:space="preserve">MdAno</t>
  </si>
  <si>
    <t xml:space="preserve">MdTt</t>
  </si>
  <si>
    <t xml:space="preserve">Máximo</t>
  </si>
  <si>
    <t xml:space="preserve">Cont04</t>
  </si>
  <si>
    <t xml:space="preserve">Cont08</t>
  </si>
  <si>
    <t xml:space="preserve">Cont12</t>
  </si>
  <si>
    <t xml:space="preserve">Cont16</t>
  </si>
  <si>
    <t xml:space="preserve">Cont26</t>
  </si>
  <si>
    <t xml:space="preserve">Cont52</t>
  </si>
  <si>
    <t xml:space="preserve">ContAno</t>
  </si>
  <si>
    <t xml:space="preserve">ContTt</t>
  </si>
  <si>
    <t xml:space="preserve">TP_Mevimento</t>
  </si>
  <si>
    <t xml:space="preserve">Metodo</t>
  </si>
  <si>
    <t xml:space="preserve">MetEst</t>
  </si>
  <si>
    <t xml:space="preserve">Estoque</t>
  </si>
  <si>
    <t xml:space="preserve">Reposição</t>
  </si>
  <si>
    <t xml:space="preserve">10.REMUME</t>
  </si>
  <si>
    <t xml:space="preserve">AAS - ÁCIDO ACETIL SALICILICO 100MG</t>
  </si>
  <si>
    <t xml:space="preserve">ACICLOVIR 200 MG CPR</t>
  </si>
  <si>
    <t xml:space="preserve">ACICLOVIR 5 % CREME 10 G</t>
  </si>
  <si>
    <t xml:space="preserve">ACIDO FOLICO 5MG</t>
  </si>
  <si>
    <t xml:space="preserve">ACIDO TRANEXÂMICO 250MG - TRANSAMIN</t>
  </si>
  <si>
    <t xml:space="preserve">ACIDO VALPROICO 250 MG</t>
  </si>
  <si>
    <t xml:space="preserve">ACIDO VALPROICO 500MG</t>
  </si>
  <si>
    <t xml:space="preserve">ALBENDAZOL 40 MG/ML FRASCO 10 ML</t>
  </si>
  <si>
    <t xml:space="preserve">ALBENDAZOL 400 MG</t>
  </si>
  <si>
    <t xml:space="preserve">ALOPURINOL  300MG</t>
  </si>
  <si>
    <t xml:space="preserve">ALOPURINOL 100MG</t>
  </si>
  <si>
    <t xml:space="preserve">AMBROXOL XAROPE ADULTO</t>
  </si>
  <si>
    <t xml:space="preserve">AMBROXOL XAROPE INFANTIL</t>
  </si>
  <si>
    <t xml:space="preserve">AMINOFILINA 100 MG</t>
  </si>
  <si>
    <t xml:space="preserve">AMIODARONA, CLORIDRATO  200 MG</t>
  </si>
  <si>
    <t xml:space="preserve">AMITRIPTILINA, CLORIDRATO  25 MG</t>
  </si>
  <si>
    <t xml:space="preserve">AMOXICILINA + CLAVULANATO 500/125 MCG</t>
  </si>
  <si>
    <t xml:space="preserve">AMOXICILINA + CLAVULANATO SUSP 250 MG/5 ML</t>
  </si>
  <si>
    <t xml:space="preserve">AMOXICILINA 250 MG/5ML - 150 ML</t>
  </si>
  <si>
    <t xml:space="preserve">AMOXICILINA 500 MG - CAPSULA</t>
  </si>
  <si>
    <t xml:space="preserve">ANLODIPINO, BESILATO 5MG</t>
  </si>
  <si>
    <t xml:space="preserve">AZITROMICINA 500 MG</t>
  </si>
  <si>
    <t xml:space="preserve">AZITROMICINA SUSP. 200MG/5ML</t>
  </si>
  <si>
    <t xml:space="preserve">BIPERIDENO, CLORIDRATO 2 MG</t>
  </si>
  <si>
    <t xml:space="preserve">BISACODIL 5MG - DULCOLAX</t>
  </si>
  <si>
    <t xml:space="preserve">BROMOPRIDA 10MG CPR</t>
  </si>
  <si>
    <t xml:space="preserve">BROMOPRIDA GTS</t>
  </si>
  <si>
    <t xml:space="preserve">BUSCOPAM COMPOSTO  GOTAS</t>
  </si>
  <si>
    <t xml:space="preserve">BUSCOPAM COMPOSTO CPR</t>
  </si>
  <si>
    <t xml:space="preserve">BUSCOPAM SIMPLES CP</t>
  </si>
  <si>
    <t xml:space="preserve">BUSCOPAM SIMPLES GOTAS</t>
  </si>
  <si>
    <t xml:space="preserve">CAPTOPRIL 25 MG</t>
  </si>
  <si>
    <t xml:space="preserve">CARBAMAZEPINA 200 MG</t>
  </si>
  <si>
    <t xml:space="preserve">CARBAMAZEPINA SUSP. 100 ML- 20 MG/ML</t>
  </si>
  <si>
    <t xml:space="preserve">CARBONATO DE CALCIO 1.250MG</t>
  </si>
  <si>
    <t xml:space="preserve">CARBONATO DE CALCIO 1.250MG + VITAMINA D 400UI</t>
  </si>
  <si>
    <t xml:space="preserve">CARBONATO DE LITIO 300 MG</t>
  </si>
  <si>
    <t xml:space="preserve">CARVEDILOL 12,5 MG</t>
  </si>
  <si>
    <t xml:space="preserve">CARVEDILOL 25 MG</t>
  </si>
  <si>
    <t xml:space="preserve">CARVEDILOL 6,25 MG</t>
  </si>
  <si>
    <t xml:space="preserve">CEFALEXINA 500 MG</t>
  </si>
  <si>
    <t xml:space="preserve">CEFALEXINA SUSPENSÃO 250 MG/ 5 ML</t>
  </si>
  <si>
    <t xml:space="preserve">CEFTRIAXONA 1 G - PÓ P/ SOL. INJ EV</t>
  </si>
  <si>
    <t xml:space="preserve">CERUMIN GOTAS</t>
  </si>
  <si>
    <t xml:space="preserve">CETOCONAZOL + BETAMETASONA POMADA 30 GR</t>
  </si>
  <si>
    <t xml:space="preserve">CETOCONAZOL 200 MG</t>
  </si>
  <si>
    <t xml:space="preserve">CETOPROFENO 50 MG</t>
  </si>
  <si>
    <t xml:space="preserve">CICLOBENZAPRINA 5MG</t>
  </si>
  <si>
    <t xml:space="preserve">CILOSTAZOL 100 MG</t>
  </si>
  <si>
    <t xml:space="preserve">CIMEGRIPE GTS</t>
  </si>
  <si>
    <t xml:space="preserve">CIMETIDINA 200MG COMPRIMIDO</t>
  </si>
  <si>
    <t xml:space="preserve">CINARIZINA 75MG</t>
  </si>
  <si>
    <t xml:space="preserve">CIPROFLOXACINO 500MG</t>
  </si>
  <si>
    <t xml:space="preserve">CLARITROMICINA 500 MG</t>
  </si>
  <si>
    <t xml:space="preserve">CLOMIPRAMINA, CLORIDRATO 25 MG</t>
  </si>
  <si>
    <t xml:space="preserve">CLONAZEPAM 2,5 MG/ ML - GOTAS</t>
  </si>
  <si>
    <t xml:space="preserve">CLONAZEPAM 2MG</t>
  </si>
  <si>
    <t xml:space="preserve">CLORPROMAZINA, CLORIDRATO 100MG</t>
  </si>
  <si>
    <t xml:space="preserve">CLORPROMAZINA, CLORIDRATO 25MG</t>
  </si>
  <si>
    <t xml:space="preserve">COMPLEXO B CP</t>
  </si>
  <si>
    <t xml:space="preserve">DECONGEX PLUS GOTAS</t>
  </si>
  <si>
    <t xml:space="preserve">DELTAMETRINA 0,2MG/ML</t>
  </si>
  <si>
    <t xml:space="preserve">DEXAMETASONA 0,5 MG/5ML- ELIXIR</t>
  </si>
  <si>
    <t xml:space="preserve">DEXAMETASONA 0.1% CREME 10 GR</t>
  </si>
  <si>
    <t xml:space="preserve">DEXCLORFENIRAMINA + BETAMETASONA SUSP ORAL 120</t>
  </si>
  <si>
    <t xml:space="preserve">DEXCLORFENIRAMINA, MALEATO  2MG/5ML - SUSPENSÃO</t>
  </si>
  <si>
    <t xml:space="preserve">DIAZEPAM 10 MG</t>
  </si>
  <si>
    <t xml:space="preserve">DICLOFENACO 50 MG</t>
  </si>
  <si>
    <t xml:space="preserve">DIGOXINA 0.25 MG</t>
  </si>
  <si>
    <t xml:space="preserve">DIOSMINA + HESPERIDINA 450/50 MG</t>
  </si>
  <si>
    <t xml:space="preserve">DIPIRONA SÓDICA COMPRIMIDO 500MG</t>
  </si>
  <si>
    <t xml:space="preserve">DIPIRONA SÓDICA GOTAS 500 MG / ML 10 ML</t>
  </si>
  <si>
    <t xml:space="preserve">DOXAZOSINA 2 MG</t>
  </si>
  <si>
    <t xml:space="preserve">DOXAZOSINA MESILATO 4MG</t>
  </si>
  <si>
    <t xml:space="preserve">DRAMIN  GOTAS</t>
  </si>
  <si>
    <t xml:space="preserve">DROPROPIZINA 1,5 MG/ML -XAROPE PEDIATRICO</t>
  </si>
  <si>
    <t xml:space="preserve">DROPROPIZINA 3 MG/ML - XAROPE ADULTO</t>
  </si>
  <si>
    <t xml:space="preserve">ENALAPRIL 10MG</t>
  </si>
  <si>
    <t xml:space="preserve">ENOXAPARINA SÓDICA 40 MG/0,4ML - CLEXANE</t>
  </si>
  <si>
    <t xml:space="preserve">ESPIRONOLACTONA 25 MG</t>
  </si>
  <si>
    <t xml:space="preserve">ESTRIOL 1MG/G - CR VAGINAL 50 GR</t>
  </si>
  <si>
    <t xml:space="preserve">FENITOINA 100 MG</t>
  </si>
  <si>
    <t xml:space="preserve">FENOBARBITAL 100 MG</t>
  </si>
  <si>
    <t xml:space="preserve">FENOBARBITAL 40 MG/ML - GOTAS</t>
  </si>
  <si>
    <t xml:space="preserve">FINASTERIDA 5 MG</t>
  </si>
  <si>
    <t xml:space="preserve">FLUCONAZOL 150 MG</t>
  </si>
  <si>
    <t xml:space="preserve">FLUOXETINA, CLORIDRATO 20 MG</t>
  </si>
  <si>
    <t xml:space="preserve">FUROSEMIDA 40MG</t>
  </si>
  <si>
    <t xml:space="preserve">GLIBENCLAMIDA 5 MG.</t>
  </si>
  <si>
    <t xml:space="preserve">GLICLAZIDA 30 MG</t>
  </si>
  <si>
    <t xml:space="preserve">GLICLAZIDA 60 MG</t>
  </si>
  <si>
    <t xml:space="preserve">HALOPERIDOL 5MG</t>
  </si>
  <si>
    <t xml:space="preserve">HIDROCLOROTIAZIADA 25MG</t>
  </si>
  <si>
    <t xml:space="preserve">HIDROXIDO DE ALUMINIO 6.2% SUSP</t>
  </si>
  <si>
    <t xml:space="preserve">IBUPROFENO 100MG/ML -  GOTAS</t>
  </si>
  <si>
    <t xml:space="preserve">IBUPROFENO 300 MG</t>
  </si>
  <si>
    <t xml:space="preserve">IBUPROFENO 50MG/ML - GOTAS</t>
  </si>
  <si>
    <t xml:space="preserve">IMIPRAMINA 25 MG</t>
  </si>
  <si>
    <t xml:space="preserve">ITRACONAZOL 100 MG</t>
  </si>
  <si>
    <t xml:space="preserve">IVERMECTINA 6 MG</t>
  </si>
  <si>
    <t xml:space="preserve">LEVODOPA + BENSERAZIDA 100/25MG - PROLOPA BD</t>
  </si>
  <si>
    <t xml:space="preserve">LEVODOPA + BENSERAZIDA 200/50MG - PROLOPA</t>
  </si>
  <si>
    <t xml:space="preserve">LEVOFLOXACINO 500 MG</t>
  </si>
  <si>
    <t xml:space="preserve">LEVOMEPROMAZINA 100 MG</t>
  </si>
  <si>
    <t xml:space="preserve">LEVOMEPROMAZINA 25MG</t>
  </si>
  <si>
    <t xml:space="preserve">LEVONORGESTREL 0,15MG+ETINILESTRADIOL 0,03MG- CICLO 21</t>
  </si>
  <si>
    <t xml:space="preserve">LEVONORGESTREL 0,75 MG</t>
  </si>
  <si>
    <t xml:space="preserve">LEVOTIROXINA SÓDICA 100MCG</t>
  </si>
  <si>
    <t xml:space="preserve">LEVOTIROXINA SODICA 25 MG</t>
  </si>
  <si>
    <t xml:space="preserve">LEVOTIROXINA SODICA 50MCG</t>
  </si>
  <si>
    <t xml:space="preserve">LORATADINA 1 MG/ML - XAROPE</t>
  </si>
  <si>
    <t xml:space="preserve">LORATADINA 10 MG</t>
  </si>
  <si>
    <t xml:space="preserve">METFORMINA, CLORIDRATO 850MG</t>
  </si>
  <si>
    <t xml:space="preserve">METILDOPA 250 MG</t>
  </si>
  <si>
    <t xml:space="preserve">METOCLOPRAMIDA 10 MG</t>
  </si>
  <si>
    <t xml:space="preserve">METOPROLOL 100 MG</t>
  </si>
  <si>
    <t xml:space="preserve">METOPROLOL 25 MG</t>
  </si>
  <si>
    <t xml:space="preserve">METOPROLOL 50 MG</t>
  </si>
  <si>
    <t xml:space="preserve">METRONIDAZOL 100 MG/G - GEL VAGINAL</t>
  </si>
  <si>
    <t xml:space="preserve">METRONIDAZOL 250 MG</t>
  </si>
  <si>
    <t xml:space="preserve">METRONIDAZOL 40 MG/ML -  SUSPENSÃO ORAL</t>
  </si>
  <si>
    <t xml:space="preserve">MICONAZOL, NITRATO 0,02 MG/G -  80 G CREME VAGINAL</t>
  </si>
  <si>
    <t xml:space="preserve">NEOMICINA + BACITRACINA POMADA</t>
  </si>
  <si>
    <t xml:space="preserve">NIFEDIPINA 20MG</t>
  </si>
  <si>
    <t xml:space="preserve">NIMESULIDA 100 MG  CP</t>
  </si>
  <si>
    <t xml:space="preserve">NIMESULIDA GTS</t>
  </si>
  <si>
    <t xml:space="preserve">NIMODIPINO 30 MG</t>
  </si>
  <si>
    <t xml:space="preserve">NISTATINA 100.000 SUSP FRASCO 60 ML</t>
  </si>
  <si>
    <t xml:space="preserve">NISTATINA POMADA VAG.</t>
  </si>
  <si>
    <t xml:space="preserve">NITROFURANTOINA 100MG CAPSULA</t>
  </si>
  <si>
    <t xml:space="preserve">NORFLOXACINO 400MG</t>
  </si>
  <si>
    <t xml:space="preserve">NORTRIPTILINA, CLORIDRATO 25 MG</t>
  </si>
  <si>
    <t xml:space="preserve">OLEO MINERAL 100 ML</t>
  </si>
  <si>
    <t xml:space="preserve">OMEPRAZOL 20MG</t>
  </si>
  <si>
    <t xml:space="preserve">OXCARBAMAZEPINA 60 MG/ML SUSP ORAL</t>
  </si>
  <si>
    <t xml:space="preserve">OXCARBAZEPINA 300 MG</t>
  </si>
  <si>
    <t xml:space="preserve">PARACETAMOL + CODEINA 500/30 MG</t>
  </si>
  <si>
    <t xml:space="preserve">PARACETAMOL 200 MG/ ML -  FRASCO 15 ML GOTAS</t>
  </si>
  <si>
    <t xml:space="preserve">PARACETAMOL 500 MG - COMP</t>
  </si>
  <si>
    <t xml:space="preserve">PARACETAMOL 750 MG</t>
  </si>
  <si>
    <t xml:space="preserve">PENTOXIFILINA 400 MG</t>
  </si>
  <si>
    <t xml:space="preserve">PERMANGANTO DE POTASSIO 100 MG</t>
  </si>
  <si>
    <t xml:space="preserve">PERMETRINA 5%</t>
  </si>
  <si>
    <t xml:space="preserve">PERMETRINA 5% LOÇÃO</t>
  </si>
  <si>
    <t xml:space="preserve">PHOSFOENEMA 130ML</t>
  </si>
  <si>
    <t xml:space="preserve">POLIVITAMINICO GTS</t>
  </si>
  <si>
    <t xml:space="preserve">POMADA PARA ASSADURA ( NIST+ OX ZINCO) PMD</t>
  </si>
  <si>
    <t xml:space="preserve">PREDNISOLONA 3MG/ML, FOSFATO SODICO DE</t>
  </si>
  <si>
    <t xml:space="preserve">PREDNISONA 20 MG</t>
  </si>
  <si>
    <t xml:space="preserve">PREDNISONA 5 MG - CP</t>
  </si>
  <si>
    <t xml:space="preserve">PROMETAZINA 25 MG</t>
  </si>
  <si>
    <t xml:space="preserve">PROPRANOLOL 40MG</t>
  </si>
  <si>
    <t xml:space="preserve">RIFOCINA SPRAY</t>
  </si>
  <si>
    <t xml:space="preserve">SAIS P/REIDRATAÇÃO ORAL</t>
  </si>
  <si>
    <t xml:space="preserve">SALBUTAMOL, SULFATO 100 MCG/ DOSE -  AEROSOL</t>
  </si>
  <si>
    <t xml:space="preserve">SERTRALINA 50MG</t>
  </si>
  <si>
    <t xml:space="preserve">SIMETICONA GTS</t>
  </si>
  <si>
    <t xml:space="preserve">SINVASTATINA 20MG</t>
  </si>
  <si>
    <t xml:space="preserve">SORO NASAL ADULTO -30 ML</t>
  </si>
  <si>
    <t xml:space="preserve">SORO NASAL INFANTIL/ADULTO -30 ML</t>
  </si>
  <si>
    <t xml:space="preserve">SULFADIAZINA DE PRATA 0,01</t>
  </si>
  <si>
    <t xml:space="preserve">SULFAM. + TRIMETROP. 40 + 8 MG/ML - SUSPENSÃO ORAL 100 ML</t>
  </si>
  <si>
    <t xml:space="preserve">SULFAMET. +TRIMETOPRIMA  400 + 80MG</t>
  </si>
  <si>
    <t xml:space="preserve">SULFATO FERROSO 25 MG/ML - GOTAS</t>
  </si>
  <si>
    <t xml:space="preserve">SULFATO FERROSO 40 MG</t>
  </si>
  <si>
    <t xml:space="preserve">SUPLEMENTO VITAMINICO A-Z</t>
  </si>
  <si>
    <t xml:space="preserve">TIAMAZOL 5MG</t>
  </si>
  <si>
    <t xml:space="preserve">TIAMINA 300 MG - CP</t>
  </si>
  <si>
    <t xml:space="preserve">TIBOLONA 1,25MG</t>
  </si>
  <si>
    <t xml:space="preserve">TOBRAMICINA 0,3 % COLIRIO - FRASCO 5 ML</t>
  </si>
  <si>
    <t xml:space="preserve">TORVAL 500MG</t>
  </si>
  <si>
    <t xml:space="preserve">VALPROATO DE SÓDIO 50 MG/ML - XPE</t>
  </si>
  <si>
    <t xml:space="preserve">VARFARINA SODICA 5MG - MAREVAN</t>
  </si>
  <si>
    <t xml:space="preserve">VITAMINA D3 7.000 UI</t>
  </si>
  <si>
    <t xml:space="preserve">11.REMUME PA</t>
  </si>
  <si>
    <t xml:space="preserve">BISSULFATO DE CLOPIDOGREL 75 MG</t>
  </si>
  <si>
    <t xml:space="preserve">ISOSSORBIDA, DINITRATO 5 MG - SUB LINGUAL</t>
  </si>
  <si>
    <t xml:space="preserve">20.ASSISTENCIAL</t>
  </si>
  <si>
    <t xml:space="preserve">ACETILCISTEINA 600 MG - FLUIMUCIL</t>
  </si>
  <si>
    <t xml:space="preserve">ACIDO FUSIDICO + VALERATO DE BETAMETASONA CREME</t>
  </si>
  <si>
    <t xml:space="preserve">ARIPIPRAZOL 20MG/ML SUSP GTS</t>
  </si>
  <si>
    <t xml:space="preserve">BACLOFENO 10 MG</t>
  </si>
  <si>
    <t xml:space="preserve">BETAISTINA, DICLORIDRATO 16MG</t>
  </si>
  <si>
    <t xml:space="preserve">BIOVISC ORTHO SINGLE 90MG 3ML</t>
  </si>
  <si>
    <t xml:space="preserve">BOLSA DE OSTOMIA DRENAVEL SOFT CONVEXA</t>
  </si>
  <si>
    <t xml:space="preserve">BUPROPIONA 150 MG - ASSISTENCIAL</t>
  </si>
  <si>
    <t xml:space="preserve">BUPROPIONA XL 150 MG</t>
  </si>
  <si>
    <t xml:space="preserve">CETAPHIL LOCAO HIDRATANTE</t>
  </si>
  <si>
    <t xml:space="preserve">CILODEX COLIRIO</t>
  </si>
  <si>
    <t xml:space="preserve">CINTO P/ BOLSA DE OSTOMIA</t>
  </si>
  <si>
    <t xml:space="preserve">CIPROFLOXACINO + DEXAMETASONA COLIRIO</t>
  </si>
  <si>
    <t xml:space="preserve">CITONEURIN 5000 MCG</t>
  </si>
  <si>
    <t xml:space="preserve">CLINDAMICINA, CLORIDRATO 300 MG</t>
  </si>
  <si>
    <t xml:space="preserve">CLINDOXYL GEL</t>
  </si>
  <si>
    <t xml:space="preserve">CLOBAZAM 10MG (URBANIL)</t>
  </si>
  <si>
    <t xml:space="preserve">CLONIDINA 0,150MG - ATENSINA</t>
  </si>
  <si>
    <t xml:space="preserve">COLCHICINA0,5MG</t>
  </si>
  <si>
    <t xml:space="preserve">CREATINA PROBIOTICA PURA</t>
  </si>
  <si>
    <t xml:space="preserve">CROMOLERG 4%</t>
  </si>
  <si>
    <t xml:space="preserve">DEXAMETASONA 4 MG</t>
  </si>
  <si>
    <t xml:space="preserve">DOMPERIDONA 10 MG</t>
  </si>
  <si>
    <t xml:space="preserve">DORZOLAMIDA 2%</t>
  </si>
  <si>
    <t xml:space="preserve">DOXICICLINA 100MG</t>
  </si>
  <si>
    <t xml:space="preserve">DOZEMAST 1000MCG</t>
  </si>
  <si>
    <t xml:space="preserve">DULOXETINA, CLORIDRATO 60MG</t>
  </si>
  <si>
    <t xml:space="preserve">EMPAGLIFLOZINA 25MG (JARDIANCE)</t>
  </si>
  <si>
    <t xml:space="preserve">ENSURE LATA 400G</t>
  </si>
  <si>
    <t xml:space="preserve">ENTEROGERMINA</t>
  </si>
  <si>
    <t xml:space="preserve">ESCITALOPRAM 20MG</t>
  </si>
  <si>
    <t xml:space="preserve">ESPAÇADOR P/ MEDICAMENTO ADULTO E INFANTILL</t>
  </si>
  <si>
    <t xml:space="preserve">ESPIRAMICINA 1,5 MG CP</t>
  </si>
  <si>
    <t xml:space="preserve">FLUTINOL COLIRIO</t>
  </si>
  <si>
    <t xml:space="preserve">FORXIGA 10MG (DAPAGLIFLOZINA)</t>
  </si>
  <si>
    <t xml:space="preserve">FOSFOMICINA TROMETAMOL - MONURIL</t>
  </si>
  <si>
    <t xml:space="preserve">GLUCERNA 400G</t>
  </si>
  <si>
    <t xml:space="preserve">HIDROXIZINA XAROPE</t>
  </si>
  <si>
    <t xml:space="preserve">HIDROXIZINA, DICLORIDRATO DE 25 MG</t>
  </si>
  <si>
    <t xml:space="preserve">IMPACT NUTRICAO ORAL E ENTERAL</t>
  </si>
  <si>
    <t xml:space="preserve">INELATTE 800DKM</t>
  </si>
  <si>
    <t xml:space="preserve">ISOSOURCE 1.5</t>
  </si>
  <si>
    <t xml:space="preserve">IZIZ C/28</t>
  </si>
  <si>
    <t xml:space="preserve">LACTULOSE XAROPE 120 ML</t>
  </si>
  <si>
    <t xml:space="preserve">LEITE APTAMIL 1 - LATA 8000 G</t>
  </si>
  <si>
    <t xml:space="preserve">LEITE APTAMIL AR 800G</t>
  </si>
  <si>
    <t xml:space="preserve">LEITE APTAMIL PREMIUM 1 - LATA 800G</t>
  </si>
  <si>
    <t xml:space="preserve">LEITE APTAMIL PRO EXPERT SOJA</t>
  </si>
  <si>
    <t xml:space="preserve">LEITE NAN COMFOR 1 - LATA 800 G</t>
  </si>
  <si>
    <t xml:space="preserve">LEITE NAN COMFOR 2 - LATA 800 G</t>
  </si>
  <si>
    <t xml:space="preserve">LEITE NAN ESPESSAR- LATA 800 G</t>
  </si>
  <si>
    <t xml:space="preserve">LEITE NAN SUPREME 1- 800G</t>
  </si>
  <si>
    <t xml:space="preserve">LEITE NESTOGENO 1 - LATA 800G</t>
  </si>
  <si>
    <t xml:space="preserve">LEITE NINHO FASE I</t>
  </si>
  <si>
    <t xml:space="preserve">LISDEXANFETAMINA, DIMESILATO DE 30MG - VENVANSE</t>
  </si>
  <si>
    <t xml:space="preserve">LOPERAMIDA 2 MG</t>
  </si>
  <si>
    <t xml:space="preserve">LURASIDONA, CLORIDRATO DE 40MG (LATUDA)</t>
  </si>
  <si>
    <t xml:space="preserve">MAXIDEX - DEXAMETASONA 1MG/ML COLIRIO</t>
  </si>
  <si>
    <t xml:space="preserve">MAXIDRATE GEL HIDRATANTE</t>
  </si>
  <si>
    <t xml:space="preserve">MEIA 3/4 20-30MM</t>
  </si>
  <si>
    <t xml:space="preserve">MELOXICAM 15MG</t>
  </si>
  <si>
    <t xml:space="preserve">METILCOBALAMINA 1.000MCG - DOZEMAST - MECOBE</t>
  </si>
  <si>
    <t xml:space="preserve">METILFENIDATO 10 MG</t>
  </si>
  <si>
    <t xml:space="preserve">x</t>
  </si>
  <si>
    <t xml:space="preserve">MIRTAZAPINA 15MG</t>
  </si>
  <si>
    <t xml:space="preserve">MIRTAZAPINA 15MG COMPRIMIDO</t>
  </si>
  <si>
    <t xml:space="preserve">MIRTAZAPINA 30MG</t>
  </si>
  <si>
    <t xml:space="preserve">NALTREXONA 50 MG</t>
  </si>
  <si>
    <t xml:space="preserve">NEOCATE LCP</t>
  </si>
  <si>
    <t xml:space="preserve">NEULEPTIL - PERICIAZINA 40MG/ML</t>
  </si>
  <si>
    <t xml:space="preserve">NUTRASENIOR 400 GR</t>
  </si>
  <si>
    <t xml:space="preserve">NUTREN SENIOR</t>
  </si>
  <si>
    <t xml:space="preserve">OFTPRED COLIRIO</t>
  </si>
  <si>
    <t xml:space="preserve">OLMESARTANA 40MG</t>
  </si>
  <si>
    <t xml:space="preserve">ONDANSETRONA 4 MG</t>
  </si>
  <si>
    <t xml:space="preserve">ONDANSETRONA 8 MG</t>
  </si>
  <si>
    <t xml:space="preserve">PANT SPRAY</t>
  </si>
  <si>
    <t xml:space="preserve">PANTOPRAZOL 20 MG</t>
  </si>
  <si>
    <t xml:space="preserve">PANTOPRAZOL 40 MG</t>
  </si>
  <si>
    <t xml:space="preserve">PARACETAMOL + TRAMADOL 325/37,5MG</t>
  </si>
  <si>
    <t xml:space="preserve">PAROXETINA 12,5MG - PONDERA XR</t>
  </si>
  <si>
    <t xml:space="preserve">PAROXETINA 20 MG</t>
  </si>
  <si>
    <t xml:space="preserve">PIRACETAM 400 MG</t>
  </si>
  <si>
    <t xml:space="preserve">PREGABALINA 100MG - PREBICTAL</t>
  </si>
  <si>
    <t xml:space="preserve">PREGABALINA 75MG - LYRICA</t>
  </si>
  <si>
    <t xml:space="preserve">PREVDERM SPRAY 50ML</t>
  </si>
  <si>
    <t xml:space="preserve">PROPAFENONA 300 MG</t>
  </si>
  <si>
    <t xml:space="preserve">QUETIAPINA 100MG</t>
  </si>
  <si>
    <t xml:space="preserve">RISPERIDONA 1 MG/ML SOLUÇÃO</t>
  </si>
  <si>
    <t xml:space="preserve">RISPERIDONA 1MG</t>
  </si>
  <si>
    <t xml:space="preserve">RIVAROXABANA 10 MG (XARELTO)</t>
  </si>
  <si>
    <t xml:space="preserve">RIVAROXABANA 15 MG (XARELTO)</t>
  </si>
  <si>
    <t xml:space="preserve">RIVAROXABANA 20MG (XARELTO)</t>
  </si>
  <si>
    <t xml:space="preserve">SALBUTAMOL GOTAS</t>
  </si>
  <si>
    <t xml:space="preserve">SILIMARINA 200MG (FIGMED)</t>
  </si>
  <si>
    <t xml:space="preserve">SUSTAGEN ADULTOS+</t>
  </si>
  <si>
    <t xml:space="preserve">TAMARINE CP</t>
  </si>
  <si>
    <t xml:space="preserve">TRAMADOL 100 MG</t>
  </si>
  <si>
    <t xml:space="preserve">TRAMADOL 50MG</t>
  </si>
  <si>
    <t xml:space="preserve">TRAZODONA, CLORIDRATO 50MG</t>
  </si>
  <si>
    <t xml:space="preserve">TRIADE MULHER</t>
  </si>
  <si>
    <t xml:space="preserve">TROK-G (BETAMETASONA+ GENTAMICINA) POMADA</t>
  </si>
  <si>
    <t xml:space="preserve">TROPHIC BASIC NUTRICAO ENTERAL E ORAL 800G</t>
  </si>
  <si>
    <t xml:space="preserve">URSACOL 300 MG - ÁCIDO URSODESOXICOLICO</t>
  </si>
  <si>
    <t xml:space="preserve">VENLAFAXINA 75 MG</t>
  </si>
  <si>
    <t xml:space="preserve">VITAMINA D 15.000UI</t>
  </si>
  <si>
    <t xml:space="preserve">VITAMINA D 200 UI - GOTAS</t>
  </si>
  <si>
    <t xml:space="preserve">VITAMINA D 2000UI</t>
  </si>
  <si>
    <t xml:space="preserve">VITAMINA E</t>
  </si>
  <si>
    <t xml:space="preserve">ZIPRASIDONA, CLORIDRATO DE 40MG (GEODON)</t>
  </si>
  <si>
    <t xml:space="preserve">30.FARMACOLÓGICO</t>
  </si>
  <si>
    <t xml:space="preserve">AMIODARONA 50MG/ML - AMP</t>
  </si>
  <si>
    <t xml:space="preserve">CETOPROFENO 100 MG - EV</t>
  </si>
  <si>
    <t xml:space="preserve">ROCURÔNIO 50 MG/ 5 ML - IV</t>
  </si>
  <si>
    <t xml:space="preserve">31.FARMACO FARMÁCIA</t>
  </si>
  <si>
    <t xml:space="preserve">ADENOSINA 3MG/2ML - AMP</t>
  </si>
  <si>
    <t xml:space="preserve">AMINOFILINA 24 MG/ML</t>
  </si>
  <si>
    <t xml:space="preserve">ATROPINA, SULFATO 0,50MG/ML</t>
  </si>
  <si>
    <t xml:space="preserve">CLONIDINA, CLORIDRATO DE 150MCG/ML</t>
  </si>
  <si>
    <t xml:space="preserve">CLORETO DE POTASSIO 19,1% - 10 ML</t>
  </si>
  <si>
    <t xml:space="preserve">CLORETO DE SODIO 20% - 10 ML</t>
  </si>
  <si>
    <t xml:space="preserve">CLORPROMAZINA 25MG/5ML INJ</t>
  </si>
  <si>
    <t xml:space="preserve">DIAZEPAM 10 MG/ 2ML - AMP</t>
  </si>
  <si>
    <t xml:space="preserve">DIFENIDRAMINA 50 MG/ML - AMP</t>
  </si>
  <si>
    <t xml:space="preserve">DOBUTAMINA 12,5MG/ML</t>
  </si>
  <si>
    <t xml:space="preserve">DOPAMINA 5 MG/ ML</t>
  </si>
  <si>
    <t xml:space="preserve">EPINEFRINA 1MG/ML</t>
  </si>
  <si>
    <t xml:space="preserve">ETOMIDATO 2 MG/ML - AMP</t>
  </si>
  <si>
    <t xml:space="preserve">FENITOINA 50 MG / ML- AMPOLA</t>
  </si>
  <si>
    <t xml:space="preserve">FENOBARBITAL 200 MG/ ML - AMPOLA</t>
  </si>
  <si>
    <t xml:space="preserve">FENTANILA,CITRATO 78,5MCG/5ML EQUIVALENTE A 50MCG</t>
  </si>
  <si>
    <t xml:space="preserve">FLUMAZENIL 0,1 MG/ 5 ML SOL INJ.</t>
  </si>
  <si>
    <t xml:space="preserve">GLICONATO DE CALCIO 10% - AMP</t>
  </si>
  <si>
    <t xml:space="preserve">HALOPERIDOL 5 MG /ML - AMPOLA</t>
  </si>
  <si>
    <t xml:space="preserve">HEPARINA SÓDICA 5.000 UI</t>
  </si>
  <si>
    <t xml:space="preserve">HIDRALAZINA 20 MG/ML - AMPOLAS</t>
  </si>
  <si>
    <t xml:space="preserve">METOPROLOL 1 MG/ML - AMPOLA</t>
  </si>
  <si>
    <t xml:space="preserve">MIDAZOLAM, CLORIDRATO 5MG/ML 10ML</t>
  </si>
  <si>
    <t xml:space="preserve">MIDAZOLAM, CLORIDRATO 5MG/ML 3ML</t>
  </si>
  <si>
    <t xml:space="preserve">MORFINA 10MG/ML INJ</t>
  </si>
  <si>
    <t xml:space="preserve">MORFINA 1MG/ML INJ</t>
  </si>
  <si>
    <t xml:space="preserve">NALOXONA, CLORIDRATO DE 0,4 MG/ 1 ML</t>
  </si>
  <si>
    <t xml:space="preserve">NITROGLICERINA 5 MG/ML - TRIDIL</t>
  </si>
  <si>
    <t xml:space="preserve">NITROPRUSSETO DE SÓDIO 25 MG/ML - NITROP</t>
  </si>
  <si>
    <t xml:space="preserve">NOREPINEFRINA 2MG/4ML - AMP</t>
  </si>
  <si>
    <t xml:space="preserve">OMEPRAZOL SODICO PO INJETAVEL</t>
  </si>
  <si>
    <t xml:space="preserve">PETIDINA 50MG/ML(DOLANTINA)</t>
  </si>
  <si>
    <t xml:space="preserve">PROMETAZINA 50 MG/ 2ML</t>
  </si>
  <si>
    <t xml:space="preserve">SULFATO DE MAGNESIO 10%</t>
  </si>
  <si>
    <t xml:space="preserve">SUXAMETONIO 100MG SUSP INJ</t>
  </si>
  <si>
    <t xml:space="preserve">TERBUTALINA 0,5MG/ML</t>
  </si>
  <si>
    <t xml:space="preserve">TESTE RAPIDO COMBO (COVID-19/ INFLUENZA A/B)</t>
  </si>
  <si>
    <t xml:space="preserve">TESTE RAPIDO DE GRAVIDEZ</t>
  </si>
  <si>
    <t xml:space="preserve">TRAMADOL 50MG/ML(TRAMAL)- AMP</t>
  </si>
  <si>
    <t xml:space="preserve">39.FARMACOLÓGICO</t>
  </si>
  <si>
    <t xml:space="preserve">CEFTRIAXONA 1 G - PÓ P/ SOL. INJ IM</t>
  </si>
  <si>
    <t xml:space="preserve">CEFTRIAXONA 500 MG INJ -IM</t>
  </si>
  <si>
    <t xml:space="preserve">HALOPERIDOL,DECANOATO 70,52MG/ML</t>
  </si>
  <si>
    <t xml:space="preserve">MEDROXIPROGESTERONA, ACETATO 150MG/ML (DEPOPROVERA)</t>
  </si>
  <si>
    <t xml:space="preserve">NORETISTERONA + ESTRADIOL 50 + 5 MG/ML  (MESIGYNA) INJETAVEL</t>
  </si>
  <si>
    <t xml:space="preserve">NORIPURUM INJ</t>
  </si>
  <si>
    <t xml:space="preserve">OXITOCINA 5UI/ML</t>
  </si>
  <si>
    <t xml:space="preserve">40.MATERIAL</t>
  </si>
  <si>
    <t xml:space="preserve">AGULHA PARA CANETA DE INSULINA 4MM</t>
  </si>
  <si>
    <t xml:space="preserve">SORO MANITOL 250ML</t>
  </si>
  <si>
    <t xml:space="preserve">41.MATERIAL PA</t>
  </si>
  <si>
    <t xml:space="preserve">TALA METALICA</t>
  </si>
  <si>
    <t xml:space="preserve">TESTE DE TROPONINA CARDIACA</t>
  </si>
  <si>
    <t xml:space="preserve">50.PROCESSO JUDICIAL</t>
  </si>
  <si>
    <t xml:space="preserve">AGULHA PARA CANETA DE INSULINA 6MM</t>
  </si>
  <si>
    <t xml:space="preserve">INSULINA NOVORRAPID FLEX PEN</t>
  </si>
  <si>
    <t xml:space="preserve">INSULINA TRESIBA FLEX PEN</t>
  </si>
  <si>
    <t xml:space="preserve">OFEV - ESILATO DE NINTEDANIBE 100MG</t>
  </si>
  <si>
    <t xml:space="preserve">70.FRALDAS</t>
  </si>
  <si>
    <t xml:space="preserve">FRALDA DESC GERIATRICA - G</t>
  </si>
  <si>
    <t xml:space="preserve">FRALDA DESC GERIATRICA - M</t>
  </si>
  <si>
    <t xml:space="preserve">FRALDA DESC GERIATRICA - P</t>
  </si>
  <si>
    <t xml:space="preserve">FRALDA DESC GERIATRICA - XG</t>
  </si>
  <si>
    <t xml:space="preserve">FRALDA DESC GERIATRICA - XXG</t>
  </si>
  <si>
    <t xml:space="preserve">80.DRS</t>
  </si>
  <si>
    <t xml:space="preserve">FOSFATO OSELTAMIVIR 30MG - TAMIFLU</t>
  </si>
  <si>
    <t xml:space="preserve">FOSFATO OSELTAMIVIR 45 MG - TAMIFLU</t>
  </si>
  <si>
    <t xml:space="preserve">FOSFATO OSELTAMIVIR 75 MG - TAMIFLU</t>
  </si>
  <si>
    <t xml:space="preserve">INSULINA HUMANA NPH 100 UI/ML - CANETA</t>
  </si>
  <si>
    <t xml:space="preserve">INSULINA HUMANA NPH 100 UI/ML - FRASCO 10 ML</t>
  </si>
  <si>
    <t xml:space="preserve">INSULINA HUMANA REGULAR 100 UI/ ML - FRASCO 10 ML</t>
  </si>
  <si>
    <t xml:space="preserve">INSULINA HUMANA REGULAR 100 UI/ML - CANETA</t>
  </si>
  <si>
    <t xml:space="preserve">90.TABAGISMO</t>
  </si>
  <si>
    <t xml:space="preserve">ADESIVO NICOTINA 14 MG</t>
  </si>
  <si>
    <t xml:space="preserve">ADESIVO NICOTINA 21 MG</t>
  </si>
  <si>
    <t xml:space="preserve">ADESIVO NICOTINA 7 MG</t>
  </si>
  <si>
    <t xml:space="preserve">BUPROPIONA 150 MG - TABAGISMO</t>
  </si>
  <si>
    <t xml:space="preserve">GOMA NICOTINA 2 MG (NICORETTE)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</si>
</sst>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00,000,000"/>
    <numFmt numFmtId="166" formatCode="#,##0_ ;[RED]\-#,##0\ "/>
  </numFmts>
  <fonts count="8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b val="true"/>
      <sz val="10"/>
      <color theme="1"/>
      <name val="Calibri"/>
      <family val="0"/>
      <charset val="1"/>
    </font>
    <font>
      <sz val="10"/>
      <color theme="1"/>
      <name val="Calibri"/>
      <family val="0"/>
      <charset val="1"/>
    </font>
    <font>
      <sz val="10"/>
      <color rgb="FF000000"/>
      <name val="Calibri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808080"/>
        <bgColor rgb="FF969696"/>
      </patternFill>
    </fill>
    <fill>
      <patternFill patternType="solid">
        <fgColor rgb="FFD9E2F3"/>
        <bgColor rgb="FFBDD6EE"/>
      </patternFill>
    </fill>
    <fill>
      <patternFill patternType="solid">
        <fgColor rgb="FFFFFF99"/>
        <bgColor rgb="FFFFFFCC"/>
      </patternFill>
    </fill>
    <fill>
      <patternFill patternType="solid">
        <fgColor rgb="FFF4B083"/>
        <bgColor rgb="FFFF8080"/>
      </patternFill>
    </fill>
    <fill>
      <patternFill patternType="solid">
        <fgColor rgb="FFC5E0B3"/>
        <bgColor rgb="FFBDD6EE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9900"/>
      </patternFill>
    </fill>
    <fill>
      <patternFill patternType="solid">
        <fgColor rgb="FFBDD6EE"/>
        <bgColor rgb="FFD9E2F3"/>
      </patternFill>
    </fill>
    <fill>
      <patternFill patternType="solid">
        <fgColor rgb="FFFFE89F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8EAADB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1" applyFont="true" applyBorder="true" applyAlignment="true" applyProtection="false">
      <alignment horizontal="general" vertical="bottom" textRotation="0" wrapText="false" indent="0" shrinkToFit="false"/>
    </xf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0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6" fontId="7" fillId="5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6" fontId="7" fillId="5" borderId="0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6" fontId="7" fillId="6" borderId="0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6" fontId="7" fillId="7" borderId="0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6" fontId="7" fillId="8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6" fontId="7" fillId="8" borderId="0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6" fontId="7" fillId="9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6" fontId="7" fillId="9" borderId="0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6" fontId="7" fillId="1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6" fontId="7" fillId="10" borderId="0" xfId="0" applyFont="true" applyBorder="true" applyAlignment="true" applyProtection="false">
      <alignment horizontal="right" vertical="top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estaque 2" xfId="20"/>
  </cellStyles>
  <dxfs count="12">
    <dxf>
      <fill>
        <patternFill patternType="solid">
          <fgColor rgb="FF80808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E2F3"/>
          <bgColor rgb="FF000000"/>
        </patternFill>
      </fill>
    </dxf>
    <dxf>
      <fill>
        <patternFill patternType="solid">
          <fgColor rgb="FFFFFF99"/>
          <bgColor rgb="FF000000"/>
        </patternFill>
      </fill>
    </dxf>
    <dxf>
      <fill>
        <patternFill patternType="solid">
          <fgColor rgb="FFBDD6EE"/>
          <bgColor rgb="FF000000"/>
        </patternFill>
      </fill>
    </dxf>
    <dxf>
      <fill>
        <patternFill patternType="solid">
          <fgColor rgb="FFF4B083"/>
          <bgColor rgb="FF000000"/>
        </patternFill>
      </fill>
    </dxf>
    <dxf>
      <fill>
        <patternFill patternType="solid">
          <fgColor rgb="FFFFC000"/>
          <bgColor rgb="FF000000"/>
        </patternFill>
      </fill>
    </dxf>
    <dxf>
      <fill>
        <patternFill patternType="solid">
          <fgColor rgb="FFFFE89F"/>
          <bgColor rgb="FF000000"/>
        </patternFill>
      </fill>
    </dxf>
    <dxf>
      <fill>
        <patternFill patternType="solid">
          <fgColor rgb="FFC5E0B3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3"/>
      <rgbColor rgb="FF808080"/>
      <rgbColor rgb="FF8EAADB"/>
      <rgbColor rgb="FF993366"/>
      <rgbColor rgb="FFFFFFCC"/>
      <rgbColor rgb="FFD9E2F3"/>
      <rgbColor rgb="FF660066"/>
      <rgbColor rgb="FFFF8080"/>
      <rgbColor rgb="FF0066CC"/>
      <rgbColor rgb="FFBDD6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4B083"/>
      <rgbColor rgb="FFCC99FF"/>
      <rgbColor rgb="FFFFE89F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R388"/>
  <sheetViews>
    <sheetView showFormulas="false" showGridLines="true" showRowColHeaders="true" showZeros="true" rightToLeft="false" tabSelected="true" showOutlineSymbols="true" defaultGridColor="true" view="normal" topLeftCell="BP4" colorId="64" zoomScale="100" zoomScaleNormal="100" zoomScalePageLayoutView="100" workbookViewId="0">
      <selection pane="topLeft" activeCell="BV4" activeCellId="0" sqref="BV4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19.86"/>
    <col collapsed="false" customWidth="true" hidden="false" outlineLevel="0" max="2" min="2" style="0" width="49.43"/>
    <col collapsed="false" customWidth="true" hidden="false" outlineLevel="0" max="3" min="3" style="0" width="14.29"/>
    <col collapsed="false" customWidth="true" hidden="false" outlineLevel="0" max="72" min="4" style="0" width="10.14"/>
    <col collapsed="false" customWidth="true" hidden="false" outlineLevel="0" max="82" min="73" style="0" width="9.14"/>
    <col collapsed="false" customWidth="true" hidden="false" outlineLevel="0" max="88" min="83" style="0" width="9"/>
    <col collapsed="false" customWidth="true" hidden="false" outlineLevel="0" max="89" min="89" style="0" width="10.14"/>
    <col collapsed="false" customWidth="true" hidden="false" outlineLevel="0" max="90" min="90" style="0" width="8.57"/>
    <col collapsed="false" customWidth="true" hidden="false" outlineLevel="0" max="91" min="91" style="0" width="14.57"/>
    <col collapsed="false" customWidth="true" hidden="false" outlineLevel="0" max="96" min="92" style="0" width="9.14"/>
  </cols>
  <sheetData>
    <row r="1" customFormat="false" ht="12.75" hidden="false" customHeight="true" outlineLevel="0" collapsed="false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  <c r="CF1" s="5" t="s">
        <v>83</v>
      </c>
      <c r="CG1" s="5" t="s">
        <v>84</v>
      </c>
      <c r="CH1" s="5" t="s">
        <v>85</v>
      </c>
      <c r="CI1" s="5" t="s">
        <v>86</v>
      </c>
      <c r="CJ1" s="5" t="s">
        <v>87</v>
      </c>
      <c r="CK1" s="5" t="s">
        <v>88</v>
      </c>
      <c r="CL1" s="5" t="s">
        <v>89</v>
      </c>
      <c r="CM1" s="6" t="s">
        <v>90</v>
      </c>
      <c r="CN1" s="5" t="s">
        <v>91</v>
      </c>
      <c r="CO1" s="5" t="s">
        <v>92</v>
      </c>
      <c r="CP1" s="5" t="s">
        <v>93</v>
      </c>
      <c r="CQ1" s="5" t="s">
        <v>94</v>
      </c>
      <c r="CR1" s="7"/>
    </row>
    <row r="2" customFormat="false" ht="12.75" hidden="false" customHeight="true" outlineLevel="0" collapsed="false">
      <c r="A2" s="7" t="s">
        <v>95</v>
      </c>
      <c r="B2" s="7" t="s">
        <v>96</v>
      </c>
      <c r="C2" s="8" t="n">
        <v>21001092</v>
      </c>
      <c r="D2" s="9" t="n">
        <v>150</v>
      </c>
      <c r="E2" s="9" t="n">
        <v>770</v>
      </c>
      <c r="F2" s="9" t="n">
        <v>1160</v>
      </c>
      <c r="G2" s="9" t="n">
        <v>790</v>
      </c>
      <c r="H2" s="9" t="n">
        <v>480</v>
      </c>
      <c r="I2" s="9" t="n">
        <v>1150</v>
      </c>
      <c r="J2" s="9" t="n">
        <v>730</v>
      </c>
      <c r="K2" s="9" t="n">
        <v>480</v>
      </c>
      <c r="L2" s="9"/>
      <c r="M2" s="9" t="n">
        <v>960</v>
      </c>
      <c r="N2" s="9" t="n">
        <v>1140</v>
      </c>
      <c r="O2" s="9" t="n">
        <v>710</v>
      </c>
      <c r="P2" s="9" t="n">
        <v>920</v>
      </c>
      <c r="Q2" s="9" t="n">
        <v>750</v>
      </c>
      <c r="R2" s="9" t="n">
        <v>750</v>
      </c>
      <c r="S2" s="9" t="n">
        <v>960</v>
      </c>
      <c r="T2" s="9" t="n">
        <v>850</v>
      </c>
      <c r="U2" s="9" t="n">
        <v>850</v>
      </c>
      <c r="V2" s="9" t="n">
        <v>930</v>
      </c>
      <c r="W2" s="9" t="n">
        <v>942</v>
      </c>
      <c r="X2" s="9" t="n">
        <v>690</v>
      </c>
      <c r="Y2" s="9" t="n">
        <v>600</v>
      </c>
      <c r="Z2" s="9" t="n">
        <v>508</v>
      </c>
      <c r="AA2" s="9" t="n">
        <v>960</v>
      </c>
      <c r="AB2" s="9" t="n">
        <v>780</v>
      </c>
      <c r="AC2" s="9" t="n">
        <v>990</v>
      </c>
      <c r="AD2" s="9" t="n">
        <v>640</v>
      </c>
      <c r="AE2" s="9" t="n">
        <v>600</v>
      </c>
      <c r="AF2" s="9" t="n">
        <v>720</v>
      </c>
      <c r="AG2" s="9" t="n">
        <v>1360</v>
      </c>
      <c r="AH2" s="9" t="n">
        <v>980</v>
      </c>
      <c r="AI2" s="9" t="n">
        <v>980</v>
      </c>
      <c r="AJ2" s="9" t="n">
        <v>1180</v>
      </c>
      <c r="AK2" s="9" t="n">
        <v>730</v>
      </c>
      <c r="AL2" s="9" t="n">
        <v>940</v>
      </c>
      <c r="AM2" s="9" t="n">
        <v>690</v>
      </c>
      <c r="AN2" s="9" t="n">
        <v>930</v>
      </c>
      <c r="AO2" s="9" t="n">
        <v>840</v>
      </c>
      <c r="AP2" s="9" t="n">
        <v>720</v>
      </c>
      <c r="AQ2" s="9" t="n">
        <v>810</v>
      </c>
      <c r="AR2" s="9" t="n">
        <v>600</v>
      </c>
      <c r="AS2" s="9" t="n">
        <v>780</v>
      </c>
      <c r="AT2" s="9" t="n">
        <v>810</v>
      </c>
      <c r="AU2" s="9" t="n">
        <v>660</v>
      </c>
      <c r="AV2" s="9" t="n">
        <v>310</v>
      </c>
      <c r="AW2" s="9" t="n">
        <v>780</v>
      </c>
      <c r="AX2" s="9" t="n">
        <v>900</v>
      </c>
      <c r="AY2" s="9" t="n">
        <v>570</v>
      </c>
      <c r="AZ2" s="9" t="n">
        <v>510</v>
      </c>
      <c r="BA2" s="9" t="n">
        <v>600</v>
      </c>
      <c r="BB2" s="9" t="n">
        <v>540</v>
      </c>
      <c r="BC2" s="9" t="n">
        <v>930</v>
      </c>
      <c r="BD2" s="9" t="n">
        <v>450</v>
      </c>
      <c r="BE2" s="9" t="n">
        <v>420</v>
      </c>
      <c r="BF2" s="9" t="n">
        <v>510</v>
      </c>
      <c r="BG2" s="9" t="n">
        <v>820</v>
      </c>
      <c r="BH2" s="9" t="n">
        <v>540</v>
      </c>
      <c r="BI2" s="9" t="n">
        <v>480</v>
      </c>
      <c r="BJ2" s="9" t="n">
        <v>480</v>
      </c>
      <c r="BK2" s="9" t="n">
        <v>780</v>
      </c>
      <c r="BL2" s="9" t="n">
        <v>720</v>
      </c>
      <c r="BM2" s="9" t="n">
        <v>420</v>
      </c>
      <c r="BN2" s="9" t="n">
        <v>720</v>
      </c>
      <c r="BO2" s="9" t="n">
        <v>540</v>
      </c>
      <c r="BP2" s="9" t="n">
        <v>780</v>
      </c>
      <c r="BQ2" s="9" t="n">
        <v>420</v>
      </c>
      <c r="BR2" s="9" t="n">
        <v>720</v>
      </c>
      <c r="BS2" s="9" t="n">
        <v>570</v>
      </c>
      <c r="BT2" s="9" t="n">
        <v>540</v>
      </c>
      <c r="BU2" s="10" t="n">
        <v>50020</v>
      </c>
      <c r="BV2" s="11" t="n">
        <f aca="false">IF(ISERROR(ROUND(MEDIAN(BQ2:BT2),0)),0,ROUND(MEDIAN(BQ2:BT2),0))</f>
        <v>555</v>
      </c>
      <c r="BW2" s="11" t="n">
        <f aca="false">IF(ISERROR(ROUND(MEDIAN(BM2:BT2),0)),0,ROUND(MEDIAN(BM2:BT2),0))</f>
        <v>555</v>
      </c>
      <c r="BX2" s="11" t="n">
        <f aca="false">IF(ISERROR(ROUND(MEDIAN(BI2:BT2),0)),0,ROUND(MEDIAN(BI2:BT2),0))</f>
        <v>555</v>
      </c>
      <c r="BY2" s="11" t="n">
        <f aca="false">IF(ISERROR(ROUND(MEDIAN(BE2:BT2),0)),0,ROUND(MEDIAN(BE2:BT2),0))</f>
        <v>540</v>
      </c>
      <c r="BZ2" s="11" t="n">
        <f aca="false">IF(ISERROR(ROUND(MEDIAN(AU2:BT2),0)),0,ROUND(MEDIAN(AU2:BT2),0))</f>
        <v>555</v>
      </c>
      <c r="CA2" s="12" t="n">
        <f aca="false">IF(ISERROR(ROUND(MEDIAN(U2:BT2),0)),0,ROUND(MEDIAN(U2:BT2),0))</f>
        <v>720</v>
      </c>
      <c r="CB2" s="12" t="n">
        <f aca="false">IF(ISERROR(ROUND(MEDIAN(BT2),0)),0,ROUND(MEDIAN(BT2),0))</f>
        <v>540</v>
      </c>
      <c r="CC2" s="12" t="n">
        <f aca="false">IF(ISERROR(ROUND(MEDIAN(D2:BT2),0)),0,ROUND(MEDIAN(D2:BT2),0))</f>
        <v>730</v>
      </c>
      <c r="CD2" s="12" t="n">
        <f aca="false">MAX(D2:BT2)</f>
        <v>1360</v>
      </c>
      <c r="CE2" s="7" t="n">
        <f aca="false">COUNTA(BQ2:BT2)</f>
        <v>4</v>
      </c>
      <c r="CF2" s="7" t="n">
        <f aca="false">COUNTA(BM2:BT2)</f>
        <v>8</v>
      </c>
      <c r="CG2" s="7" t="n">
        <f aca="false">COUNTA(BI2:BT2)</f>
        <v>12</v>
      </c>
      <c r="CH2" s="7" t="n">
        <f aca="false">COUNTA(BE2:BT2)</f>
        <v>16</v>
      </c>
      <c r="CI2" s="7" t="n">
        <f aca="false">COUNTA(AU2:BT2)</f>
        <v>26</v>
      </c>
      <c r="CJ2" s="7" t="n">
        <f aca="false">COUNTA(U2:BT2)</f>
        <v>52</v>
      </c>
      <c r="CK2" s="7" t="n">
        <f aca="false">COUNTA(BT2)</f>
        <v>1</v>
      </c>
      <c r="CL2" s="7" t="n">
        <f aca="false">COUNTA(D2:BT2)</f>
        <v>68</v>
      </c>
      <c r="CM2" s="13" t="str">
        <f aca="false">IF(AND(CE2=1,CJ2=1,BT2&lt;&gt;""),"5.ENTRANTES",IF(AND(CE2&lt;&gt;0,CE2/RIGHT($CE$1,1)&gt;=0.5,CJ2=CE2),"4.RECENTES",IF(AND(CF2&lt;&gt;0,CF2/RIGHT($CF$1,1)&gt;=0.5,CJ2=CF2),"4.RECENTES",IF(AND(CG2&lt;&gt;0,CG2/RIGHT($CG$1,2)&gt;=0.5,CJ2=CG2),"4.RECENTES",IF(AND(CH2&lt;&gt;0,CH2/RIGHT($CH$1,2)&gt;=0.5,CJ2=CH2),"4.RECENTES",IF(AND(CI2&lt;&gt;0,CI2/RIGHT($CI$1,2)&gt;=0.5,CJ2=CI2),"4.RECENTES",IF(AND(CE2=0,CF2=0,CG2=0,CH2=0),"3.INATIVOS",IF(CJ2/RIGHT($CJ$1,2)&lt;0.5,"2.INTERMITENTES","1.ORDINÁRIOS"))))))))</f>
        <v>1.ORDINÁRIOS</v>
      </c>
      <c r="CN2" s="14" t="n">
        <f aca="false">IF(AND(CE2=1,CJ2=1,BT2&lt;&gt;""),BT2,IF(AND(CE2&lt;&gt;0,CE2/RIGHT($CE$1,1)&gt;=0.5,CJ2=CE2),MAX(BV2:CC2),IF(AND(CF2&lt;&gt;0,CF2/RIGHT($CF$1,1)&gt;=0.5,CJ2=CF2),MAX(BV2:CC2),IF(AND(CG2&lt;&gt;0,CG2/RIGHT($CG$1,2)&gt;=0.5,CJ2=CG2),MAX(BV2:CC2),IF(AND(CH2&lt;&gt;0,CH2/RIGHT($CH$1,2)&gt;=0.5,CJ2=CH2),MAX(BV2:CC2),IF(AND(CI2&lt;&gt;0,CI2/RIGHT($CI$1,2)&gt;=0.5,CJ2=CI2),MAX(BV2:CC2),IF(AND(CE2=0,CF2=0,CG2=0,CH2=0),0,IF(CJ2/RIGHT($CJ$1,2)&lt;0.5,ROUND(BU2/RIGHT($CJ$1,2),0),MAX(BV2:CC2)))))))))</f>
        <v>730</v>
      </c>
      <c r="CO2" s="14" t="n">
        <f aca="false">CN2*3</f>
        <v>2190</v>
      </c>
      <c r="CP2" s="15" t="n">
        <v>1320</v>
      </c>
      <c r="CQ2" s="16" t="n">
        <f aca="false">IF((CO2-CP2)&lt;0,0,(CO2-CP2))</f>
        <v>870</v>
      </c>
      <c r="CR2" s="7"/>
    </row>
    <row r="3" customFormat="false" ht="12.75" hidden="false" customHeight="true" outlineLevel="0" collapsed="false">
      <c r="A3" s="7" t="s">
        <v>95</v>
      </c>
      <c r="B3" s="7" t="s">
        <v>97</v>
      </c>
      <c r="C3" s="8" t="n">
        <v>301002001</v>
      </c>
      <c r="D3" s="9"/>
      <c r="E3" s="9" t="n">
        <v>60</v>
      </c>
      <c r="F3" s="9" t="n">
        <v>140</v>
      </c>
      <c r="G3" s="9" t="n">
        <v>160</v>
      </c>
      <c r="H3" s="9"/>
      <c r="I3" s="9"/>
      <c r="J3" s="9" t="n">
        <v>6</v>
      </c>
      <c r="K3" s="9"/>
      <c r="L3" s="9"/>
      <c r="M3" s="9" t="n">
        <v>140</v>
      </c>
      <c r="N3" s="9" t="n">
        <v>30</v>
      </c>
      <c r="O3" s="9" t="n">
        <v>580</v>
      </c>
      <c r="P3" s="9"/>
      <c r="Q3" s="9"/>
      <c r="R3" s="9" t="n">
        <v>110</v>
      </c>
      <c r="S3" s="9" t="n">
        <v>162</v>
      </c>
      <c r="T3" s="9" t="n">
        <v>55</v>
      </c>
      <c r="U3" s="9" t="n">
        <v>225</v>
      </c>
      <c r="V3" s="9" t="n">
        <v>80</v>
      </c>
      <c r="W3" s="9" t="n">
        <v>30</v>
      </c>
      <c r="X3" s="9"/>
      <c r="Y3" s="9"/>
      <c r="Z3" s="9" t="n">
        <v>30</v>
      </c>
      <c r="AA3" s="9" t="n">
        <v>30</v>
      </c>
      <c r="AB3" s="9" t="n">
        <v>240</v>
      </c>
      <c r="AC3" s="9" t="n">
        <v>160</v>
      </c>
      <c r="AD3" s="9" t="n">
        <v>30</v>
      </c>
      <c r="AE3" s="9"/>
      <c r="AF3" s="9"/>
      <c r="AG3" s="9" t="n">
        <v>30</v>
      </c>
      <c r="AH3" s="9" t="n">
        <v>200</v>
      </c>
      <c r="AI3" s="9" t="n">
        <v>110</v>
      </c>
      <c r="AJ3" s="9" t="n">
        <v>260</v>
      </c>
      <c r="AK3" s="9" t="n">
        <v>265</v>
      </c>
      <c r="AL3" s="9" t="n">
        <v>60</v>
      </c>
      <c r="AM3" s="9" t="n">
        <v>30</v>
      </c>
      <c r="AN3" s="9" t="n">
        <v>50</v>
      </c>
      <c r="AO3" s="9"/>
      <c r="AP3" s="9" t="n">
        <v>180</v>
      </c>
      <c r="AQ3" s="9" t="n">
        <v>92</v>
      </c>
      <c r="AR3" s="9" t="n">
        <v>210</v>
      </c>
      <c r="AS3" s="9" t="n">
        <v>430</v>
      </c>
      <c r="AT3" s="9" t="n">
        <v>300</v>
      </c>
      <c r="AU3" s="9" t="n">
        <v>225</v>
      </c>
      <c r="AV3" s="9" t="n">
        <v>115</v>
      </c>
      <c r="AW3" s="9"/>
      <c r="AX3" s="9" t="n">
        <v>300</v>
      </c>
      <c r="AY3" s="9" t="n">
        <v>270</v>
      </c>
      <c r="AZ3" s="9" t="n">
        <v>103</v>
      </c>
      <c r="BA3" s="9" t="n">
        <v>10</v>
      </c>
      <c r="BB3" s="9" t="n">
        <v>240</v>
      </c>
      <c r="BC3" s="9"/>
      <c r="BD3" s="9" t="n">
        <v>90</v>
      </c>
      <c r="BE3" s="9" t="n">
        <v>120</v>
      </c>
      <c r="BF3" s="9" t="n">
        <v>140</v>
      </c>
      <c r="BG3" s="9" t="n">
        <v>190</v>
      </c>
      <c r="BH3" s="9" t="n">
        <v>270</v>
      </c>
      <c r="BI3" s="9"/>
      <c r="BJ3" s="9" t="n">
        <v>220</v>
      </c>
      <c r="BK3" s="9"/>
      <c r="BL3" s="9" t="n">
        <v>130</v>
      </c>
      <c r="BM3" s="9" t="n">
        <v>70</v>
      </c>
      <c r="BN3" s="9" t="n">
        <v>50</v>
      </c>
      <c r="BO3" s="9" t="n">
        <v>120</v>
      </c>
      <c r="BP3" s="9" t="n">
        <v>120</v>
      </c>
      <c r="BQ3" s="9"/>
      <c r="BR3" s="9" t="n">
        <v>90</v>
      </c>
      <c r="BS3" s="9"/>
      <c r="BT3" s="9" t="n">
        <v>100</v>
      </c>
      <c r="BU3" s="10" t="n">
        <v>7458</v>
      </c>
      <c r="BV3" s="11" t="n">
        <f aca="false">IF(ISERROR(ROUND(MEDIAN(BQ3:BT3),0)),0,ROUND(MEDIAN(BQ3:BT3),0))</f>
        <v>95</v>
      </c>
      <c r="BW3" s="11" t="n">
        <f aca="false">IF(ISERROR(ROUND(MEDIAN(BM3:BT3),0)),0,ROUND(MEDIAN(BM3:BT3),0))</f>
        <v>95</v>
      </c>
      <c r="BX3" s="11" t="n">
        <f aca="false">IF(ISERROR(ROUND(MEDIAN(BI3:BT3),0)),0,ROUND(MEDIAN(BI3:BT3),0))</f>
        <v>110</v>
      </c>
      <c r="BY3" s="11" t="n">
        <f aca="false">IF(ISERROR(ROUND(MEDIAN(BE3:BT3),0)),0,ROUND(MEDIAN(BE3:BT3),0))</f>
        <v>120</v>
      </c>
      <c r="BZ3" s="11" t="n">
        <f aca="false">IF(ISERROR(ROUND(MEDIAN(AU3:BT3),0)),0,ROUND(MEDIAN(AU3:BT3),0))</f>
        <v>120</v>
      </c>
      <c r="CA3" s="12" t="n">
        <f aca="false">IF(ISERROR(ROUND(MEDIAN(U3:BT3),0)),0,ROUND(MEDIAN(U3:BT3),0))</f>
        <v>120</v>
      </c>
      <c r="CB3" s="12" t="n">
        <f aca="false">IF(ISERROR(ROUND(MEDIAN(BT3),0)),0,ROUND(MEDIAN(BT3),0))</f>
        <v>100</v>
      </c>
      <c r="CC3" s="12" t="n">
        <f aca="false">IF(ISERROR(ROUND(MEDIAN(D3:BT3),0)),0,ROUND(MEDIAN(D3:BT3),0))</f>
        <v>120</v>
      </c>
      <c r="CD3" s="12" t="n">
        <f aca="false">MAX(D3:BT3)</f>
        <v>580</v>
      </c>
      <c r="CE3" s="7" t="n">
        <f aca="false">COUNTA(BQ3:BT3)</f>
        <v>2</v>
      </c>
      <c r="CF3" s="7" t="n">
        <f aca="false">COUNTA(BM3:BT3)</f>
        <v>6</v>
      </c>
      <c r="CG3" s="7" t="n">
        <f aca="false">COUNTA(BI3:BT3)</f>
        <v>8</v>
      </c>
      <c r="CH3" s="7" t="n">
        <f aca="false">COUNTA(BE3:BT3)</f>
        <v>12</v>
      </c>
      <c r="CI3" s="7" t="n">
        <f aca="false">COUNTA(AU3:BT3)</f>
        <v>20</v>
      </c>
      <c r="CJ3" s="7" t="n">
        <f aca="false">COUNTA(U3:BT3)</f>
        <v>41</v>
      </c>
      <c r="CK3" s="7" t="n">
        <f aca="false">COUNTA(BT3)</f>
        <v>1</v>
      </c>
      <c r="CL3" s="7" t="n">
        <f aca="false">COUNTA(D3:BT3)</f>
        <v>51</v>
      </c>
      <c r="CM3" s="13" t="str">
        <f aca="false">IF(AND(CE3=1,CJ3=1,BT3&lt;&gt;""),"5.ENTRANTES",IF(AND(CE3&lt;&gt;0,CE3/RIGHT($CE$1,1)&gt;=0.5,CJ3=CE3),"4.RECENTES",IF(AND(CF3&lt;&gt;0,CF3/RIGHT($CF$1,1)&gt;=0.5,CJ3=CF3),"4.RECENTES",IF(AND(CG3&lt;&gt;0,CG3/RIGHT($CG$1,2)&gt;=0.5,CJ3=CG3),"4.RECENTES",IF(AND(CH3&lt;&gt;0,CH3/RIGHT($CH$1,2)&gt;=0.5,CJ3=CH3),"4.RECENTES",IF(AND(CI3&lt;&gt;0,CI3/RIGHT($CI$1,2)&gt;=0.5,CJ3=CI3),"4.RECENTES",IF(AND(CE3=0,CF3=0,CG3=0,CH3=0),"3.INATIVOS",IF(CJ3/RIGHT($CJ$1,2)&lt;0.5,"2.INTERMITENTES","1.ORDINÁRIOS"))))))))</f>
        <v>1.ORDINÁRIOS</v>
      </c>
      <c r="CN3" s="14" t="n">
        <f aca="false">IF(AND(CE3=1,CJ3=1,BT3&lt;&gt;""),BT3,IF(AND(CE3&lt;&gt;0,CE3/RIGHT($CE$1,1)&gt;=0.5,CJ3=CE3),MAX(BV3:CC3),IF(AND(CF3&lt;&gt;0,CF3/RIGHT($CF$1,1)&gt;=0.5,CJ3=CF3),MAX(BV3:CC3),IF(AND(CG3&lt;&gt;0,CG3/RIGHT($CG$1,2)&gt;=0.5,CJ3=CG3),MAX(BV3:CC3),IF(AND(CH3&lt;&gt;0,CH3/RIGHT($CH$1,2)&gt;=0.5,CJ3=CH3),MAX(BV3:CC3),IF(AND(CI3&lt;&gt;0,CI3/RIGHT($CI$1,2)&gt;=0.5,CJ3=CI3),MAX(BV3:CC3),IF(AND(CE3=0,CF3=0,CG3=0,CH3=0),0,IF(CJ3/RIGHT($CJ$1,2)&lt;0.5,ROUND(BU3/RIGHT($CJ$1,2),0),MAX(BV3:CC3)))))))))</f>
        <v>120</v>
      </c>
      <c r="CO3" s="14" t="n">
        <f aca="false">CN3*3</f>
        <v>360</v>
      </c>
      <c r="CP3" s="15" t="n">
        <v>10</v>
      </c>
      <c r="CQ3" s="16" t="n">
        <f aca="false">IF((CO3-CP3)&lt;0,0,(CO3-CP3))</f>
        <v>350</v>
      </c>
      <c r="CR3" s="7"/>
    </row>
    <row r="4" customFormat="false" ht="12.75" hidden="false" customHeight="true" outlineLevel="0" collapsed="false">
      <c r="A4" s="7" t="s">
        <v>95</v>
      </c>
      <c r="B4" s="7" t="s">
        <v>98</v>
      </c>
      <c r="C4" s="8" t="n">
        <v>301002002</v>
      </c>
      <c r="D4" s="9" t="n">
        <v>2</v>
      </c>
      <c r="E4" s="9" t="n">
        <v>6</v>
      </c>
      <c r="F4" s="9" t="n">
        <v>9</v>
      </c>
      <c r="G4" s="9" t="n">
        <v>13</v>
      </c>
      <c r="H4" s="9" t="n">
        <v>1</v>
      </c>
      <c r="I4" s="9" t="n">
        <v>3</v>
      </c>
      <c r="J4" s="9" t="n">
        <v>6</v>
      </c>
      <c r="K4" s="9" t="n">
        <v>2</v>
      </c>
      <c r="L4" s="9" t="n">
        <v>2</v>
      </c>
      <c r="M4" s="9" t="n">
        <v>2</v>
      </c>
      <c r="N4" s="9" t="n">
        <v>3</v>
      </c>
      <c r="O4" s="9" t="n">
        <v>19</v>
      </c>
      <c r="P4" s="9" t="n">
        <v>1</v>
      </c>
      <c r="Q4" s="9" t="n">
        <v>5</v>
      </c>
      <c r="R4" s="9" t="n">
        <v>9</v>
      </c>
      <c r="S4" s="9" t="n">
        <v>3</v>
      </c>
      <c r="T4" s="9" t="n">
        <v>1</v>
      </c>
      <c r="U4" s="9" t="n">
        <v>8</v>
      </c>
      <c r="V4" s="9" t="n">
        <v>4</v>
      </c>
      <c r="W4" s="9"/>
      <c r="X4" s="9" t="n">
        <v>3</v>
      </c>
      <c r="Y4" s="9" t="n">
        <v>2</v>
      </c>
      <c r="Z4" s="9" t="n">
        <v>7</v>
      </c>
      <c r="AA4" s="9" t="n">
        <v>13</v>
      </c>
      <c r="AB4" s="9" t="n">
        <v>9</v>
      </c>
      <c r="AC4" s="9" t="n">
        <v>4</v>
      </c>
      <c r="AD4" s="9" t="n">
        <v>9</v>
      </c>
      <c r="AE4" s="9" t="n">
        <v>3</v>
      </c>
      <c r="AF4" s="9"/>
      <c r="AG4" s="9"/>
      <c r="AH4" s="9" t="n">
        <v>2</v>
      </c>
      <c r="AI4" s="9"/>
      <c r="AJ4" s="9" t="n">
        <v>9</v>
      </c>
      <c r="AK4" s="9" t="n">
        <v>14</v>
      </c>
      <c r="AL4" s="9" t="n">
        <v>9</v>
      </c>
      <c r="AM4" s="9" t="n">
        <v>4</v>
      </c>
      <c r="AN4" s="9" t="n">
        <v>6</v>
      </c>
      <c r="AO4" s="9" t="n">
        <v>4</v>
      </c>
      <c r="AP4" s="9" t="n">
        <v>5</v>
      </c>
      <c r="AQ4" s="9" t="n">
        <v>13</v>
      </c>
      <c r="AR4" s="9" t="n">
        <v>5</v>
      </c>
      <c r="AS4" s="9" t="n">
        <v>4</v>
      </c>
      <c r="AT4" s="9" t="n">
        <v>13</v>
      </c>
      <c r="AU4" s="9" t="n">
        <v>7</v>
      </c>
      <c r="AV4" s="9" t="n">
        <v>3</v>
      </c>
      <c r="AW4" s="9"/>
      <c r="AX4" s="9" t="n">
        <v>9</v>
      </c>
      <c r="AY4" s="9" t="n">
        <v>3</v>
      </c>
      <c r="AZ4" s="9" t="n">
        <v>11</v>
      </c>
      <c r="BA4" s="9" t="n">
        <v>2</v>
      </c>
      <c r="BB4" s="9" t="n">
        <v>4</v>
      </c>
      <c r="BC4" s="9" t="n">
        <v>5</v>
      </c>
      <c r="BD4" s="9" t="n">
        <v>4</v>
      </c>
      <c r="BE4" s="9" t="n">
        <v>2</v>
      </c>
      <c r="BF4" s="9" t="n">
        <v>2</v>
      </c>
      <c r="BG4" s="9" t="n">
        <v>4</v>
      </c>
      <c r="BH4" s="9" t="n">
        <v>11</v>
      </c>
      <c r="BI4" s="9"/>
      <c r="BJ4" s="9" t="n">
        <v>4</v>
      </c>
      <c r="BK4" s="9" t="n">
        <v>1</v>
      </c>
      <c r="BL4" s="9" t="n">
        <v>3</v>
      </c>
      <c r="BM4" s="9" t="n">
        <v>6</v>
      </c>
      <c r="BN4" s="9" t="n">
        <v>2</v>
      </c>
      <c r="BO4" s="9" t="n">
        <v>10</v>
      </c>
      <c r="BP4" s="9" t="n">
        <v>3</v>
      </c>
      <c r="BQ4" s="9" t="n">
        <v>4</v>
      </c>
      <c r="BR4" s="9" t="n">
        <v>4</v>
      </c>
      <c r="BS4" s="9"/>
      <c r="BT4" s="9" t="n">
        <v>3</v>
      </c>
      <c r="BU4" s="10" t="n">
        <v>344</v>
      </c>
      <c r="BV4" s="11" t="n">
        <f aca="false">IF(ISERROR(ROUND(MEDIAN(BQ4:BT4),0)),0,ROUND(MEDIAN(BQ4:BT4),0))</f>
        <v>4</v>
      </c>
      <c r="BW4" s="11" t="n">
        <f aca="false">IF(ISERROR(ROUND(MEDIAN(BM4:BT4),0)),0,ROUND(MEDIAN(BM4:BT4),0))</f>
        <v>4</v>
      </c>
      <c r="BX4" s="11" t="n">
        <f aca="false">IF(ISERROR(ROUND(MEDIAN(BI4:BT4),0)),0,ROUND(MEDIAN(BI4:BT4),0))</f>
        <v>4</v>
      </c>
      <c r="BY4" s="11" t="n">
        <f aca="false">IF(ISERROR(ROUND(MEDIAN(BE4:BT4),0)),0,ROUND(MEDIAN(BE4:BT4),0))</f>
        <v>4</v>
      </c>
      <c r="BZ4" s="11" t="n">
        <f aca="false">IF(ISERROR(ROUND(MEDIAN(AU4:BT4),0)),0,ROUND(MEDIAN(AU4:BT4),0))</f>
        <v>4</v>
      </c>
      <c r="CA4" s="12" t="n">
        <f aca="false">IF(ISERROR(ROUND(MEDIAN(U4:BT4),0)),0,ROUND(MEDIAN(U4:BT4),0))</f>
        <v>4</v>
      </c>
      <c r="CB4" s="12" t="n">
        <f aca="false">IF(ISERROR(ROUND(MEDIAN(BT4),0)),0,ROUND(MEDIAN(BT4),0))</f>
        <v>3</v>
      </c>
      <c r="CC4" s="12" t="n">
        <f aca="false">IF(ISERROR(ROUND(MEDIAN(D4:BT4),0)),0,ROUND(MEDIAN(D4:BT4),0))</f>
        <v>4</v>
      </c>
      <c r="CD4" s="12" t="n">
        <f aca="false">MAX(D4:BT4)</f>
        <v>19</v>
      </c>
      <c r="CE4" s="7" t="n">
        <f aca="false">COUNTA(BQ4:BT4)</f>
        <v>3</v>
      </c>
      <c r="CF4" s="7" t="n">
        <f aca="false">COUNTA(BM4:BT4)</f>
        <v>7</v>
      </c>
      <c r="CG4" s="7" t="n">
        <f aca="false">COUNTA(BI4:BT4)</f>
        <v>10</v>
      </c>
      <c r="CH4" s="7" t="n">
        <f aca="false">COUNTA(BE4:BT4)</f>
        <v>14</v>
      </c>
      <c r="CI4" s="7" t="n">
        <f aca="false">COUNTA(AU4:BT4)</f>
        <v>23</v>
      </c>
      <c r="CJ4" s="7" t="n">
        <f aca="false">COUNTA(U4:BT4)</f>
        <v>45</v>
      </c>
      <c r="CK4" s="7" t="n">
        <f aca="false">COUNTA(BT4)</f>
        <v>1</v>
      </c>
      <c r="CL4" s="7" t="n">
        <f aca="false">COUNTA(D4:BT4)</f>
        <v>62</v>
      </c>
      <c r="CM4" s="13" t="str">
        <f aca="false">IF(AND(CE4=1,CJ4=1,BT4&lt;&gt;""),"5.ENTRANTES",IF(AND(CE4&lt;&gt;0,CE4/RIGHT($CE$1,1)&gt;=0.5,CJ4=CE4),"4.RECENTES",IF(AND(CF4&lt;&gt;0,CF4/RIGHT($CF$1,1)&gt;=0.5,CJ4=CF4),"4.RECENTES",IF(AND(CG4&lt;&gt;0,CG4/RIGHT($CG$1,2)&gt;=0.5,CJ4=CG4),"4.RECENTES",IF(AND(CH4&lt;&gt;0,CH4/RIGHT($CH$1,2)&gt;=0.5,CJ4=CH4),"4.RECENTES",IF(AND(CI4&lt;&gt;0,CI4/RIGHT($CI$1,2)&gt;=0.5,CJ4=CI4),"4.RECENTES",IF(AND(CE4=0,CF4=0,CG4=0,CH4=0),"3.INATIVOS",IF(CJ4/RIGHT($CJ$1,2)&lt;0.5,"2.INTERMITENTES","1.ORDINÁRIOS"))))))))</f>
        <v>1.ORDINÁRIOS</v>
      </c>
      <c r="CN4" s="14" t="n">
        <f aca="false">IF(AND(CE4=1,CJ4=1,BT4&lt;&gt;""),BT4,IF(AND(CE4&lt;&gt;0,CE4/RIGHT($CE$1,1)&gt;=0.5,CJ4=CE4),MAX(BV4:CC4),IF(AND(CF4&lt;&gt;0,CF4/RIGHT($CF$1,1)&gt;=0.5,CJ4=CF4),MAX(BV4:CC4),IF(AND(CG4&lt;&gt;0,CG4/RIGHT($CG$1,2)&gt;=0.5,CJ4=CG4),MAX(BV4:CC4),IF(AND(CH4&lt;&gt;0,CH4/RIGHT($CH$1,2)&gt;=0.5,CJ4=CH4),MAX(BV4:CC4),IF(AND(CI4&lt;&gt;0,CI4/RIGHT($CI$1,2)&gt;=0.5,CJ4=CI4),MAX(BV4:CC4),IF(AND(CE4=0,CF4=0,CG4=0,CH4=0),0,IF(CJ4/RIGHT($CJ$1,2)&lt;0.5,ROUND(BU4/RIGHT($CJ$1,2),0),MAX(BV4:CC4)))))))))</f>
        <v>4</v>
      </c>
      <c r="CO4" s="14" t="n">
        <f aca="false">CN4*3</f>
        <v>12</v>
      </c>
      <c r="CP4" s="15" t="n">
        <v>3</v>
      </c>
      <c r="CQ4" s="16" t="n">
        <f aca="false">IF((CO4-CP4)&lt;0,0,(CO4-CP4))</f>
        <v>9</v>
      </c>
      <c r="CR4" s="7"/>
    </row>
    <row r="5" customFormat="false" ht="12.75" hidden="false" customHeight="true" outlineLevel="0" collapsed="false">
      <c r="A5" s="7" t="s">
        <v>95</v>
      </c>
      <c r="B5" s="7" t="s">
        <v>99</v>
      </c>
      <c r="C5" s="8" t="n">
        <v>304002001</v>
      </c>
      <c r="D5" s="9"/>
      <c r="E5" s="9" t="n">
        <v>230</v>
      </c>
      <c r="F5" s="9" t="n">
        <v>160</v>
      </c>
      <c r="G5" s="9" t="n">
        <v>410</v>
      </c>
      <c r="H5" s="9" t="n">
        <v>40</v>
      </c>
      <c r="I5" s="9" t="n">
        <v>540</v>
      </c>
      <c r="J5" s="9" t="n">
        <v>240</v>
      </c>
      <c r="K5" s="9" t="n">
        <v>80</v>
      </c>
      <c r="L5" s="9" t="n">
        <v>400</v>
      </c>
      <c r="M5" s="9" t="n">
        <v>140</v>
      </c>
      <c r="N5" s="9" t="n">
        <v>360</v>
      </c>
      <c r="O5" s="9" t="n">
        <v>340</v>
      </c>
      <c r="P5" s="9" t="n">
        <v>320</v>
      </c>
      <c r="Q5" s="9" t="n">
        <v>180</v>
      </c>
      <c r="R5" s="9" t="n">
        <v>420</v>
      </c>
      <c r="S5" s="9" t="n">
        <v>360</v>
      </c>
      <c r="T5" s="9" t="n">
        <v>200</v>
      </c>
      <c r="U5" s="9" t="n">
        <v>120</v>
      </c>
      <c r="V5" s="9" t="n">
        <v>120</v>
      </c>
      <c r="W5" s="9" t="n">
        <v>240</v>
      </c>
      <c r="X5" s="9" t="n">
        <v>120</v>
      </c>
      <c r="Y5" s="9" t="n">
        <v>200</v>
      </c>
      <c r="Z5" s="9" t="n">
        <v>120</v>
      </c>
      <c r="AA5" s="9" t="n">
        <v>200</v>
      </c>
      <c r="AB5" s="9" t="n">
        <v>120</v>
      </c>
      <c r="AC5" s="9" t="n">
        <v>200</v>
      </c>
      <c r="AD5" s="9" t="n">
        <v>320</v>
      </c>
      <c r="AE5" s="9" t="n">
        <v>120</v>
      </c>
      <c r="AF5" s="9" t="n">
        <v>230</v>
      </c>
      <c r="AG5" s="9" t="n">
        <v>160</v>
      </c>
      <c r="AH5" s="9" t="n">
        <v>160</v>
      </c>
      <c r="AI5" s="9" t="n">
        <v>280</v>
      </c>
      <c r="AJ5" s="9" t="n">
        <v>160</v>
      </c>
      <c r="AK5" s="9" t="n">
        <v>120</v>
      </c>
      <c r="AL5" s="9" t="n">
        <v>360</v>
      </c>
      <c r="AM5" s="9" t="n">
        <v>160</v>
      </c>
      <c r="AN5" s="9" t="n">
        <v>240</v>
      </c>
      <c r="AO5" s="9" t="n">
        <v>420</v>
      </c>
      <c r="AP5" s="9" t="n">
        <v>280</v>
      </c>
      <c r="AQ5" s="9" t="n">
        <v>160</v>
      </c>
      <c r="AR5" s="9" t="n">
        <v>160</v>
      </c>
      <c r="AS5" s="9" t="n">
        <v>200</v>
      </c>
      <c r="AT5" s="9" t="n">
        <v>260</v>
      </c>
      <c r="AU5" s="9" t="n">
        <v>120</v>
      </c>
      <c r="AV5" s="9" t="n">
        <v>160</v>
      </c>
      <c r="AW5" s="9" t="n">
        <v>160</v>
      </c>
      <c r="AX5" s="9" t="n">
        <v>270</v>
      </c>
      <c r="AY5" s="9" t="n">
        <v>240</v>
      </c>
      <c r="AZ5" s="9" t="n">
        <v>90</v>
      </c>
      <c r="BA5" s="9" t="n">
        <v>200</v>
      </c>
      <c r="BB5" s="9" t="n">
        <v>190</v>
      </c>
      <c r="BC5" s="9" t="n">
        <v>120</v>
      </c>
      <c r="BD5" s="9" t="n">
        <v>170</v>
      </c>
      <c r="BE5" s="9" t="n">
        <v>160</v>
      </c>
      <c r="BF5" s="9" t="n">
        <v>230</v>
      </c>
      <c r="BG5" s="9" t="n">
        <v>280</v>
      </c>
      <c r="BH5" s="9" t="n">
        <v>80</v>
      </c>
      <c r="BI5" s="9" t="n">
        <v>200</v>
      </c>
      <c r="BJ5" s="9" t="n">
        <v>160</v>
      </c>
      <c r="BK5" s="9" t="n">
        <v>160</v>
      </c>
      <c r="BL5" s="9" t="n">
        <v>180</v>
      </c>
      <c r="BM5" s="9" t="n">
        <v>80</v>
      </c>
      <c r="BN5" s="9" t="n">
        <v>220</v>
      </c>
      <c r="BO5" s="9" t="n">
        <v>340</v>
      </c>
      <c r="BP5" s="9" t="n">
        <v>260</v>
      </c>
      <c r="BQ5" s="9" t="n">
        <v>140</v>
      </c>
      <c r="BR5" s="9" t="n">
        <v>160</v>
      </c>
      <c r="BS5" s="9" t="n">
        <v>280</v>
      </c>
      <c r="BT5" s="9" t="n">
        <v>200</v>
      </c>
      <c r="BU5" s="10" t="n">
        <v>14500</v>
      </c>
      <c r="BV5" s="11" t="n">
        <f aca="false">IF(ISERROR(ROUND(MEDIAN(BQ5:BT5),0)),0,ROUND(MEDIAN(BQ5:BT5),0))</f>
        <v>180</v>
      </c>
      <c r="BW5" s="11" t="n">
        <f aca="false">IF(ISERROR(ROUND(MEDIAN(BM5:BT5),0)),0,ROUND(MEDIAN(BM5:BT5),0))</f>
        <v>210</v>
      </c>
      <c r="BX5" s="11" t="n">
        <f aca="false">IF(ISERROR(ROUND(MEDIAN(BI5:BT5),0)),0,ROUND(MEDIAN(BI5:BT5),0))</f>
        <v>190</v>
      </c>
      <c r="BY5" s="11" t="n">
        <f aca="false">IF(ISERROR(ROUND(MEDIAN(BE5:BT5),0)),0,ROUND(MEDIAN(BE5:BT5),0))</f>
        <v>190</v>
      </c>
      <c r="BZ5" s="11" t="n">
        <f aca="false">IF(ISERROR(ROUND(MEDIAN(AU5:BT5),0)),0,ROUND(MEDIAN(AU5:BT5),0))</f>
        <v>175</v>
      </c>
      <c r="CA5" s="12" t="n">
        <f aca="false">IF(ISERROR(ROUND(MEDIAN(U5:BT5),0)),0,ROUND(MEDIAN(U5:BT5),0))</f>
        <v>175</v>
      </c>
      <c r="CB5" s="12" t="n">
        <f aca="false">IF(ISERROR(ROUND(MEDIAN(BT5),0)),0,ROUND(MEDIAN(BT5),0))</f>
        <v>200</v>
      </c>
      <c r="CC5" s="12" t="n">
        <f aca="false">IF(ISERROR(ROUND(MEDIAN(D5:BT5),0)),0,ROUND(MEDIAN(D5:BT5),0))</f>
        <v>200</v>
      </c>
      <c r="CD5" s="12" t="n">
        <f aca="false">MAX(D5:BT5)</f>
        <v>540</v>
      </c>
      <c r="CE5" s="7" t="n">
        <f aca="false">COUNTA(BQ5:BT5)</f>
        <v>4</v>
      </c>
      <c r="CF5" s="7" t="n">
        <f aca="false">COUNTA(BM5:BT5)</f>
        <v>8</v>
      </c>
      <c r="CG5" s="7" t="n">
        <f aca="false">COUNTA(BI5:BT5)</f>
        <v>12</v>
      </c>
      <c r="CH5" s="7" t="n">
        <f aca="false">COUNTA(BE5:BT5)</f>
        <v>16</v>
      </c>
      <c r="CI5" s="7" t="n">
        <f aca="false">COUNTA(AU5:BT5)</f>
        <v>26</v>
      </c>
      <c r="CJ5" s="7" t="n">
        <f aca="false">COUNTA(U5:BT5)</f>
        <v>52</v>
      </c>
      <c r="CK5" s="7" t="n">
        <f aca="false">COUNTA(BT5)</f>
        <v>1</v>
      </c>
      <c r="CL5" s="7" t="n">
        <f aca="false">COUNTA(D5:BT5)</f>
        <v>68</v>
      </c>
      <c r="CM5" s="13" t="str">
        <f aca="false">IF(AND(CE5=1,CJ5=1,BT5&lt;&gt;""),"5.ENTRANTES",IF(AND(CE5&lt;&gt;0,CE5/RIGHT($CE$1,1)&gt;=0.5,CJ5=CE5),"4.RECENTES",IF(AND(CF5&lt;&gt;0,CF5/RIGHT($CF$1,1)&gt;=0.5,CJ5=CF5),"4.RECENTES",IF(AND(CG5&lt;&gt;0,CG5/RIGHT($CG$1,2)&gt;=0.5,CJ5=CG5),"4.RECENTES",IF(AND(CH5&lt;&gt;0,CH5/RIGHT($CH$1,2)&gt;=0.5,CJ5=CH5),"4.RECENTES",IF(AND(CI5&lt;&gt;0,CI5/RIGHT($CI$1,2)&gt;=0.5,CJ5=CI5),"4.RECENTES",IF(AND(CE5=0,CF5=0,CG5=0,CH5=0),"3.INATIVOS",IF(CJ5/RIGHT($CJ$1,2)&lt;0.5,"2.INTERMITENTES","1.ORDINÁRIOS"))))))))</f>
        <v>1.ORDINÁRIOS</v>
      </c>
      <c r="CN5" s="14" t="n">
        <f aca="false">IF(AND(CE5=1,CJ5=1,BT5&lt;&gt;""),BT5,IF(AND(CE5&lt;&gt;0,CE5/RIGHT($CE$1,1)&gt;=0.5,CJ5=CE5),MAX(BV5:CC5),IF(AND(CF5&lt;&gt;0,CF5/RIGHT($CF$1,1)&gt;=0.5,CJ5=CF5),MAX(BV5:CC5),IF(AND(CG5&lt;&gt;0,CG5/RIGHT($CG$1,2)&gt;=0.5,CJ5=CG5),MAX(BV5:CC5),IF(AND(CH5&lt;&gt;0,CH5/RIGHT($CH$1,2)&gt;=0.5,CJ5=CH5),MAX(BV5:CC5),IF(AND(CI5&lt;&gt;0,CI5/RIGHT($CI$1,2)&gt;=0.5,CJ5=CI5),MAX(BV5:CC5),IF(AND(CE5=0,CF5=0,CG5=0,CH5=0),0,IF(CJ5/RIGHT($CJ$1,2)&lt;0.5,ROUND(BU5/RIGHT($CJ$1,2),0),MAX(BV5:CC5)))))))))</f>
        <v>210</v>
      </c>
      <c r="CO5" s="14" t="n">
        <f aca="false">CN5*3</f>
        <v>630</v>
      </c>
      <c r="CP5" s="15" t="n">
        <v>400</v>
      </c>
      <c r="CQ5" s="16" t="n">
        <f aca="false">IF((CO5-CP5)&lt;0,0,(CO5-CP5))</f>
        <v>230</v>
      </c>
      <c r="CR5" s="7"/>
    </row>
    <row r="6" customFormat="false" ht="12.75" hidden="false" customHeight="true" outlineLevel="0" collapsed="false">
      <c r="A6" s="7" t="s">
        <v>95</v>
      </c>
      <c r="B6" s="7" t="s">
        <v>100</v>
      </c>
      <c r="C6" s="8" t="n">
        <v>304004001</v>
      </c>
      <c r="D6" s="9" t="n">
        <v>36</v>
      </c>
      <c r="E6" s="9" t="n">
        <v>78</v>
      </c>
      <c r="F6" s="9" t="n">
        <v>56</v>
      </c>
      <c r="G6" s="9" t="n">
        <v>72</v>
      </c>
      <c r="H6" s="9"/>
      <c r="I6" s="9"/>
      <c r="J6" s="9" t="n">
        <v>10</v>
      </c>
      <c r="K6" s="9" t="n">
        <v>44</v>
      </c>
      <c r="L6" s="9" t="n">
        <v>72</v>
      </c>
      <c r="M6" s="9" t="n">
        <v>24</v>
      </c>
      <c r="N6" s="9"/>
      <c r="O6" s="9" t="n">
        <v>84</v>
      </c>
      <c r="P6" s="9" t="n">
        <v>36</v>
      </c>
      <c r="Q6" s="9" t="n">
        <v>36</v>
      </c>
      <c r="R6" s="9"/>
      <c r="S6" s="9" t="n">
        <v>100</v>
      </c>
      <c r="T6" s="9" t="n">
        <v>84</v>
      </c>
      <c r="U6" s="9" t="n">
        <v>44</v>
      </c>
      <c r="V6" s="9" t="n">
        <v>96</v>
      </c>
      <c r="W6" s="9"/>
      <c r="X6" s="9" t="n">
        <v>20</v>
      </c>
      <c r="Y6" s="9"/>
      <c r="Z6" s="9"/>
      <c r="AA6" s="9" t="n">
        <v>60</v>
      </c>
      <c r="AB6" s="9" t="n">
        <v>132</v>
      </c>
      <c r="AC6" s="9"/>
      <c r="AD6" s="9" t="n">
        <v>24</v>
      </c>
      <c r="AE6" s="9" t="n">
        <v>36</v>
      </c>
      <c r="AF6" s="9" t="n">
        <v>12</v>
      </c>
      <c r="AG6" s="9" t="n">
        <v>36</v>
      </c>
      <c r="AH6" s="9" t="n">
        <v>72</v>
      </c>
      <c r="AI6" s="9"/>
      <c r="AJ6" s="9" t="n">
        <v>24</v>
      </c>
      <c r="AK6" s="9" t="n">
        <v>84</v>
      </c>
      <c r="AL6" s="9" t="n">
        <v>96</v>
      </c>
      <c r="AM6" s="9" t="n">
        <v>24</v>
      </c>
      <c r="AN6" s="9"/>
      <c r="AO6" s="9" t="n">
        <v>96</v>
      </c>
      <c r="AP6" s="9" t="n">
        <v>48</v>
      </c>
      <c r="AQ6" s="9"/>
      <c r="AR6" s="9" t="n">
        <v>20</v>
      </c>
      <c r="AS6" s="9" t="n">
        <v>60</v>
      </c>
      <c r="AT6" s="9" t="n">
        <v>36</v>
      </c>
      <c r="AU6" s="9" t="n">
        <v>24</v>
      </c>
      <c r="AV6" s="9"/>
      <c r="AW6" s="9" t="n">
        <v>24</v>
      </c>
      <c r="AX6" s="9" t="n">
        <v>36</v>
      </c>
      <c r="AY6" s="9"/>
      <c r="AZ6" s="9" t="n">
        <v>30</v>
      </c>
      <c r="BA6" s="9" t="n">
        <v>24</v>
      </c>
      <c r="BB6" s="9" t="n">
        <v>60</v>
      </c>
      <c r="BC6" s="9" t="n">
        <v>24</v>
      </c>
      <c r="BD6" s="9" t="n">
        <v>44</v>
      </c>
      <c r="BE6" s="9" t="n">
        <v>84</v>
      </c>
      <c r="BF6" s="9"/>
      <c r="BG6" s="9" t="n">
        <v>80</v>
      </c>
      <c r="BH6" s="9" t="n">
        <v>60</v>
      </c>
      <c r="BI6" s="9"/>
      <c r="BJ6" s="9"/>
      <c r="BK6" s="9" t="n">
        <v>84</v>
      </c>
      <c r="BL6" s="9" t="n">
        <v>52</v>
      </c>
      <c r="BM6" s="9" t="n">
        <v>144</v>
      </c>
      <c r="BN6" s="9" t="n">
        <v>24</v>
      </c>
      <c r="BO6" s="9" t="n">
        <v>12</v>
      </c>
      <c r="BP6" s="9" t="n">
        <v>42</v>
      </c>
      <c r="BQ6" s="9" t="n">
        <v>78</v>
      </c>
      <c r="BR6" s="9" t="n">
        <v>10</v>
      </c>
      <c r="BS6" s="9" t="n">
        <v>24</v>
      </c>
      <c r="BT6" s="9" t="n">
        <v>18</v>
      </c>
      <c r="BU6" s="10" t="n">
        <v>2730</v>
      </c>
      <c r="BV6" s="11" t="n">
        <f aca="false">IF(ISERROR(ROUND(MEDIAN(BQ6:BT6),0)),0,ROUND(MEDIAN(BQ6:BT6),0))</f>
        <v>21</v>
      </c>
      <c r="BW6" s="11" t="n">
        <f aca="false">IF(ISERROR(ROUND(MEDIAN(BM6:BT6),0)),0,ROUND(MEDIAN(BM6:BT6),0))</f>
        <v>24</v>
      </c>
      <c r="BX6" s="11" t="n">
        <f aca="false">IF(ISERROR(ROUND(MEDIAN(BI6:BT6),0)),0,ROUND(MEDIAN(BI6:BT6),0))</f>
        <v>33</v>
      </c>
      <c r="BY6" s="11" t="n">
        <f aca="false">IF(ISERROR(ROUND(MEDIAN(BE6:BT6),0)),0,ROUND(MEDIAN(BE6:BT6),0))</f>
        <v>52</v>
      </c>
      <c r="BZ6" s="11" t="n">
        <f aca="false">IF(ISERROR(ROUND(MEDIAN(AU6:BT6),0)),0,ROUND(MEDIAN(AU6:BT6),0))</f>
        <v>36</v>
      </c>
      <c r="CA6" s="12" t="n">
        <f aca="false">IF(ISERROR(ROUND(MEDIAN(U6:BT6),0)),0,ROUND(MEDIAN(U6:BT6),0))</f>
        <v>39</v>
      </c>
      <c r="CB6" s="12" t="n">
        <f aca="false">IF(ISERROR(ROUND(MEDIAN(BT6),0)),0,ROUND(MEDIAN(BT6),0))</f>
        <v>18</v>
      </c>
      <c r="CC6" s="12" t="n">
        <f aca="false">IF(ISERROR(ROUND(MEDIAN(D6:BT6),0)),0,ROUND(MEDIAN(D6:BT6),0))</f>
        <v>44</v>
      </c>
      <c r="CD6" s="12" t="n">
        <f aca="false">MAX(D6:BT6)</f>
        <v>144</v>
      </c>
      <c r="CE6" s="7" t="n">
        <f aca="false">COUNTA(BQ6:BT6)</f>
        <v>4</v>
      </c>
      <c r="CF6" s="7" t="n">
        <f aca="false">COUNTA(BM6:BT6)</f>
        <v>8</v>
      </c>
      <c r="CG6" s="7" t="n">
        <f aca="false">COUNTA(BI6:BT6)</f>
        <v>10</v>
      </c>
      <c r="CH6" s="7" t="n">
        <f aca="false">COUNTA(BE6:BT6)</f>
        <v>13</v>
      </c>
      <c r="CI6" s="7" t="n">
        <f aca="false">COUNTA(AU6:BT6)</f>
        <v>21</v>
      </c>
      <c r="CJ6" s="7" t="n">
        <f aca="false">COUNTA(U6:BT6)</f>
        <v>40</v>
      </c>
      <c r="CK6" s="7" t="n">
        <f aca="false">COUNTA(BT6)</f>
        <v>1</v>
      </c>
      <c r="CL6" s="7" t="n">
        <f aca="false">COUNTA(D6:BT6)</f>
        <v>53</v>
      </c>
      <c r="CM6" s="13" t="str">
        <f aca="false">IF(AND(CE6=1,CJ6=1,BT6&lt;&gt;""),"5.ENTRANTES",IF(AND(CE6&lt;&gt;0,CE6/RIGHT($CE$1,1)&gt;=0.5,CJ6=CE6),"4.RECENTES",IF(AND(CF6&lt;&gt;0,CF6/RIGHT($CF$1,1)&gt;=0.5,CJ6=CF6),"4.RECENTES",IF(AND(CG6&lt;&gt;0,CG6/RIGHT($CG$1,2)&gt;=0.5,CJ6=CG6),"4.RECENTES",IF(AND(CH6&lt;&gt;0,CH6/RIGHT($CH$1,2)&gt;=0.5,CJ6=CH6),"4.RECENTES",IF(AND(CI6&lt;&gt;0,CI6/RIGHT($CI$1,2)&gt;=0.5,CJ6=CI6),"4.RECENTES",IF(AND(CE6=0,CF6=0,CG6=0,CH6=0),"3.INATIVOS",IF(CJ6/RIGHT($CJ$1,2)&lt;0.5,"2.INTERMITENTES","1.ORDINÁRIOS"))))))))</f>
        <v>1.ORDINÁRIOS</v>
      </c>
      <c r="CN6" s="14" t="n">
        <f aca="false">IF(AND(CE6=1,CJ6=1,BT6&lt;&gt;""),BT6,IF(AND(CE6&lt;&gt;0,CE6/RIGHT($CE$1,1)&gt;=0.5,CJ6=CE6),MAX(BV6:CC6),IF(AND(CF6&lt;&gt;0,CF6/RIGHT($CF$1,1)&gt;=0.5,CJ6=CF6),MAX(BV6:CC6),IF(AND(CG6&lt;&gt;0,CG6/RIGHT($CG$1,2)&gt;=0.5,CJ6=CG6),MAX(BV6:CC6),IF(AND(CH6&lt;&gt;0,CH6/RIGHT($CH$1,2)&gt;=0.5,CJ6=CH6),MAX(BV6:CC6),IF(AND(CI6&lt;&gt;0,CI6/RIGHT($CI$1,2)&gt;=0.5,CJ6=CI6),MAX(BV6:CC6),IF(AND(CE6=0,CF6=0,CG6=0,CH6=0),0,IF(CJ6/RIGHT($CJ$1,2)&lt;0.5,ROUND(BU6/RIGHT($CJ$1,2),0),MAX(BV6:CC6)))))))))</f>
        <v>52</v>
      </c>
      <c r="CO6" s="14" t="n">
        <f aca="false">CN6*3</f>
        <v>156</v>
      </c>
      <c r="CP6" s="15" t="n">
        <v>144</v>
      </c>
      <c r="CQ6" s="16" t="n">
        <f aca="false">IF((CO6-CP6)&lt;0,0,(CO6-CP6))</f>
        <v>12</v>
      </c>
      <c r="CR6" s="7"/>
    </row>
    <row r="7" customFormat="false" ht="12.75" hidden="false" customHeight="true" outlineLevel="0" collapsed="false">
      <c r="A7" s="7" t="s">
        <v>95</v>
      </c>
      <c r="B7" s="7" t="s">
        <v>101</v>
      </c>
      <c r="C7" s="8" t="n">
        <v>302001001</v>
      </c>
      <c r="D7" s="9" t="n">
        <v>375</v>
      </c>
      <c r="E7" s="9" t="n">
        <v>800</v>
      </c>
      <c r="F7" s="9" t="n">
        <v>875</v>
      </c>
      <c r="G7" s="9" t="n">
        <v>1365</v>
      </c>
      <c r="H7" s="9" t="n">
        <v>525</v>
      </c>
      <c r="I7" s="9" t="n">
        <v>825</v>
      </c>
      <c r="J7" s="9" t="n">
        <v>2356</v>
      </c>
      <c r="K7" s="9" t="n">
        <v>225</v>
      </c>
      <c r="L7" s="9" t="n">
        <v>950</v>
      </c>
      <c r="M7" s="9" t="n">
        <v>1050</v>
      </c>
      <c r="N7" s="9" t="n">
        <v>1250</v>
      </c>
      <c r="O7" s="9" t="n">
        <v>600</v>
      </c>
      <c r="P7" s="9" t="n">
        <v>600</v>
      </c>
      <c r="Q7" s="9" t="n">
        <v>1400</v>
      </c>
      <c r="R7" s="9" t="n">
        <v>487</v>
      </c>
      <c r="S7" s="9" t="n">
        <v>825</v>
      </c>
      <c r="T7" s="9" t="n">
        <v>375</v>
      </c>
      <c r="U7" s="9" t="n">
        <v>825</v>
      </c>
      <c r="V7" s="9" t="n">
        <v>1250</v>
      </c>
      <c r="W7" s="9" t="n">
        <v>675</v>
      </c>
      <c r="X7" s="9" t="n">
        <v>350</v>
      </c>
      <c r="Y7" s="9" t="n">
        <v>1025</v>
      </c>
      <c r="Z7" s="9" t="n">
        <v>1505</v>
      </c>
      <c r="AA7" s="9" t="n">
        <v>1000</v>
      </c>
      <c r="AB7" s="9" t="n">
        <v>550</v>
      </c>
      <c r="AC7" s="9" t="n">
        <v>875</v>
      </c>
      <c r="AD7" s="9" t="n">
        <v>1200</v>
      </c>
      <c r="AE7" s="9" t="n">
        <v>795</v>
      </c>
      <c r="AF7" s="9" t="n">
        <v>850</v>
      </c>
      <c r="AG7" s="9" t="n">
        <v>1075</v>
      </c>
      <c r="AH7" s="9" t="n">
        <v>800</v>
      </c>
      <c r="AI7" s="9" t="n">
        <v>230</v>
      </c>
      <c r="AJ7" s="9" t="n">
        <v>1170</v>
      </c>
      <c r="AK7" s="9" t="n">
        <v>375</v>
      </c>
      <c r="AL7" s="9" t="n">
        <v>175</v>
      </c>
      <c r="AM7" s="9" t="n">
        <v>100</v>
      </c>
      <c r="AN7" s="9" t="n">
        <v>425</v>
      </c>
      <c r="AO7" s="9" t="n">
        <v>825</v>
      </c>
      <c r="AP7" s="9" t="n">
        <v>1028</v>
      </c>
      <c r="AQ7" s="9" t="n">
        <v>175</v>
      </c>
      <c r="AR7" s="9" t="n">
        <v>550</v>
      </c>
      <c r="AS7" s="9" t="n">
        <v>525</v>
      </c>
      <c r="AT7" s="9" t="n">
        <v>975</v>
      </c>
      <c r="AU7" s="9" t="n">
        <v>625</v>
      </c>
      <c r="AV7" s="9" t="n">
        <v>300</v>
      </c>
      <c r="AW7" s="9" t="n">
        <v>475</v>
      </c>
      <c r="AX7" s="9" t="n">
        <v>1225</v>
      </c>
      <c r="AY7" s="9" t="n">
        <v>397</v>
      </c>
      <c r="AZ7" s="9" t="n">
        <v>200</v>
      </c>
      <c r="BA7" s="9" t="n">
        <v>350</v>
      </c>
      <c r="BB7" s="9" t="n">
        <v>300</v>
      </c>
      <c r="BC7" s="9" t="n">
        <v>592</v>
      </c>
      <c r="BD7" s="9" t="n">
        <v>550</v>
      </c>
      <c r="BE7" s="9" t="n">
        <v>375</v>
      </c>
      <c r="BF7" s="9" t="n">
        <v>50</v>
      </c>
      <c r="BG7" s="9" t="n">
        <v>175</v>
      </c>
      <c r="BH7" s="9" t="n">
        <v>600</v>
      </c>
      <c r="BI7" s="9" t="n">
        <v>800</v>
      </c>
      <c r="BJ7" s="9" t="n">
        <v>750</v>
      </c>
      <c r="BK7" s="9" t="n">
        <v>200</v>
      </c>
      <c r="BL7" s="9" t="n">
        <v>200</v>
      </c>
      <c r="BM7" s="9" t="n">
        <v>300</v>
      </c>
      <c r="BN7" s="9" t="n">
        <v>350</v>
      </c>
      <c r="BO7" s="9" t="n">
        <v>600</v>
      </c>
      <c r="BP7" s="9" t="n">
        <v>1100</v>
      </c>
      <c r="BQ7" s="9" t="n">
        <v>250</v>
      </c>
      <c r="BR7" s="9" t="n">
        <v>400</v>
      </c>
      <c r="BS7" s="9" t="n">
        <v>800</v>
      </c>
      <c r="BT7" s="9" t="n">
        <v>250</v>
      </c>
      <c r="BU7" s="10" t="n">
        <v>46425</v>
      </c>
      <c r="BV7" s="11" t="n">
        <f aca="false">IF(ISERROR(ROUND(MEDIAN(BQ7:BT7),0)),0,ROUND(MEDIAN(BQ7:BT7),0))</f>
        <v>325</v>
      </c>
      <c r="BW7" s="11" t="n">
        <f aca="false">IF(ISERROR(ROUND(MEDIAN(BM7:BT7),0)),0,ROUND(MEDIAN(BM7:BT7),0))</f>
        <v>375</v>
      </c>
      <c r="BX7" s="11" t="n">
        <f aca="false">IF(ISERROR(ROUND(MEDIAN(BI7:BT7),0)),0,ROUND(MEDIAN(BI7:BT7),0))</f>
        <v>375</v>
      </c>
      <c r="BY7" s="11" t="n">
        <f aca="false">IF(ISERROR(ROUND(MEDIAN(BE7:BT7),0)),0,ROUND(MEDIAN(BE7:BT7),0))</f>
        <v>363</v>
      </c>
      <c r="BZ7" s="11" t="n">
        <f aca="false">IF(ISERROR(ROUND(MEDIAN(AU7:BT7),0)),0,ROUND(MEDIAN(AU7:BT7),0))</f>
        <v>386</v>
      </c>
      <c r="CA7" s="12" t="n">
        <f aca="false">IF(ISERROR(ROUND(MEDIAN(U7:BT7),0)),0,ROUND(MEDIAN(U7:BT7),0))</f>
        <v>550</v>
      </c>
      <c r="CB7" s="12" t="n">
        <f aca="false">IF(ISERROR(ROUND(MEDIAN(BT7),0)),0,ROUND(MEDIAN(BT7),0))</f>
        <v>250</v>
      </c>
      <c r="CC7" s="12" t="n">
        <f aca="false">IF(ISERROR(ROUND(MEDIAN(D7:BT7),0)),0,ROUND(MEDIAN(D7:BT7),0))</f>
        <v>600</v>
      </c>
      <c r="CD7" s="12" t="n">
        <f aca="false">MAX(D7:BT7)</f>
        <v>2356</v>
      </c>
      <c r="CE7" s="7" t="n">
        <f aca="false">COUNTA(BQ7:BT7)</f>
        <v>4</v>
      </c>
      <c r="CF7" s="7" t="n">
        <f aca="false">COUNTA(BM7:BT7)</f>
        <v>8</v>
      </c>
      <c r="CG7" s="7" t="n">
        <f aca="false">COUNTA(BI7:BT7)</f>
        <v>12</v>
      </c>
      <c r="CH7" s="7" t="n">
        <f aca="false">COUNTA(BE7:BT7)</f>
        <v>16</v>
      </c>
      <c r="CI7" s="7" t="n">
        <f aca="false">COUNTA(AU7:BT7)</f>
        <v>26</v>
      </c>
      <c r="CJ7" s="7" t="n">
        <f aca="false">COUNTA(U7:BT7)</f>
        <v>52</v>
      </c>
      <c r="CK7" s="7" t="n">
        <f aca="false">COUNTA(BT7)</f>
        <v>1</v>
      </c>
      <c r="CL7" s="7" t="n">
        <f aca="false">COUNTA(D7:BT7)</f>
        <v>69</v>
      </c>
      <c r="CM7" s="13" t="str">
        <f aca="false">IF(AND(CE7=1,CJ7=1,BT7&lt;&gt;""),"5.ENTRANTES",IF(AND(CE7&lt;&gt;0,CE7/RIGHT($CE$1,1)&gt;=0.5,CJ7=CE7),"4.RECENTES",IF(AND(CF7&lt;&gt;0,CF7/RIGHT($CF$1,1)&gt;=0.5,CJ7=CF7),"4.RECENTES",IF(AND(CG7&lt;&gt;0,CG7/RIGHT($CG$1,2)&gt;=0.5,CJ7=CG7),"4.RECENTES",IF(AND(CH7&lt;&gt;0,CH7/RIGHT($CH$1,2)&gt;=0.5,CJ7=CH7),"4.RECENTES",IF(AND(CI7&lt;&gt;0,CI7/RIGHT($CI$1,2)&gt;=0.5,CJ7=CI7),"4.RECENTES",IF(AND(CE7=0,CF7=0,CG7=0,CH7=0),"3.INATIVOS",IF(CJ7/RIGHT($CJ$1,2)&lt;0.5,"2.INTERMITENTES","1.ORDINÁRIOS"))))))))</f>
        <v>1.ORDINÁRIOS</v>
      </c>
      <c r="CN7" s="14" t="n">
        <f aca="false">IF(AND(CE7=1,CJ7=1,BT7&lt;&gt;""),BT7,IF(AND(CE7&lt;&gt;0,CE7/RIGHT($CE$1,1)&gt;=0.5,CJ7=CE7),MAX(BV7:CC7),IF(AND(CF7&lt;&gt;0,CF7/RIGHT($CF$1,1)&gt;=0.5,CJ7=CF7),MAX(BV7:CC7),IF(AND(CG7&lt;&gt;0,CG7/RIGHT($CG$1,2)&gt;=0.5,CJ7=CG7),MAX(BV7:CC7),IF(AND(CH7&lt;&gt;0,CH7/RIGHT($CH$1,2)&gt;=0.5,CJ7=CH7),MAX(BV7:CC7),IF(AND(CI7&lt;&gt;0,CI7/RIGHT($CI$1,2)&gt;=0.5,CJ7=CI7),MAX(BV7:CC7),IF(AND(CE7=0,CF7=0,CG7=0,CH7=0),0,IF(CJ7/RIGHT($CJ$1,2)&lt;0.5,ROUND(BU7/RIGHT($CJ$1,2),0),MAX(BV7:CC7)))))))))</f>
        <v>600</v>
      </c>
      <c r="CO7" s="14" t="n">
        <f aca="false">CN7*3</f>
        <v>1800</v>
      </c>
      <c r="CP7" s="15" t="n">
        <v>530</v>
      </c>
      <c r="CQ7" s="16" t="n">
        <f aca="false">IF((CO7-CP7)&lt;0,0,(CO7-CP7))</f>
        <v>1270</v>
      </c>
      <c r="CR7" s="7"/>
    </row>
    <row r="8" customFormat="false" ht="12.75" hidden="false" customHeight="true" outlineLevel="0" collapsed="false">
      <c r="A8" s="7" t="s">
        <v>95</v>
      </c>
      <c r="B8" s="7" t="s">
        <v>102</v>
      </c>
      <c r="C8" s="8" t="n">
        <v>13001003</v>
      </c>
      <c r="D8" s="9"/>
      <c r="E8" s="9"/>
      <c r="F8" s="9" t="n">
        <v>50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 t="n">
        <v>500</v>
      </c>
      <c r="AM8" s="9" t="n">
        <v>250</v>
      </c>
      <c r="AN8" s="9" t="n">
        <v>200</v>
      </c>
      <c r="AO8" s="9"/>
      <c r="AP8" s="9" t="n">
        <v>50</v>
      </c>
      <c r="AQ8" s="9" t="n">
        <v>100</v>
      </c>
      <c r="AR8" s="9" t="n">
        <v>300</v>
      </c>
      <c r="AS8" s="9" t="n">
        <v>100</v>
      </c>
      <c r="AT8" s="9"/>
      <c r="AU8" s="9" t="n">
        <v>300</v>
      </c>
      <c r="AV8" s="9"/>
      <c r="AW8" s="9"/>
      <c r="AX8" s="9"/>
      <c r="AY8" s="9" t="n">
        <v>150</v>
      </c>
      <c r="AZ8" s="9" t="n">
        <v>250</v>
      </c>
      <c r="BA8" s="9" t="n">
        <v>150</v>
      </c>
      <c r="BB8" s="9" t="n">
        <v>300</v>
      </c>
      <c r="BC8" s="9"/>
      <c r="BD8" s="9" t="n">
        <v>50</v>
      </c>
      <c r="BE8" s="9" t="n">
        <v>100</v>
      </c>
      <c r="BF8" s="9" t="n">
        <v>150</v>
      </c>
      <c r="BG8" s="9"/>
      <c r="BH8" s="9"/>
      <c r="BI8" s="9"/>
      <c r="BJ8" s="9"/>
      <c r="BK8" s="9" t="n">
        <v>100</v>
      </c>
      <c r="BL8" s="9" t="n">
        <v>100</v>
      </c>
      <c r="BM8" s="9" t="n">
        <v>100</v>
      </c>
      <c r="BN8" s="9" t="n">
        <v>200</v>
      </c>
      <c r="BO8" s="9"/>
      <c r="BP8" s="9"/>
      <c r="BQ8" s="9"/>
      <c r="BR8" s="9"/>
      <c r="BS8" s="9"/>
      <c r="BT8" s="9"/>
      <c r="BU8" s="10" t="n">
        <v>3500</v>
      </c>
      <c r="BV8" s="11" t="n">
        <f aca="false">IF(ISERROR(ROUND(MEDIAN(BQ8:BT8),0)),0,ROUND(MEDIAN(BQ8:BT8),0))</f>
        <v>0</v>
      </c>
      <c r="BW8" s="11" t="n">
        <f aca="false">IF(ISERROR(ROUND(MEDIAN(BM8:BT8),0)),0,ROUND(MEDIAN(BM8:BT8),0))</f>
        <v>150</v>
      </c>
      <c r="BX8" s="11" t="n">
        <f aca="false">IF(ISERROR(ROUND(MEDIAN(BI8:BT8),0)),0,ROUND(MEDIAN(BI8:BT8),0))</f>
        <v>100</v>
      </c>
      <c r="BY8" s="11" t="n">
        <f aca="false">IF(ISERROR(ROUND(MEDIAN(BE8:BT8),0)),0,ROUND(MEDIAN(BE8:BT8),0))</f>
        <v>100</v>
      </c>
      <c r="BZ8" s="11" t="n">
        <f aca="false">IF(ISERROR(ROUND(MEDIAN(AU8:BT8),0)),0,ROUND(MEDIAN(AU8:BT8),0))</f>
        <v>150</v>
      </c>
      <c r="CA8" s="12" t="n">
        <f aca="false">IF(ISERROR(ROUND(MEDIAN(U8:BT8),0)),0,ROUND(MEDIAN(U8:BT8),0))</f>
        <v>150</v>
      </c>
      <c r="CB8" s="12" t="n">
        <f aca="false">IF(ISERROR(ROUND(MEDIAN(BT8),0)),0,ROUND(MEDIAN(BT8),0))</f>
        <v>0</v>
      </c>
      <c r="CC8" s="12" t="n">
        <f aca="false">IF(ISERROR(ROUND(MEDIAN(D8:BT8),0)),0,ROUND(MEDIAN(D8:BT8),0))</f>
        <v>150</v>
      </c>
      <c r="CD8" s="12" t="n">
        <f aca="false">MAX(D8:BT8)</f>
        <v>500</v>
      </c>
      <c r="CE8" s="7" t="n">
        <f aca="false">COUNTA(BQ8:BT8)</f>
        <v>0</v>
      </c>
      <c r="CF8" s="7" t="n">
        <f aca="false">COUNTA(BM8:BT8)</f>
        <v>2</v>
      </c>
      <c r="CG8" s="7" t="n">
        <f aca="false">COUNTA(BI8:BT8)</f>
        <v>4</v>
      </c>
      <c r="CH8" s="7" t="n">
        <f aca="false">COUNTA(BE8:BT8)</f>
        <v>6</v>
      </c>
      <c r="CI8" s="7" t="n">
        <f aca="false">COUNTA(AU8:BT8)</f>
        <v>12</v>
      </c>
      <c r="CJ8" s="7" t="n">
        <f aca="false">COUNTA(U8:BT8)</f>
        <v>19</v>
      </c>
      <c r="CK8" s="7" t="n">
        <f aca="false">COUNTA(BT8)</f>
        <v>0</v>
      </c>
      <c r="CL8" s="7" t="n">
        <f aca="false">COUNTA(D8:BT8)</f>
        <v>20</v>
      </c>
      <c r="CM8" s="17" t="str">
        <f aca="false">IF(AND(CE8=1,CJ8=1,BT8&lt;&gt;""),"5.ENTRANTES",IF(AND(CE8&lt;&gt;0,CE8/RIGHT($CE$1,1)&gt;=0.5,CJ8=CE8),"4.RECENTES",IF(AND(CF8&lt;&gt;0,CF8/RIGHT($CF$1,1)&gt;=0.5,CJ8=CF8),"4.RECENTES",IF(AND(CG8&lt;&gt;0,CG8/RIGHT($CG$1,2)&gt;=0.5,CJ8=CG8),"4.RECENTES",IF(AND(CH8&lt;&gt;0,CH8/RIGHT($CH$1,2)&gt;=0.5,CJ8=CH8),"4.RECENTES",IF(AND(CI8&lt;&gt;0,CI8/RIGHT($CI$1,2)&gt;=0.5,CJ8=CI8),"4.RECENTES",IF(AND(CE8=0,CF8=0,CG8=0,CH8=0),"3.INATIVOS",IF(CJ8/RIGHT($CJ$1,2)&lt;0.5,"2.INTERMITENTES","1.ORDINÁRIOS"))))))))</f>
        <v>2.INTERMITENTES</v>
      </c>
      <c r="CN8" s="18" t="n">
        <f aca="false">IF(AND(CE8=1,CJ8=1,BT8&lt;&gt;""),BT8,IF(AND(CE8&lt;&gt;0,CE8/RIGHT($CE$1,1)&gt;=0.5,CJ8=CE8),MAX(BV8:CC8),IF(AND(CF8&lt;&gt;0,CF8/RIGHT($CF$1,1)&gt;=0.5,CJ8=CF8),MAX(BV8:CC8),IF(AND(CG8&lt;&gt;0,CG8/RIGHT($CG$1,2)&gt;=0.5,CJ8=CG8),MAX(BV8:CC8),IF(AND(CH8&lt;&gt;0,CH8/RIGHT($CH$1,2)&gt;=0.5,CJ8=CH8),MAX(BV8:CC8),IF(AND(CI8&lt;&gt;0,CI8/RIGHT($CI$1,2)&gt;=0.5,CJ8=CI8),MAX(BV8:CC8),IF(AND(CE8=0,CF8=0,CG8=0,CH8=0),0,IF(CJ8/RIGHT($CJ$1,2)&lt;0.5,ROUND(BU8/RIGHT($CJ$1,2),0),MAX(BV8:CC8)))))))))</f>
        <v>67</v>
      </c>
      <c r="CO8" s="18" t="n">
        <f aca="false">CD8</f>
        <v>500</v>
      </c>
      <c r="CP8" s="15" t="n">
        <v>0</v>
      </c>
      <c r="CQ8" s="16" t="n">
        <f aca="false">IF((CO8-CP8)&lt;0,0,(CO8-CP8))</f>
        <v>500</v>
      </c>
      <c r="CR8" s="7"/>
    </row>
    <row r="9" customFormat="false" ht="12.75" hidden="false" customHeight="true" outlineLevel="0" collapsed="false">
      <c r="A9" s="7" t="s">
        <v>95</v>
      </c>
      <c r="B9" s="7" t="s">
        <v>103</v>
      </c>
      <c r="C9" s="8" t="n">
        <v>203001001</v>
      </c>
      <c r="D9" s="9"/>
      <c r="E9" s="9"/>
      <c r="F9" s="9" t="n">
        <v>2</v>
      </c>
      <c r="G9" s="9"/>
      <c r="H9" s="9" t="n">
        <v>2</v>
      </c>
      <c r="I9" s="9" t="n">
        <v>5</v>
      </c>
      <c r="J9" s="9"/>
      <c r="K9" s="9"/>
      <c r="L9" s="9" t="n">
        <v>9</v>
      </c>
      <c r="M9" s="9" t="n">
        <v>16</v>
      </c>
      <c r="N9" s="9"/>
      <c r="O9" s="9" t="n">
        <v>15</v>
      </c>
      <c r="P9" s="9" t="n">
        <v>8</v>
      </c>
      <c r="Q9" s="9" t="n">
        <v>5</v>
      </c>
      <c r="R9" s="9" t="n">
        <v>2</v>
      </c>
      <c r="S9" s="9" t="n">
        <v>10</v>
      </c>
      <c r="T9" s="9" t="n">
        <v>4</v>
      </c>
      <c r="U9" s="9" t="n">
        <v>13</v>
      </c>
      <c r="V9" s="9" t="n">
        <v>11</v>
      </c>
      <c r="W9" s="9" t="n">
        <v>13</v>
      </c>
      <c r="X9" s="9" t="n">
        <v>9</v>
      </c>
      <c r="Y9" s="9" t="n">
        <v>13</v>
      </c>
      <c r="Z9" s="9" t="n">
        <v>8</v>
      </c>
      <c r="AA9" s="9" t="n">
        <v>6</v>
      </c>
      <c r="AB9" s="9" t="n">
        <v>13</v>
      </c>
      <c r="AC9" s="9" t="n">
        <v>11</v>
      </c>
      <c r="AD9" s="9" t="n">
        <v>2</v>
      </c>
      <c r="AE9" s="9" t="n">
        <v>7</v>
      </c>
      <c r="AF9" s="9"/>
      <c r="AG9" s="9" t="n">
        <v>5</v>
      </c>
      <c r="AH9" s="9" t="n">
        <v>7</v>
      </c>
      <c r="AI9" s="9"/>
      <c r="AJ9" s="9" t="n">
        <v>2</v>
      </c>
      <c r="AK9" s="9" t="n">
        <v>4</v>
      </c>
      <c r="AL9" s="9" t="n">
        <v>6</v>
      </c>
      <c r="AM9" s="9" t="n">
        <v>8</v>
      </c>
      <c r="AN9" s="9" t="n">
        <v>4</v>
      </c>
      <c r="AO9" s="9" t="n">
        <v>9</v>
      </c>
      <c r="AP9" s="9" t="n">
        <v>5</v>
      </c>
      <c r="AQ9" s="9" t="n">
        <v>17</v>
      </c>
      <c r="AR9" s="9" t="n">
        <v>2</v>
      </c>
      <c r="AS9" s="9" t="n">
        <v>15</v>
      </c>
      <c r="AT9" s="9" t="n">
        <v>6</v>
      </c>
      <c r="AU9" s="9"/>
      <c r="AV9" s="9" t="n">
        <v>8</v>
      </c>
      <c r="AW9" s="9"/>
      <c r="AX9" s="9" t="n">
        <v>6</v>
      </c>
      <c r="AY9" s="9" t="n">
        <v>6</v>
      </c>
      <c r="AZ9" s="9" t="n">
        <v>4</v>
      </c>
      <c r="BA9" s="9" t="n">
        <v>4</v>
      </c>
      <c r="BB9" s="9" t="n">
        <v>4</v>
      </c>
      <c r="BC9" s="9" t="n">
        <v>4</v>
      </c>
      <c r="BD9" s="9" t="n">
        <v>15</v>
      </c>
      <c r="BE9" s="9" t="n">
        <v>7</v>
      </c>
      <c r="BF9" s="9" t="n">
        <v>5</v>
      </c>
      <c r="BG9" s="9"/>
      <c r="BH9" s="9"/>
      <c r="BI9" s="9" t="n">
        <v>16</v>
      </c>
      <c r="BJ9" s="9" t="n">
        <v>7</v>
      </c>
      <c r="BK9" s="9" t="n">
        <v>5</v>
      </c>
      <c r="BL9" s="9"/>
      <c r="BM9" s="9"/>
      <c r="BN9" s="9"/>
      <c r="BO9" s="9" t="n">
        <v>1</v>
      </c>
      <c r="BP9" s="9" t="n">
        <v>2</v>
      </c>
      <c r="BQ9" s="9" t="n">
        <v>6</v>
      </c>
      <c r="BR9" s="9" t="n">
        <v>5</v>
      </c>
      <c r="BS9" s="9"/>
      <c r="BT9" s="9"/>
      <c r="BU9" s="10" t="n">
        <v>379</v>
      </c>
      <c r="BV9" s="11" t="n">
        <f aca="false">IF(ISERROR(ROUND(MEDIAN(BQ9:BT9),0)),0,ROUND(MEDIAN(BQ9:BT9),0))</f>
        <v>6</v>
      </c>
      <c r="BW9" s="11" t="n">
        <f aca="false">IF(ISERROR(ROUND(MEDIAN(BM9:BT9),0)),0,ROUND(MEDIAN(BM9:BT9),0))</f>
        <v>4</v>
      </c>
      <c r="BX9" s="11" t="n">
        <f aca="false">IF(ISERROR(ROUND(MEDIAN(BI9:BT9),0)),0,ROUND(MEDIAN(BI9:BT9),0))</f>
        <v>5</v>
      </c>
      <c r="BY9" s="11" t="n">
        <f aca="false">IF(ISERROR(ROUND(MEDIAN(BE9:BT9),0)),0,ROUND(MEDIAN(BE9:BT9),0))</f>
        <v>5</v>
      </c>
      <c r="BZ9" s="11" t="n">
        <f aca="false">IF(ISERROR(ROUND(MEDIAN(AU9:BT9),0)),0,ROUND(MEDIAN(AU9:BT9),0))</f>
        <v>5</v>
      </c>
      <c r="CA9" s="12" t="n">
        <f aca="false">IF(ISERROR(ROUND(MEDIAN(U9:BT9),0)),0,ROUND(MEDIAN(U9:BT9),0))</f>
        <v>6</v>
      </c>
      <c r="CB9" s="12" t="n">
        <f aca="false">IF(ISERROR(ROUND(MEDIAN(BT9),0)),0,ROUND(MEDIAN(BT9),0))</f>
        <v>0</v>
      </c>
      <c r="CC9" s="12" t="n">
        <f aca="false">IF(ISERROR(ROUND(MEDIAN(D9:BT9),0)),0,ROUND(MEDIAN(D9:BT9),0))</f>
        <v>6</v>
      </c>
      <c r="CD9" s="12" t="n">
        <f aca="false">MAX(D9:BT9)</f>
        <v>17</v>
      </c>
      <c r="CE9" s="7" t="n">
        <f aca="false">COUNTA(BQ9:BT9)</f>
        <v>2</v>
      </c>
      <c r="CF9" s="7" t="n">
        <f aca="false">COUNTA(BM9:BT9)</f>
        <v>4</v>
      </c>
      <c r="CG9" s="7" t="n">
        <f aca="false">COUNTA(BI9:BT9)</f>
        <v>7</v>
      </c>
      <c r="CH9" s="7" t="n">
        <f aca="false">COUNTA(BE9:BT9)</f>
        <v>9</v>
      </c>
      <c r="CI9" s="7" t="n">
        <f aca="false">COUNTA(AU9:BT9)</f>
        <v>17</v>
      </c>
      <c r="CJ9" s="7" t="n">
        <f aca="false">COUNTA(U9:BT9)</f>
        <v>41</v>
      </c>
      <c r="CK9" s="7" t="n">
        <f aca="false">COUNTA(BT9)</f>
        <v>0</v>
      </c>
      <c r="CL9" s="7" t="n">
        <f aca="false">COUNTA(D9:BT9)</f>
        <v>52</v>
      </c>
      <c r="CM9" s="13" t="str">
        <f aca="false">IF(AND(CE9=1,CJ9=1,BT9&lt;&gt;""),"5.ENTRANTES",IF(AND(CE9&lt;&gt;0,CE9/RIGHT($CE$1,1)&gt;=0.5,CJ9=CE9),"4.RECENTES",IF(AND(CF9&lt;&gt;0,CF9/RIGHT($CF$1,1)&gt;=0.5,CJ9=CF9),"4.RECENTES",IF(AND(CG9&lt;&gt;0,CG9/RIGHT($CG$1,2)&gt;=0.5,CJ9=CG9),"4.RECENTES",IF(AND(CH9&lt;&gt;0,CH9/RIGHT($CH$1,2)&gt;=0.5,CJ9=CH9),"4.RECENTES",IF(AND(CI9&lt;&gt;0,CI9/RIGHT($CI$1,2)&gt;=0.5,CJ9=CI9),"4.RECENTES",IF(AND(CE9=0,CF9=0,CG9=0,CH9=0),"3.INATIVOS",IF(CJ9/RIGHT($CJ$1,2)&lt;0.5,"2.INTERMITENTES","1.ORDINÁRIOS"))))))))</f>
        <v>1.ORDINÁRIOS</v>
      </c>
      <c r="CN9" s="14" t="n">
        <f aca="false">IF(AND(CE9=1,CJ9=1,BT9&lt;&gt;""),BT9,IF(AND(CE9&lt;&gt;0,CE9/RIGHT($CE$1,1)&gt;=0.5,CJ9=CE9),MAX(BV9:CC9),IF(AND(CF9&lt;&gt;0,CF9/RIGHT($CF$1,1)&gt;=0.5,CJ9=CF9),MAX(BV9:CC9),IF(AND(CG9&lt;&gt;0,CG9/RIGHT($CG$1,2)&gt;=0.5,CJ9=CG9),MAX(BV9:CC9),IF(AND(CH9&lt;&gt;0,CH9/RIGHT($CH$1,2)&gt;=0.5,CJ9=CH9),MAX(BV9:CC9),IF(AND(CI9&lt;&gt;0,CI9/RIGHT($CI$1,2)&gt;=0.5,CJ9=CI9),MAX(BV9:CC9),IF(AND(CE9=0,CF9=0,CG9=0,CH9=0),0,IF(CJ9/RIGHT($CJ$1,2)&lt;0.5,ROUND(BU9/RIGHT($CJ$1,2),0),MAX(BV9:CC9)))))))))</f>
        <v>6</v>
      </c>
      <c r="CO9" s="14" t="n">
        <f aca="false">CN9*3</f>
        <v>18</v>
      </c>
      <c r="CP9" s="15" t="n">
        <v>18</v>
      </c>
      <c r="CQ9" s="16" t="n">
        <f aca="false">IF((CO9-CP9)&lt;0,0,(CO9-CP9))</f>
        <v>0</v>
      </c>
      <c r="CR9" s="7"/>
    </row>
    <row r="10" customFormat="false" ht="12.75" hidden="false" customHeight="true" outlineLevel="0" collapsed="false">
      <c r="A10" s="7" t="s">
        <v>95</v>
      </c>
      <c r="B10" s="7" t="s">
        <v>104</v>
      </c>
      <c r="C10" s="8" t="n">
        <v>301003001</v>
      </c>
      <c r="D10" s="9"/>
      <c r="E10" s="9" t="n">
        <v>12</v>
      </c>
      <c r="F10" s="9" t="n">
        <v>18</v>
      </c>
      <c r="G10" s="9" t="n">
        <v>14</v>
      </c>
      <c r="H10" s="9" t="n">
        <v>24</v>
      </c>
      <c r="I10" s="9" t="n">
        <v>24</v>
      </c>
      <c r="J10" s="9" t="n">
        <v>19</v>
      </c>
      <c r="K10" s="9" t="n">
        <v>13</v>
      </c>
      <c r="L10" s="9" t="n">
        <v>10</v>
      </c>
      <c r="M10" s="9" t="n">
        <v>48</v>
      </c>
      <c r="N10" s="9" t="n">
        <v>12</v>
      </c>
      <c r="O10" s="9" t="n">
        <v>16</v>
      </c>
      <c r="P10" s="9" t="n">
        <v>13</v>
      </c>
      <c r="Q10" s="9" t="n">
        <v>3</v>
      </c>
      <c r="R10" s="9" t="n">
        <v>17</v>
      </c>
      <c r="S10" s="9" t="n">
        <v>3</v>
      </c>
      <c r="T10" s="9"/>
      <c r="U10" s="9" t="n">
        <v>2</v>
      </c>
      <c r="V10" s="9"/>
      <c r="W10" s="9" t="n">
        <v>15</v>
      </c>
      <c r="X10" s="9" t="n">
        <v>9</v>
      </c>
      <c r="Y10" s="9" t="n">
        <v>13</v>
      </c>
      <c r="Z10" s="9" t="n">
        <v>3</v>
      </c>
      <c r="AA10" s="9" t="n">
        <v>1</v>
      </c>
      <c r="AB10" s="9" t="n">
        <v>8</v>
      </c>
      <c r="AC10" s="9" t="n">
        <v>5</v>
      </c>
      <c r="AD10" s="9" t="n">
        <v>7</v>
      </c>
      <c r="AE10" s="9" t="n">
        <v>5</v>
      </c>
      <c r="AF10" s="9" t="n">
        <v>8</v>
      </c>
      <c r="AG10" s="9" t="n">
        <v>8</v>
      </c>
      <c r="AH10" s="9" t="n">
        <v>12</v>
      </c>
      <c r="AI10" s="9" t="n">
        <v>8</v>
      </c>
      <c r="AJ10" s="9" t="n">
        <v>29</v>
      </c>
      <c r="AK10" s="9" t="n">
        <v>14</v>
      </c>
      <c r="AL10" s="9" t="n">
        <v>18</v>
      </c>
      <c r="AM10" s="9" t="n">
        <v>3</v>
      </c>
      <c r="AN10" s="9"/>
      <c r="AO10" s="9"/>
      <c r="AP10" s="9" t="n">
        <v>10</v>
      </c>
      <c r="AQ10" s="9" t="n">
        <v>7</v>
      </c>
      <c r="AR10" s="9" t="n">
        <v>15</v>
      </c>
      <c r="AS10" s="9" t="n">
        <v>7</v>
      </c>
      <c r="AT10" s="9" t="n">
        <v>6</v>
      </c>
      <c r="AU10" s="9" t="n">
        <v>9</v>
      </c>
      <c r="AV10" s="9" t="n">
        <v>10</v>
      </c>
      <c r="AW10" s="9" t="n">
        <v>4</v>
      </c>
      <c r="AX10" s="9"/>
      <c r="AY10" s="9" t="n">
        <v>6</v>
      </c>
      <c r="AZ10" s="9" t="n">
        <v>17</v>
      </c>
      <c r="BA10" s="9" t="n">
        <v>12</v>
      </c>
      <c r="BB10" s="9" t="n">
        <v>28</v>
      </c>
      <c r="BC10" s="9" t="n">
        <v>3</v>
      </c>
      <c r="BD10" s="9" t="n">
        <v>20</v>
      </c>
      <c r="BE10" s="9" t="n">
        <v>6</v>
      </c>
      <c r="BF10" s="9" t="n">
        <v>6</v>
      </c>
      <c r="BG10" s="9" t="n">
        <v>2</v>
      </c>
      <c r="BH10" s="9"/>
      <c r="BI10" s="9"/>
      <c r="BJ10" s="9" t="n">
        <v>13</v>
      </c>
      <c r="BK10" s="9" t="n">
        <v>2</v>
      </c>
      <c r="BL10" s="9"/>
      <c r="BM10" s="9" t="n">
        <v>3</v>
      </c>
      <c r="BN10" s="9" t="n">
        <v>18</v>
      </c>
      <c r="BO10" s="9" t="n">
        <v>3</v>
      </c>
      <c r="BP10" s="9" t="n">
        <v>15</v>
      </c>
      <c r="BQ10" s="9" t="n">
        <v>10</v>
      </c>
      <c r="BR10" s="9" t="n">
        <v>20</v>
      </c>
      <c r="BS10" s="9"/>
      <c r="BT10" s="9" t="n">
        <v>1</v>
      </c>
      <c r="BU10" s="10" t="n">
        <v>667</v>
      </c>
      <c r="BV10" s="11" t="n">
        <f aca="false">IF(ISERROR(ROUND(MEDIAN(BQ10:BT10),0)),0,ROUND(MEDIAN(BQ10:BT10),0))</f>
        <v>10</v>
      </c>
      <c r="BW10" s="11" t="n">
        <f aca="false">IF(ISERROR(ROUND(MEDIAN(BM10:BT10),0)),0,ROUND(MEDIAN(BM10:BT10),0))</f>
        <v>10</v>
      </c>
      <c r="BX10" s="11" t="n">
        <f aca="false">IF(ISERROR(ROUND(MEDIAN(BI10:BT10),0)),0,ROUND(MEDIAN(BI10:BT10),0))</f>
        <v>10</v>
      </c>
      <c r="BY10" s="11" t="n">
        <f aca="false">IF(ISERROR(ROUND(MEDIAN(BE10:BT10),0)),0,ROUND(MEDIAN(BE10:BT10),0))</f>
        <v>6</v>
      </c>
      <c r="BZ10" s="11" t="n">
        <f aca="false">IF(ISERROR(ROUND(MEDIAN(AU10:BT10),0)),0,ROUND(MEDIAN(AU10:BT10),0))</f>
        <v>9</v>
      </c>
      <c r="CA10" s="12" t="n">
        <f aca="false">IF(ISERROR(ROUND(MEDIAN(U10:BT10),0)),0,ROUND(MEDIAN(U10:BT10),0))</f>
        <v>8</v>
      </c>
      <c r="CB10" s="12" t="n">
        <f aca="false">IF(ISERROR(ROUND(MEDIAN(BT10),0)),0,ROUND(MEDIAN(BT10),0))</f>
        <v>1</v>
      </c>
      <c r="CC10" s="12" t="n">
        <f aca="false">IF(ISERROR(ROUND(MEDIAN(D10:BT10),0)),0,ROUND(MEDIAN(D10:BT10),0))</f>
        <v>10</v>
      </c>
      <c r="CD10" s="12" t="n">
        <f aca="false">MAX(D10:BT10)</f>
        <v>48</v>
      </c>
      <c r="CE10" s="7" t="n">
        <f aca="false">COUNTA(BQ10:BT10)</f>
        <v>3</v>
      </c>
      <c r="CF10" s="7" t="n">
        <f aca="false">COUNTA(BM10:BT10)</f>
        <v>7</v>
      </c>
      <c r="CG10" s="7" t="n">
        <f aca="false">COUNTA(BI10:BT10)</f>
        <v>9</v>
      </c>
      <c r="CH10" s="7" t="n">
        <f aca="false">COUNTA(BE10:BT10)</f>
        <v>12</v>
      </c>
      <c r="CI10" s="7" t="n">
        <f aca="false">COUNTA(AU10:BT10)</f>
        <v>21</v>
      </c>
      <c r="CJ10" s="7" t="n">
        <f aca="false">COUNTA(U10:BT10)</f>
        <v>44</v>
      </c>
      <c r="CK10" s="7" t="n">
        <f aca="false">COUNTA(BT10)</f>
        <v>1</v>
      </c>
      <c r="CL10" s="7" t="n">
        <f aca="false">COUNTA(D10:BT10)</f>
        <v>59</v>
      </c>
      <c r="CM10" s="13" t="str">
        <f aca="false">IF(AND(CE10=1,CJ10=1,BT10&lt;&gt;""),"5.ENTRANTES",IF(AND(CE10&lt;&gt;0,CE10/RIGHT($CE$1,1)&gt;=0.5,CJ10=CE10),"4.RECENTES",IF(AND(CF10&lt;&gt;0,CF10/RIGHT($CF$1,1)&gt;=0.5,CJ10=CF10),"4.RECENTES",IF(AND(CG10&lt;&gt;0,CG10/RIGHT($CG$1,2)&gt;=0.5,CJ10=CG10),"4.RECENTES",IF(AND(CH10&lt;&gt;0,CH10/RIGHT($CH$1,2)&gt;=0.5,CJ10=CH10),"4.RECENTES",IF(AND(CI10&lt;&gt;0,CI10/RIGHT($CI$1,2)&gt;=0.5,CJ10=CI10),"4.RECENTES",IF(AND(CE10=0,CF10=0,CG10=0,CH10=0),"3.INATIVOS",IF(CJ10/RIGHT($CJ$1,2)&lt;0.5,"2.INTERMITENTES","1.ORDINÁRIOS"))))))))</f>
        <v>1.ORDINÁRIOS</v>
      </c>
      <c r="CN10" s="14" t="n">
        <f aca="false">IF(AND(CE10=1,CJ10=1,BT10&lt;&gt;""),BT10,IF(AND(CE10&lt;&gt;0,CE10/RIGHT($CE$1,1)&gt;=0.5,CJ10=CE10),MAX(BV10:CC10),IF(AND(CF10&lt;&gt;0,CF10/RIGHT($CF$1,1)&gt;=0.5,CJ10=CF10),MAX(BV10:CC10),IF(AND(CG10&lt;&gt;0,CG10/RIGHT($CG$1,2)&gt;=0.5,CJ10=CG10),MAX(BV10:CC10),IF(AND(CH10&lt;&gt;0,CH10/RIGHT($CH$1,2)&gt;=0.5,CJ10=CH10),MAX(BV10:CC10),IF(AND(CI10&lt;&gt;0,CI10/RIGHT($CI$1,2)&gt;=0.5,CJ10=CI10),MAX(BV10:CC10),IF(AND(CE10=0,CF10=0,CG10=0,CH10=0),0,IF(CJ10/RIGHT($CJ$1,2)&lt;0.5,ROUND(BU10/RIGHT($CJ$1,2),0),MAX(BV10:CC10)))))))))</f>
        <v>10</v>
      </c>
      <c r="CO10" s="14" t="n">
        <f aca="false">CN10*3</f>
        <v>30</v>
      </c>
      <c r="CP10" s="15" t="n">
        <v>46</v>
      </c>
      <c r="CQ10" s="16" t="n">
        <f aca="false">IF((CO10-CP10)&lt;0,0,(CO10-CP10))</f>
        <v>0</v>
      </c>
      <c r="CR10" s="7"/>
    </row>
    <row r="11" customFormat="false" ht="12.75" hidden="false" customHeight="true" outlineLevel="0" collapsed="false">
      <c r="A11" s="7" t="s">
        <v>95</v>
      </c>
      <c r="B11" s="7" t="s">
        <v>105</v>
      </c>
      <c r="C11" s="8" t="n">
        <v>309002001</v>
      </c>
      <c r="D11" s="9" t="n">
        <v>30</v>
      </c>
      <c r="E11" s="9" t="n">
        <v>300</v>
      </c>
      <c r="F11" s="9" t="n">
        <v>330</v>
      </c>
      <c r="G11" s="9" t="n">
        <v>420</v>
      </c>
      <c r="H11" s="9" t="n">
        <v>150</v>
      </c>
      <c r="I11" s="9" t="n">
        <v>330</v>
      </c>
      <c r="J11" s="9" t="n">
        <v>330</v>
      </c>
      <c r="K11" s="9" t="n">
        <v>150</v>
      </c>
      <c r="L11" s="9" t="n">
        <v>240</v>
      </c>
      <c r="M11" s="9" t="n">
        <v>330</v>
      </c>
      <c r="N11" s="9" t="n">
        <v>210</v>
      </c>
      <c r="O11" s="9" t="n">
        <v>210</v>
      </c>
      <c r="P11" s="9" t="n">
        <v>180</v>
      </c>
      <c r="Q11" s="9" t="n">
        <v>190</v>
      </c>
      <c r="R11" s="9" t="n">
        <v>150</v>
      </c>
      <c r="S11" s="9" t="n">
        <v>150</v>
      </c>
      <c r="T11" s="9" t="n">
        <v>270</v>
      </c>
      <c r="U11" s="9" t="n">
        <v>330</v>
      </c>
      <c r="V11" s="9" t="n">
        <v>390</v>
      </c>
      <c r="W11" s="9" t="n">
        <v>300</v>
      </c>
      <c r="X11" s="9" t="n">
        <v>150</v>
      </c>
      <c r="Y11" s="9" t="n">
        <v>180</v>
      </c>
      <c r="Z11" s="9" t="n">
        <v>210</v>
      </c>
      <c r="AA11" s="9" t="n">
        <v>210</v>
      </c>
      <c r="AB11" s="9" t="n">
        <v>270</v>
      </c>
      <c r="AC11" s="9" t="n">
        <v>330</v>
      </c>
      <c r="AD11" s="9" t="n">
        <v>180</v>
      </c>
      <c r="AE11" s="9" t="n">
        <v>360</v>
      </c>
      <c r="AF11" s="9" t="n">
        <v>210</v>
      </c>
      <c r="AG11" s="9" t="n">
        <v>270</v>
      </c>
      <c r="AH11" s="9" t="n">
        <v>210</v>
      </c>
      <c r="AI11" s="9" t="n">
        <v>270</v>
      </c>
      <c r="AJ11" s="9" t="n">
        <v>330</v>
      </c>
      <c r="AK11" s="9" t="n">
        <v>270</v>
      </c>
      <c r="AL11" s="9" t="n">
        <v>330</v>
      </c>
      <c r="AM11" s="9" t="n">
        <v>270</v>
      </c>
      <c r="AN11" s="9" t="n">
        <v>300</v>
      </c>
      <c r="AO11" s="9" t="n">
        <v>90</v>
      </c>
      <c r="AP11" s="9" t="n">
        <v>330</v>
      </c>
      <c r="AQ11" s="9" t="n">
        <v>270</v>
      </c>
      <c r="AR11" s="9" t="n">
        <v>390</v>
      </c>
      <c r="AS11" s="9" t="n">
        <v>120</v>
      </c>
      <c r="AT11" s="9" t="n">
        <v>330</v>
      </c>
      <c r="AU11" s="9" t="n">
        <v>300</v>
      </c>
      <c r="AV11" s="9" t="n">
        <v>120</v>
      </c>
      <c r="AW11" s="9" t="n">
        <v>90</v>
      </c>
      <c r="AX11" s="9" t="n">
        <v>300</v>
      </c>
      <c r="AY11" s="9" t="n">
        <v>230</v>
      </c>
      <c r="AZ11" s="9" t="n">
        <v>60</v>
      </c>
      <c r="BA11" s="9" t="n">
        <v>120</v>
      </c>
      <c r="BB11" s="9" t="n">
        <v>130</v>
      </c>
      <c r="BC11" s="9" t="n">
        <v>300</v>
      </c>
      <c r="BD11" s="9" t="n">
        <v>150</v>
      </c>
      <c r="BE11" s="9" t="n">
        <v>120</v>
      </c>
      <c r="BF11" s="9" t="n">
        <v>120</v>
      </c>
      <c r="BG11" s="9" t="n">
        <v>330</v>
      </c>
      <c r="BH11" s="9" t="n">
        <v>240</v>
      </c>
      <c r="BI11" s="9" t="n">
        <v>120</v>
      </c>
      <c r="BJ11" s="9" t="n">
        <v>270</v>
      </c>
      <c r="BK11" s="9" t="n">
        <v>150</v>
      </c>
      <c r="BL11" s="9" t="n">
        <v>240</v>
      </c>
      <c r="BM11" s="9" t="n">
        <v>150</v>
      </c>
      <c r="BN11" s="9" t="n">
        <v>150</v>
      </c>
      <c r="BO11" s="9" t="n">
        <v>150</v>
      </c>
      <c r="BP11" s="9" t="n">
        <v>180</v>
      </c>
      <c r="BQ11" s="9" t="n">
        <v>300</v>
      </c>
      <c r="BR11" s="9" t="n">
        <v>60</v>
      </c>
      <c r="BS11" s="9" t="n">
        <v>150</v>
      </c>
      <c r="BT11" s="9" t="n">
        <v>60</v>
      </c>
      <c r="BU11" s="10" t="n">
        <v>15460</v>
      </c>
      <c r="BV11" s="11" t="n">
        <f aca="false">IF(ISERROR(ROUND(MEDIAN(BQ11:BT11),0)),0,ROUND(MEDIAN(BQ11:BT11),0))</f>
        <v>105</v>
      </c>
      <c r="BW11" s="11" t="n">
        <f aca="false">IF(ISERROR(ROUND(MEDIAN(BM11:BT11),0)),0,ROUND(MEDIAN(BM11:BT11),0))</f>
        <v>150</v>
      </c>
      <c r="BX11" s="11" t="n">
        <f aca="false">IF(ISERROR(ROUND(MEDIAN(BI11:BT11),0)),0,ROUND(MEDIAN(BI11:BT11),0))</f>
        <v>150</v>
      </c>
      <c r="BY11" s="11" t="n">
        <f aca="false">IF(ISERROR(ROUND(MEDIAN(BE11:BT11),0)),0,ROUND(MEDIAN(BE11:BT11),0))</f>
        <v>150</v>
      </c>
      <c r="BZ11" s="11" t="n">
        <f aca="false">IF(ISERROR(ROUND(MEDIAN(AU11:BT11),0)),0,ROUND(MEDIAN(AU11:BT11),0))</f>
        <v>150</v>
      </c>
      <c r="CA11" s="12" t="n">
        <f aca="false">IF(ISERROR(ROUND(MEDIAN(U11:BT11),0)),0,ROUND(MEDIAN(U11:BT11),0))</f>
        <v>220</v>
      </c>
      <c r="CB11" s="12" t="n">
        <f aca="false">IF(ISERROR(ROUND(MEDIAN(BT11),0)),0,ROUND(MEDIAN(BT11),0))</f>
        <v>60</v>
      </c>
      <c r="CC11" s="12" t="n">
        <f aca="false">IF(ISERROR(ROUND(MEDIAN(D11:BT11),0)),0,ROUND(MEDIAN(D11:BT11),0))</f>
        <v>210</v>
      </c>
      <c r="CD11" s="12" t="n">
        <f aca="false">MAX(D11:BT11)</f>
        <v>420</v>
      </c>
      <c r="CE11" s="7" t="n">
        <f aca="false">COUNTA(BQ11:BT11)</f>
        <v>4</v>
      </c>
      <c r="CF11" s="7" t="n">
        <f aca="false">COUNTA(BM11:BT11)</f>
        <v>8</v>
      </c>
      <c r="CG11" s="7" t="n">
        <f aca="false">COUNTA(BI11:BT11)</f>
        <v>12</v>
      </c>
      <c r="CH11" s="7" t="n">
        <f aca="false">COUNTA(BE11:BT11)</f>
        <v>16</v>
      </c>
      <c r="CI11" s="7" t="n">
        <f aca="false">COUNTA(AU11:BT11)</f>
        <v>26</v>
      </c>
      <c r="CJ11" s="7" t="n">
        <f aca="false">COUNTA(U11:BT11)</f>
        <v>52</v>
      </c>
      <c r="CK11" s="7" t="n">
        <f aca="false">COUNTA(BT11)</f>
        <v>1</v>
      </c>
      <c r="CL11" s="7" t="n">
        <f aca="false">COUNTA(D11:BT11)</f>
        <v>69</v>
      </c>
      <c r="CM11" s="13" t="str">
        <f aca="false">IF(AND(CE11=1,CJ11=1,BT11&lt;&gt;""),"5.ENTRANTES",IF(AND(CE11&lt;&gt;0,CE11/RIGHT($CE$1,1)&gt;=0.5,CJ11=CE11),"4.RECENTES",IF(AND(CF11&lt;&gt;0,CF11/RIGHT($CF$1,1)&gt;=0.5,CJ11=CF11),"4.RECENTES",IF(AND(CG11&lt;&gt;0,CG11/RIGHT($CG$1,2)&gt;=0.5,CJ11=CG11),"4.RECENTES",IF(AND(CH11&lt;&gt;0,CH11/RIGHT($CH$1,2)&gt;=0.5,CJ11=CH11),"4.RECENTES",IF(AND(CI11&lt;&gt;0,CI11/RIGHT($CI$1,2)&gt;=0.5,CJ11=CI11),"4.RECENTES",IF(AND(CE11=0,CF11=0,CG11=0,CH11=0),"3.INATIVOS",IF(CJ11/RIGHT($CJ$1,2)&lt;0.5,"2.INTERMITENTES","1.ORDINÁRIOS"))))))))</f>
        <v>1.ORDINÁRIOS</v>
      </c>
      <c r="CN11" s="14" t="n">
        <f aca="false">IF(AND(CE11=1,CJ11=1,BT11&lt;&gt;""),BT11,IF(AND(CE11&lt;&gt;0,CE11/RIGHT($CE$1,1)&gt;=0.5,CJ11=CE11),MAX(BV11:CC11),IF(AND(CF11&lt;&gt;0,CF11/RIGHT($CF$1,1)&gt;=0.5,CJ11=CF11),MAX(BV11:CC11),IF(AND(CG11&lt;&gt;0,CG11/RIGHT($CG$1,2)&gt;=0.5,CJ11=CG11),MAX(BV11:CC11),IF(AND(CH11&lt;&gt;0,CH11/RIGHT($CH$1,2)&gt;=0.5,CJ11=CH11),MAX(BV11:CC11),IF(AND(CI11&lt;&gt;0,CI11/RIGHT($CI$1,2)&gt;=0.5,CJ11=CI11),MAX(BV11:CC11),IF(AND(CE11=0,CF11=0,CG11=0,CH11=0),0,IF(CJ11/RIGHT($CJ$1,2)&lt;0.5,ROUND(BU11/RIGHT($CJ$1,2),0),MAX(BV11:CC11)))))))))</f>
        <v>220</v>
      </c>
      <c r="CO11" s="14" t="n">
        <f aca="false">CN11*3</f>
        <v>660</v>
      </c>
      <c r="CP11" s="15" t="n">
        <v>860</v>
      </c>
      <c r="CQ11" s="16" t="n">
        <f aca="false">IF((CO11-CP11)&lt;0,0,(CO11-CP11))</f>
        <v>0</v>
      </c>
      <c r="CR11" s="7"/>
    </row>
    <row r="12" customFormat="false" ht="12.75" hidden="false" customHeight="true" outlineLevel="0" collapsed="false">
      <c r="A12" s="7" t="s">
        <v>95</v>
      </c>
      <c r="B12" s="7" t="s">
        <v>106</v>
      </c>
      <c r="C12" s="8" t="n">
        <v>309002002</v>
      </c>
      <c r="D12" s="9" t="n">
        <v>60</v>
      </c>
      <c r="E12" s="9" t="n">
        <v>90</v>
      </c>
      <c r="F12" s="9" t="n">
        <v>390</v>
      </c>
      <c r="G12" s="9" t="n">
        <v>210</v>
      </c>
      <c r="H12" s="9" t="n">
        <v>160</v>
      </c>
      <c r="I12" s="9" t="n">
        <v>225</v>
      </c>
      <c r="J12" s="9" t="n">
        <v>60</v>
      </c>
      <c r="K12" s="9" t="n">
        <v>90</v>
      </c>
      <c r="L12" s="9" t="n">
        <v>210</v>
      </c>
      <c r="M12" s="9" t="n">
        <v>90</v>
      </c>
      <c r="N12" s="9" t="n">
        <v>395</v>
      </c>
      <c r="O12" s="9" t="n">
        <v>225</v>
      </c>
      <c r="P12" s="9" t="n">
        <v>210</v>
      </c>
      <c r="Q12" s="9" t="n">
        <v>120</v>
      </c>
      <c r="R12" s="9" t="n">
        <v>120</v>
      </c>
      <c r="S12" s="9" t="n">
        <v>60</v>
      </c>
      <c r="T12" s="9" t="n">
        <v>90</v>
      </c>
      <c r="U12" s="9" t="n">
        <v>315</v>
      </c>
      <c r="V12" s="9" t="n">
        <v>90</v>
      </c>
      <c r="W12" s="9" t="n">
        <v>210</v>
      </c>
      <c r="X12" s="9" t="n">
        <v>90</v>
      </c>
      <c r="Y12" s="9" t="n">
        <v>330</v>
      </c>
      <c r="Z12" s="9" t="n">
        <v>60</v>
      </c>
      <c r="AA12" s="9" t="n">
        <v>90</v>
      </c>
      <c r="AB12" s="9" t="n">
        <v>90</v>
      </c>
      <c r="AC12" s="9" t="n">
        <v>270</v>
      </c>
      <c r="AD12" s="9" t="n">
        <v>210</v>
      </c>
      <c r="AE12" s="9" t="n">
        <v>120</v>
      </c>
      <c r="AF12" s="9"/>
      <c r="AG12" s="9" t="n">
        <v>120</v>
      </c>
      <c r="AH12" s="9" t="n">
        <v>120</v>
      </c>
      <c r="AI12" s="9" t="n">
        <v>180</v>
      </c>
      <c r="AJ12" s="9" t="n">
        <v>90</v>
      </c>
      <c r="AK12" s="9" t="n">
        <v>180</v>
      </c>
      <c r="AL12" s="9" t="n">
        <v>30</v>
      </c>
      <c r="AM12" s="9" t="n">
        <v>150</v>
      </c>
      <c r="AN12" s="9" t="n">
        <v>90</v>
      </c>
      <c r="AO12" s="9" t="n">
        <v>90</v>
      </c>
      <c r="AP12" s="9" t="n">
        <v>210</v>
      </c>
      <c r="AQ12" s="9" t="n">
        <v>30</v>
      </c>
      <c r="AR12" s="9" t="n">
        <v>180</v>
      </c>
      <c r="AS12" s="9" t="n">
        <v>30</v>
      </c>
      <c r="AT12" s="9" t="n">
        <v>60</v>
      </c>
      <c r="AU12" s="9" t="n">
        <v>60</v>
      </c>
      <c r="AV12" s="9" t="n">
        <v>120</v>
      </c>
      <c r="AW12" s="9" t="n">
        <v>120</v>
      </c>
      <c r="AX12" s="9" t="n">
        <v>90</v>
      </c>
      <c r="AY12" s="9" t="n">
        <v>30</v>
      </c>
      <c r="AZ12" s="9" t="n">
        <v>90</v>
      </c>
      <c r="BA12" s="9" t="n">
        <v>150</v>
      </c>
      <c r="BB12" s="9" t="n">
        <v>90</v>
      </c>
      <c r="BC12" s="9" t="n">
        <v>90</v>
      </c>
      <c r="BD12" s="9" t="n">
        <v>30</v>
      </c>
      <c r="BE12" s="9" t="n">
        <v>60</v>
      </c>
      <c r="BF12" s="9" t="n">
        <v>30</v>
      </c>
      <c r="BG12" s="9" t="n">
        <v>210</v>
      </c>
      <c r="BH12" s="9" t="n">
        <v>90</v>
      </c>
      <c r="BI12" s="9" t="n">
        <v>120</v>
      </c>
      <c r="BJ12" s="9" t="n">
        <v>60</v>
      </c>
      <c r="BK12" s="9" t="n">
        <v>30</v>
      </c>
      <c r="BL12" s="9" t="n">
        <v>30</v>
      </c>
      <c r="BM12" s="9" t="n">
        <v>180</v>
      </c>
      <c r="BN12" s="9" t="n">
        <v>60</v>
      </c>
      <c r="BO12" s="9" t="n">
        <v>30</v>
      </c>
      <c r="BP12" s="9" t="n">
        <v>90</v>
      </c>
      <c r="BQ12" s="9" t="n">
        <v>90</v>
      </c>
      <c r="BR12" s="9" t="n">
        <v>120</v>
      </c>
      <c r="BS12" s="9" t="n">
        <v>30</v>
      </c>
      <c r="BT12" s="9" t="n">
        <v>30</v>
      </c>
      <c r="BU12" s="10" t="n">
        <v>8370</v>
      </c>
      <c r="BV12" s="11" t="n">
        <f aca="false">IF(ISERROR(ROUND(MEDIAN(BQ12:BT12),0)),0,ROUND(MEDIAN(BQ12:BT12),0))</f>
        <v>60</v>
      </c>
      <c r="BW12" s="11" t="n">
        <f aca="false">IF(ISERROR(ROUND(MEDIAN(BM12:BT12),0)),0,ROUND(MEDIAN(BM12:BT12),0))</f>
        <v>75</v>
      </c>
      <c r="BX12" s="11" t="n">
        <f aca="false">IF(ISERROR(ROUND(MEDIAN(BI12:BT12),0)),0,ROUND(MEDIAN(BI12:BT12),0))</f>
        <v>60</v>
      </c>
      <c r="BY12" s="11" t="n">
        <f aca="false">IF(ISERROR(ROUND(MEDIAN(BE12:BT12),0)),0,ROUND(MEDIAN(BE12:BT12),0))</f>
        <v>60</v>
      </c>
      <c r="BZ12" s="11" t="n">
        <f aca="false">IF(ISERROR(ROUND(MEDIAN(AU12:BT12),0)),0,ROUND(MEDIAN(AU12:BT12),0))</f>
        <v>90</v>
      </c>
      <c r="CA12" s="12" t="n">
        <f aca="false">IF(ISERROR(ROUND(MEDIAN(U12:BT12),0)),0,ROUND(MEDIAN(U12:BT12),0))</f>
        <v>90</v>
      </c>
      <c r="CB12" s="12" t="n">
        <f aca="false">IF(ISERROR(ROUND(MEDIAN(BT12),0)),0,ROUND(MEDIAN(BT12),0))</f>
        <v>30</v>
      </c>
      <c r="CC12" s="12" t="n">
        <f aca="false">IF(ISERROR(ROUND(MEDIAN(D12:BT12),0)),0,ROUND(MEDIAN(D12:BT12),0))</f>
        <v>90</v>
      </c>
      <c r="CD12" s="12" t="n">
        <f aca="false">MAX(D12:BT12)</f>
        <v>395</v>
      </c>
      <c r="CE12" s="7" t="n">
        <f aca="false">COUNTA(BQ12:BT12)</f>
        <v>4</v>
      </c>
      <c r="CF12" s="7" t="n">
        <f aca="false">COUNTA(BM12:BT12)</f>
        <v>8</v>
      </c>
      <c r="CG12" s="7" t="n">
        <f aca="false">COUNTA(BI12:BT12)</f>
        <v>12</v>
      </c>
      <c r="CH12" s="7" t="n">
        <f aca="false">COUNTA(BE12:BT12)</f>
        <v>16</v>
      </c>
      <c r="CI12" s="7" t="n">
        <f aca="false">COUNTA(AU12:BT12)</f>
        <v>26</v>
      </c>
      <c r="CJ12" s="7" t="n">
        <f aca="false">COUNTA(U12:BT12)</f>
        <v>51</v>
      </c>
      <c r="CK12" s="7" t="n">
        <f aca="false">COUNTA(BT12)</f>
        <v>1</v>
      </c>
      <c r="CL12" s="7" t="n">
        <f aca="false">COUNTA(D12:BT12)</f>
        <v>68</v>
      </c>
      <c r="CM12" s="13" t="str">
        <f aca="false">IF(AND(CE12=1,CJ12=1,BT12&lt;&gt;""),"5.ENTRANTES",IF(AND(CE12&lt;&gt;0,CE12/RIGHT($CE$1,1)&gt;=0.5,CJ12=CE12),"4.RECENTES",IF(AND(CF12&lt;&gt;0,CF12/RIGHT($CF$1,1)&gt;=0.5,CJ12=CF12),"4.RECENTES",IF(AND(CG12&lt;&gt;0,CG12/RIGHT($CG$1,2)&gt;=0.5,CJ12=CG12),"4.RECENTES",IF(AND(CH12&lt;&gt;0,CH12/RIGHT($CH$1,2)&gt;=0.5,CJ12=CH12),"4.RECENTES",IF(AND(CI12&lt;&gt;0,CI12/RIGHT($CI$1,2)&gt;=0.5,CJ12=CI12),"4.RECENTES",IF(AND(CE12=0,CF12=0,CG12=0,CH12=0),"3.INATIVOS",IF(CJ12/RIGHT($CJ$1,2)&lt;0.5,"2.INTERMITENTES","1.ORDINÁRIOS"))))))))</f>
        <v>1.ORDINÁRIOS</v>
      </c>
      <c r="CN12" s="14" t="n">
        <f aca="false">IF(AND(CE12=1,CJ12=1,BT12&lt;&gt;""),BT12,IF(AND(CE12&lt;&gt;0,CE12/RIGHT($CE$1,1)&gt;=0.5,CJ12=CE12),MAX(BV12:CC12),IF(AND(CF12&lt;&gt;0,CF12/RIGHT($CF$1,1)&gt;=0.5,CJ12=CF12),MAX(BV12:CC12),IF(AND(CG12&lt;&gt;0,CG12/RIGHT($CG$1,2)&gt;=0.5,CJ12=CG12),MAX(BV12:CC12),IF(AND(CH12&lt;&gt;0,CH12/RIGHT($CH$1,2)&gt;=0.5,CJ12=CH12),MAX(BV12:CC12),IF(AND(CI12&lt;&gt;0,CI12/RIGHT($CI$1,2)&gt;=0.5,CJ12=CI12),MAX(BV12:CC12),IF(AND(CE12=0,CF12=0,CG12=0,CH12=0),0,IF(CJ12/RIGHT($CJ$1,2)&lt;0.5,ROUND(BU12/RIGHT($CJ$1,2),0),MAX(BV12:CC12)))))))))</f>
        <v>90</v>
      </c>
      <c r="CO12" s="14" t="n">
        <f aca="false">CN12*3</f>
        <v>270</v>
      </c>
      <c r="CP12" s="15" t="n">
        <v>270</v>
      </c>
      <c r="CQ12" s="16" t="n">
        <f aca="false">IF((CO12-CP12)&lt;0,0,(CO12-CP12))</f>
        <v>0</v>
      </c>
      <c r="CR12" s="7"/>
    </row>
    <row r="13" customFormat="false" ht="12.75" hidden="false" customHeight="true" outlineLevel="0" collapsed="false">
      <c r="A13" s="7" t="s">
        <v>95</v>
      </c>
      <c r="B13" s="7" t="s">
        <v>107</v>
      </c>
      <c r="C13" s="8" t="n">
        <v>305001004</v>
      </c>
      <c r="D13" s="9" t="n">
        <v>1</v>
      </c>
      <c r="E13" s="9" t="n">
        <v>15</v>
      </c>
      <c r="F13" s="9" t="n">
        <v>36</v>
      </c>
      <c r="G13" s="9" t="n">
        <v>34</v>
      </c>
      <c r="H13" s="9" t="n">
        <v>3</v>
      </c>
      <c r="I13" s="9" t="n">
        <v>16</v>
      </c>
      <c r="J13" s="9" t="n">
        <v>23</v>
      </c>
      <c r="K13" s="9" t="n">
        <v>14</v>
      </c>
      <c r="L13" s="9" t="n">
        <v>21</v>
      </c>
      <c r="M13" s="9" t="n">
        <v>13</v>
      </c>
      <c r="N13" s="9" t="n">
        <v>15</v>
      </c>
      <c r="O13" s="9" t="n">
        <v>13</v>
      </c>
      <c r="P13" s="9" t="n">
        <v>12</v>
      </c>
      <c r="Q13" s="9" t="n">
        <v>21</v>
      </c>
      <c r="R13" s="9" t="n">
        <v>11</v>
      </c>
      <c r="S13" s="9" t="n">
        <v>11</v>
      </c>
      <c r="T13" s="9" t="n">
        <v>8</v>
      </c>
      <c r="U13" s="9" t="n">
        <v>10</v>
      </c>
      <c r="V13" s="9" t="n">
        <v>15</v>
      </c>
      <c r="W13" s="9" t="n">
        <v>25</v>
      </c>
      <c r="X13" s="9" t="n">
        <v>24</v>
      </c>
      <c r="Y13" s="9" t="n">
        <v>12</v>
      </c>
      <c r="Z13" s="9" t="n">
        <v>22</v>
      </c>
      <c r="AA13" s="9" t="n">
        <v>37</v>
      </c>
      <c r="AB13" s="9" t="n">
        <v>34</v>
      </c>
      <c r="AC13" s="9" t="n">
        <v>49</v>
      </c>
      <c r="AD13" s="9" t="n">
        <v>30</v>
      </c>
      <c r="AE13" s="9" t="n">
        <v>48</v>
      </c>
      <c r="AF13" s="9" t="n">
        <v>29</v>
      </c>
      <c r="AG13" s="9" t="n">
        <v>69</v>
      </c>
      <c r="AH13" s="9" t="n">
        <v>81</v>
      </c>
      <c r="AI13" s="9" t="n">
        <v>94</v>
      </c>
      <c r="AJ13" s="9" t="n">
        <v>71</v>
      </c>
      <c r="AK13" s="9" t="n">
        <v>60</v>
      </c>
      <c r="AL13" s="9" t="n">
        <v>81</v>
      </c>
      <c r="AM13" s="9" t="n">
        <v>68</v>
      </c>
      <c r="AN13" s="9" t="n">
        <v>91</v>
      </c>
      <c r="AO13" s="9" t="n">
        <v>31</v>
      </c>
      <c r="AP13" s="9" t="n">
        <v>54</v>
      </c>
      <c r="AQ13" s="9" t="n">
        <v>51</v>
      </c>
      <c r="AR13" s="9" t="n">
        <v>61</v>
      </c>
      <c r="AS13" s="9" t="n">
        <v>84</v>
      </c>
      <c r="AT13" s="9" t="n">
        <v>74</v>
      </c>
      <c r="AU13" s="9" t="n">
        <v>41</v>
      </c>
      <c r="AV13" s="9" t="n">
        <v>57</v>
      </c>
      <c r="AW13" s="9" t="n">
        <v>51</v>
      </c>
      <c r="AX13" s="9" t="n">
        <v>37</v>
      </c>
      <c r="AY13" s="9" t="n">
        <v>15</v>
      </c>
      <c r="AZ13" s="9" t="n">
        <v>41</v>
      </c>
      <c r="BA13" s="9" t="n">
        <v>51</v>
      </c>
      <c r="BB13" s="9" t="n">
        <v>52</v>
      </c>
      <c r="BC13" s="9" t="n">
        <v>56</v>
      </c>
      <c r="BD13" s="9" t="n">
        <v>43</v>
      </c>
      <c r="BE13" s="9" t="n">
        <v>26</v>
      </c>
      <c r="BF13" s="9" t="n">
        <v>39</v>
      </c>
      <c r="BG13" s="9" t="n">
        <v>27</v>
      </c>
      <c r="BH13" s="9" t="n">
        <v>51</v>
      </c>
      <c r="BI13" s="9" t="n">
        <v>43</v>
      </c>
      <c r="BJ13" s="9" t="n">
        <v>53</v>
      </c>
      <c r="BK13" s="9" t="n">
        <v>56</v>
      </c>
      <c r="BL13" s="9" t="n">
        <v>33</v>
      </c>
      <c r="BM13" s="9" t="n">
        <v>22</v>
      </c>
      <c r="BN13" s="9" t="n">
        <v>23</v>
      </c>
      <c r="BO13" s="9" t="n">
        <v>35</v>
      </c>
      <c r="BP13" s="9" t="n">
        <v>38</v>
      </c>
      <c r="BQ13" s="9" t="n">
        <v>28</v>
      </c>
      <c r="BR13" s="9" t="n">
        <v>35</v>
      </c>
      <c r="BS13" s="9" t="n">
        <v>17</v>
      </c>
      <c r="BT13" s="9" t="n">
        <v>16</v>
      </c>
      <c r="BU13" s="10" t="n">
        <v>2558</v>
      </c>
      <c r="BV13" s="11" t="n">
        <f aca="false">IF(ISERROR(ROUND(MEDIAN(BQ13:BT13),0)),0,ROUND(MEDIAN(BQ13:BT13),0))</f>
        <v>23</v>
      </c>
      <c r="BW13" s="11" t="n">
        <f aca="false">IF(ISERROR(ROUND(MEDIAN(BM13:BT13),0)),0,ROUND(MEDIAN(BM13:BT13),0))</f>
        <v>26</v>
      </c>
      <c r="BX13" s="11" t="n">
        <f aca="false">IF(ISERROR(ROUND(MEDIAN(BI13:BT13),0)),0,ROUND(MEDIAN(BI13:BT13),0))</f>
        <v>34</v>
      </c>
      <c r="BY13" s="11" t="n">
        <f aca="false">IF(ISERROR(ROUND(MEDIAN(BE13:BT13),0)),0,ROUND(MEDIAN(BE13:BT13),0))</f>
        <v>34</v>
      </c>
      <c r="BZ13" s="11" t="n">
        <f aca="false">IF(ISERROR(ROUND(MEDIAN(AU13:BT13),0)),0,ROUND(MEDIAN(AU13:BT13),0))</f>
        <v>39</v>
      </c>
      <c r="CA13" s="12" t="n">
        <f aca="false">IF(ISERROR(ROUND(MEDIAN(U13:BT13),0)),0,ROUND(MEDIAN(U13:BT13),0))</f>
        <v>41</v>
      </c>
      <c r="CB13" s="12" t="n">
        <f aca="false">IF(ISERROR(ROUND(MEDIAN(BT13),0)),0,ROUND(MEDIAN(BT13),0))</f>
        <v>16</v>
      </c>
      <c r="CC13" s="12" t="n">
        <f aca="false">IF(ISERROR(ROUND(MEDIAN(D13:BT13),0)),0,ROUND(MEDIAN(D13:BT13),0))</f>
        <v>34</v>
      </c>
      <c r="CD13" s="12" t="n">
        <f aca="false">MAX(D13:BT13)</f>
        <v>94</v>
      </c>
      <c r="CE13" s="7" t="n">
        <f aca="false">COUNTA(BQ13:BT13)</f>
        <v>4</v>
      </c>
      <c r="CF13" s="7" t="n">
        <f aca="false">COUNTA(BM13:BT13)</f>
        <v>8</v>
      </c>
      <c r="CG13" s="7" t="n">
        <f aca="false">COUNTA(BI13:BT13)</f>
        <v>12</v>
      </c>
      <c r="CH13" s="7" t="n">
        <f aca="false">COUNTA(BE13:BT13)</f>
        <v>16</v>
      </c>
      <c r="CI13" s="7" t="n">
        <f aca="false">COUNTA(AU13:BT13)</f>
        <v>26</v>
      </c>
      <c r="CJ13" s="7" t="n">
        <f aca="false">COUNTA(U13:BT13)</f>
        <v>52</v>
      </c>
      <c r="CK13" s="7" t="n">
        <f aca="false">COUNTA(BT13)</f>
        <v>1</v>
      </c>
      <c r="CL13" s="7" t="n">
        <f aca="false">COUNTA(D13:BT13)</f>
        <v>69</v>
      </c>
      <c r="CM13" s="13" t="str">
        <f aca="false">IF(AND(CE13=1,CJ13=1,BT13&lt;&gt;""),"5.ENTRANTES",IF(AND(CE13&lt;&gt;0,CE13/RIGHT($CE$1,1)&gt;=0.5,CJ13=CE13),"4.RECENTES",IF(AND(CF13&lt;&gt;0,CF13/RIGHT($CF$1,1)&gt;=0.5,CJ13=CF13),"4.RECENTES",IF(AND(CG13&lt;&gt;0,CG13/RIGHT($CG$1,2)&gt;=0.5,CJ13=CG13),"4.RECENTES",IF(AND(CH13&lt;&gt;0,CH13/RIGHT($CH$1,2)&gt;=0.5,CJ13=CH13),"4.RECENTES",IF(AND(CI13&lt;&gt;0,CI13/RIGHT($CI$1,2)&gt;=0.5,CJ13=CI13),"4.RECENTES",IF(AND(CE13=0,CF13=0,CG13=0,CH13=0),"3.INATIVOS",IF(CJ13/RIGHT($CJ$1,2)&lt;0.5,"2.INTERMITENTES","1.ORDINÁRIOS"))))))))</f>
        <v>1.ORDINÁRIOS</v>
      </c>
      <c r="CN13" s="14" t="n">
        <f aca="false">IF(AND(CE13=1,CJ13=1,BT13&lt;&gt;""),BT13,IF(AND(CE13&lt;&gt;0,CE13/RIGHT($CE$1,1)&gt;=0.5,CJ13=CE13),MAX(BV13:CC13),IF(AND(CF13&lt;&gt;0,CF13/RIGHT($CF$1,1)&gt;=0.5,CJ13=CF13),MAX(BV13:CC13),IF(AND(CG13&lt;&gt;0,CG13/RIGHT($CG$1,2)&gt;=0.5,CJ13=CG13),MAX(BV13:CC13),IF(AND(CH13&lt;&gt;0,CH13/RIGHT($CH$1,2)&gt;=0.5,CJ13=CH13),MAX(BV13:CC13),IF(AND(CI13&lt;&gt;0,CI13/RIGHT($CI$1,2)&gt;=0.5,CJ13=CI13),MAX(BV13:CC13),IF(AND(CE13=0,CF13=0,CG13=0,CH13=0),0,IF(CJ13/RIGHT($CJ$1,2)&lt;0.5,ROUND(BU13/RIGHT($CJ$1,2),0),MAX(BV13:CC13)))))))))</f>
        <v>41</v>
      </c>
      <c r="CO13" s="14" t="n">
        <f aca="false">CN13*3</f>
        <v>123</v>
      </c>
      <c r="CP13" s="15" t="n">
        <v>111</v>
      </c>
      <c r="CQ13" s="16" t="n">
        <f aca="false">IF((CO13-CP13)&lt;0,0,(CO13-CP13))</f>
        <v>12</v>
      </c>
      <c r="CR13" s="7"/>
    </row>
    <row r="14" customFormat="false" ht="12.75" hidden="false" customHeight="true" outlineLevel="0" collapsed="false">
      <c r="A14" s="7" t="s">
        <v>95</v>
      </c>
      <c r="B14" s="7" t="s">
        <v>108</v>
      </c>
      <c r="C14" s="8" t="n">
        <v>305001005</v>
      </c>
      <c r="D14" s="9" t="n">
        <v>1</v>
      </c>
      <c r="E14" s="9" t="n">
        <v>10</v>
      </c>
      <c r="F14" s="9" t="n">
        <v>10</v>
      </c>
      <c r="G14" s="9" t="n">
        <v>10</v>
      </c>
      <c r="H14" s="9"/>
      <c r="I14" s="9" t="n">
        <v>9</v>
      </c>
      <c r="J14" s="9" t="n">
        <v>7</v>
      </c>
      <c r="K14" s="9" t="n">
        <v>13</v>
      </c>
      <c r="L14" s="9" t="n">
        <v>10</v>
      </c>
      <c r="M14" s="9" t="n">
        <v>7</v>
      </c>
      <c r="N14" s="9" t="n">
        <v>14</v>
      </c>
      <c r="O14" s="9" t="n">
        <v>5</v>
      </c>
      <c r="P14" s="9" t="n">
        <v>4</v>
      </c>
      <c r="Q14" s="9" t="n">
        <v>11</v>
      </c>
      <c r="R14" s="9" t="n">
        <v>6</v>
      </c>
      <c r="S14" s="9" t="n">
        <v>5</v>
      </c>
      <c r="T14" s="9" t="n">
        <v>2</v>
      </c>
      <c r="U14" s="9" t="n">
        <v>1</v>
      </c>
      <c r="V14" s="9" t="n">
        <v>1</v>
      </c>
      <c r="W14" s="9" t="n">
        <v>2</v>
      </c>
      <c r="X14" s="9" t="n">
        <v>2</v>
      </c>
      <c r="Y14" s="9" t="n">
        <v>2</v>
      </c>
      <c r="Z14" s="9"/>
      <c r="AA14" s="9" t="n">
        <v>8</v>
      </c>
      <c r="AB14" s="9" t="n">
        <v>11</v>
      </c>
      <c r="AC14" s="9" t="n">
        <v>16</v>
      </c>
      <c r="AD14" s="9" t="n">
        <v>26</v>
      </c>
      <c r="AE14" s="9" t="n">
        <v>25</v>
      </c>
      <c r="AF14" s="9" t="n">
        <v>15</v>
      </c>
      <c r="AG14" s="9" t="n">
        <v>28</v>
      </c>
      <c r="AH14" s="9" t="n">
        <v>41</v>
      </c>
      <c r="AI14" s="9" t="n">
        <v>48</v>
      </c>
      <c r="AJ14" s="9" t="n">
        <v>37</v>
      </c>
      <c r="AK14" s="9" t="n">
        <v>29</v>
      </c>
      <c r="AL14" s="9" t="n">
        <v>27</v>
      </c>
      <c r="AM14" s="9" t="n">
        <v>30</v>
      </c>
      <c r="AN14" s="9" t="n">
        <v>25</v>
      </c>
      <c r="AO14" s="9" t="n">
        <v>13</v>
      </c>
      <c r="AP14" s="9" t="n">
        <v>28</v>
      </c>
      <c r="AQ14" s="9" t="n">
        <v>34</v>
      </c>
      <c r="AR14" s="9" t="n">
        <v>20</v>
      </c>
      <c r="AS14" s="9" t="n">
        <v>30</v>
      </c>
      <c r="AT14" s="9" t="n">
        <v>22</v>
      </c>
      <c r="AU14" s="9" t="n">
        <v>18</v>
      </c>
      <c r="AV14" s="9" t="n">
        <v>15</v>
      </c>
      <c r="AW14" s="9" t="n">
        <v>8</v>
      </c>
      <c r="AX14" s="9" t="n">
        <v>12</v>
      </c>
      <c r="AY14" s="9" t="n">
        <v>3</v>
      </c>
      <c r="AZ14" s="9" t="n">
        <v>19</v>
      </c>
      <c r="BA14" s="9" t="n">
        <v>17</v>
      </c>
      <c r="BB14" s="9" t="n">
        <v>13</v>
      </c>
      <c r="BC14" s="9" t="n">
        <v>11</v>
      </c>
      <c r="BD14" s="9" t="n">
        <v>18</v>
      </c>
      <c r="BE14" s="9" t="n">
        <v>13</v>
      </c>
      <c r="BF14" s="9" t="n">
        <v>21</v>
      </c>
      <c r="BG14" s="9" t="n">
        <v>13</v>
      </c>
      <c r="BH14" s="9" t="n">
        <v>9</v>
      </c>
      <c r="BI14" s="9" t="n">
        <v>11</v>
      </c>
      <c r="BJ14" s="9" t="n">
        <v>18</v>
      </c>
      <c r="BK14" s="9" t="n">
        <v>21</v>
      </c>
      <c r="BL14" s="9" t="n">
        <v>9</v>
      </c>
      <c r="BM14" s="9" t="n">
        <v>25</v>
      </c>
      <c r="BN14" s="9" t="n">
        <v>27</v>
      </c>
      <c r="BO14" s="9" t="n">
        <v>11</v>
      </c>
      <c r="BP14" s="9" t="n">
        <v>15</v>
      </c>
      <c r="BQ14" s="9" t="n">
        <v>2</v>
      </c>
      <c r="BR14" s="9" t="n">
        <v>6</v>
      </c>
      <c r="BS14" s="9" t="n">
        <v>4</v>
      </c>
      <c r="BT14" s="9" t="n">
        <v>1</v>
      </c>
      <c r="BU14" s="10" t="n">
        <v>985</v>
      </c>
      <c r="BV14" s="11" t="n">
        <f aca="false">IF(ISERROR(ROUND(MEDIAN(BQ14:BT14),0)),0,ROUND(MEDIAN(BQ14:BT14),0))</f>
        <v>3</v>
      </c>
      <c r="BW14" s="11" t="n">
        <f aca="false">IF(ISERROR(ROUND(MEDIAN(BM14:BT14),0)),0,ROUND(MEDIAN(BM14:BT14),0))</f>
        <v>9</v>
      </c>
      <c r="BX14" s="11" t="n">
        <f aca="false">IF(ISERROR(ROUND(MEDIAN(BI14:BT14),0)),0,ROUND(MEDIAN(BI14:BT14),0))</f>
        <v>11</v>
      </c>
      <c r="BY14" s="11" t="n">
        <f aca="false">IF(ISERROR(ROUND(MEDIAN(BE14:BT14),0)),0,ROUND(MEDIAN(BE14:BT14),0))</f>
        <v>12</v>
      </c>
      <c r="BZ14" s="11" t="n">
        <f aca="false">IF(ISERROR(ROUND(MEDIAN(AU14:BT14),0)),0,ROUND(MEDIAN(AU14:BT14),0))</f>
        <v>13</v>
      </c>
      <c r="CA14" s="12" t="n">
        <f aca="false">IF(ISERROR(ROUND(MEDIAN(U14:BT14),0)),0,ROUND(MEDIAN(U14:BT14),0))</f>
        <v>15</v>
      </c>
      <c r="CB14" s="12" t="n">
        <f aca="false">IF(ISERROR(ROUND(MEDIAN(BT14),0)),0,ROUND(MEDIAN(BT14),0))</f>
        <v>1</v>
      </c>
      <c r="CC14" s="12" t="n">
        <f aca="false">IF(ISERROR(ROUND(MEDIAN(D14:BT14),0)),0,ROUND(MEDIAN(D14:BT14),0))</f>
        <v>13</v>
      </c>
      <c r="CD14" s="12" t="n">
        <f aca="false">MAX(D14:BT14)</f>
        <v>48</v>
      </c>
      <c r="CE14" s="7" t="n">
        <f aca="false">COUNTA(BQ14:BT14)</f>
        <v>4</v>
      </c>
      <c r="CF14" s="7" t="n">
        <f aca="false">COUNTA(BM14:BT14)</f>
        <v>8</v>
      </c>
      <c r="CG14" s="7" t="n">
        <f aca="false">COUNTA(BI14:BT14)</f>
        <v>12</v>
      </c>
      <c r="CH14" s="7" t="n">
        <f aca="false">COUNTA(BE14:BT14)</f>
        <v>16</v>
      </c>
      <c r="CI14" s="7" t="n">
        <f aca="false">COUNTA(AU14:BT14)</f>
        <v>26</v>
      </c>
      <c r="CJ14" s="7" t="n">
        <f aca="false">COUNTA(U14:BT14)</f>
        <v>51</v>
      </c>
      <c r="CK14" s="7" t="n">
        <f aca="false">COUNTA(BT14)</f>
        <v>1</v>
      </c>
      <c r="CL14" s="7" t="n">
        <f aca="false">COUNTA(D14:BT14)</f>
        <v>67</v>
      </c>
      <c r="CM14" s="13" t="str">
        <f aca="false">IF(AND(CE14=1,CJ14=1,BT14&lt;&gt;""),"5.ENTRANTES",IF(AND(CE14&lt;&gt;0,CE14/RIGHT($CE$1,1)&gt;=0.5,CJ14=CE14),"4.RECENTES",IF(AND(CF14&lt;&gt;0,CF14/RIGHT($CF$1,1)&gt;=0.5,CJ14=CF14),"4.RECENTES",IF(AND(CG14&lt;&gt;0,CG14/RIGHT($CG$1,2)&gt;=0.5,CJ14=CG14),"4.RECENTES",IF(AND(CH14&lt;&gt;0,CH14/RIGHT($CH$1,2)&gt;=0.5,CJ14=CH14),"4.RECENTES",IF(AND(CI14&lt;&gt;0,CI14/RIGHT($CI$1,2)&gt;=0.5,CJ14=CI14),"4.RECENTES",IF(AND(CE14=0,CF14=0,CG14=0,CH14=0),"3.INATIVOS",IF(CJ14/RIGHT($CJ$1,2)&lt;0.5,"2.INTERMITENTES","1.ORDINÁRIOS"))))))))</f>
        <v>1.ORDINÁRIOS</v>
      </c>
      <c r="CN14" s="14" t="n">
        <f aca="false">IF(AND(CE14=1,CJ14=1,BT14&lt;&gt;""),BT14,IF(AND(CE14&lt;&gt;0,CE14/RIGHT($CE$1,1)&gt;=0.5,CJ14=CE14),MAX(BV14:CC14),IF(AND(CF14&lt;&gt;0,CF14/RIGHT($CF$1,1)&gt;=0.5,CJ14=CF14),MAX(BV14:CC14),IF(AND(CG14&lt;&gt;0,CG14/RIGHT($CG$1,2)&gt;=0.5,CJ14=CG14),MAX(BV14:CC14),IF(AND(CH14&lt;&gt;0,CH14/RIGHT($CH$1,2)&gt;=0.5,CJ14=CH14),MAX(BV14:CC14),IF(AND(CI14&lt;&gt;0,CI14/RIGHT($CI$1,2)&gt;=0.5,CJ14=CI14),MAX(BV14:CC14),IF(AND(CE14=0,CF14=0,CG14=0,CH14=0),0,IF(CJ14/RIGHT($CJ$1,2)&lt;0.5,ROUND(BU14/RIGHT($CJ$1,2),0),MAX(BV14:CC14)))))))))</f>
        <v>15</v>
      </c>
      <c r="CO14" s="14" t="n">
        <f aca="false">CN14*3</f>
        <v>45</v>
      </c>
      <c r="CP14" s="15" t="n">
        <v>41</v>
      </c>
      <c r="CQ14" s="16" t="n">
        <f aca="false">IF((CO14-CP14)&lt;0,0,(CO14-CP14))</f>
        <v>4</v>
      </c>
      <c r="CR14" s="7"/>
    </row>
    <row r="15" customFormat="false" ht="12.75" hidden="false" customHeight="true" outlineLevel="0" collapsed="false">
      <c r="A15" s="7" t="s">
        <v>95</v>
      </c>
      <c r="B15" s="7" t="s">
        <v>109</v>
      </c>
      <c r="C15" s="8" t="n">
        <v>305002001</v>
      </c>
      <c r="D15" s="9"/>
      <c r="E15" s="9"/>
      <c r="F15" s="9"/>
      <c r="G15" s="9"/>
      <c r="H15" s="9"/>
      <c r="I15" s="9"/>
      <c r="J15" s="9"/>
      <c r="K15" s="9"/>
      <c r="L15" s="9" t="n">
        <v>60</v>
      </c>
      <c r="M15" s="9"/>
      <c r="N15" s="9"/>
      <c r="O15" s="9"/>
      <c r="P15" s="9"/>
      <c r="Q15" s="9"/>
      <c r="R15" s="9"/>
      <c r="S15" s="9" t="n">
        <v>60</v>
      </c>
      <c r="T15" s="9" t="n">
        <v>90</v>
      </c>
      <c r="U15" s="9"/>
      <c r="V15" s="9"/>
      <c r="W15" s="9"/>
      <c r="X15" s="9"/>
      <c r="Y15" s="9"/>
      <c r="Z15" s="9"/>
      <c r="AA15" s="9"/>
      <c r="AB15" s="9"/>
      <c r="AC15" s="9" t="n">
        <v>60</v>
      </c>
      <c r="AD15" s="9"/>
      <c r="AE15" s="9"/>
      <c r="AF15" s="9"/>
      <c r="AG15" s="9" t="n">
        <v>60</v>
      </c>
      <c r="AH15" s="9"/>
      <c r="AI15" s="9"/>
      <c r="AJ15" s="9"/>
      <c r="AK15" s="9"/>
      <c r="AL15" s="9"/>
      <c r="AM15" s="9"/>
      <c r="AN15" s="9"/>
      <c r="AO15" s="9"/>
      <c r="AP15" s="9" t="n">
        <v>20</v>
      </c>
      <c r="AQ15" s="9"/>
      <c r="AR15" s="9"/>
      <c r="AS15" s="9"/>
      <c r="AT15" s="9"/>
      <c r="AU15" s="9" t="n">
        <v>80</v>
      </c>
      <c r="AV15" s="9" t="n">
        <v>40</v>
      </c>
      <c r="AW15" s="9" t="n">
        <v>20</v>
      </c>
      <c r="AX15" s="9"/>
      <c r="AY15" s="9" t="n">
        <v>40</v>
      </c>
      <c r="AZ15" s="9"/>
      <c r="BA15" s="9"/>
      <c r="BB15" s="9"/>
      <c r="BC15" s="9" t="n">
        <v>10</v>
      </c>
      <c r="BD15" s="9" t="n">
        <v>40</v>
      </c>
      <c r="BE15" s="9"/>
      <c r="BF15" s="9"/>
      <c r="BG15" s="9"/>
      <c r="BH15" s="9"/>
      <c r="BI15" s="9" t="n">
        <v>40</v>
      </c>
      <c r="BJ15" s="9"/>
      <c r="BK15" s="9"/>
      <c r="BL15" s="9"/>
      <c r="BM15" s="9" t="n">
        <v>60</v>
      </c>
      <c r="BN15" s="9"/>
      <c r="BO15" s="9"/>
      <c r="BP15" s="9"/>
      <c r="BQ15" s="9" t="n">
        <v>40</v>
      </c>
      <c r="BR15" s="9"/>
      <c r="BS15" s="9"/>
      <c r="BT15" s="9"/>
      <c r="BU15" s="10" t="n">
        <v>720</v>
      </c>
      <c r="BV15" s="11" t="n">
        <f aca="false">IF(ISERROR(ROUND(MEDIAN(BQ15:BT15),0)),0,ROUND(MEDIAN(BQ15:BT15),0))</f>
        <v>40</v>
      </c>
      <c r="BW15" s="11" t="n">
        <f aca="false">IF(ISERROR(ROUND(MEDIAN(BM15:BT15),0)),0,ROUND(MEDIAN(BM15:BT15),0))</f>
        <v>50</v>
      </c>
      <c r="BX15" s="11" t="n">
        <f aca="false">IF(ISERROR(ROUND(MEDIAN(BI15:BT15),0)),0,ROUND(MEDIAN(BI15:BT15),0))</f>
        <v>40</v>
      </c>
      <c r="BY15" s="11" t="n">
        <f aca="false">IF(ISERROR(ROUND(MEDIAN(BE15:BT15),0)),0,ROUND(MEDIAN(BE15:BT15),0))</f>
        <v>40</v>
      </c>
      <c r="BZ15" s="11" t="n">
        <f aca="false">IF(ISERROR(ROUND(MEDIAN(AU15:BT15),0)),0,ROUND(MEDIAN(AU15:BT15),0))</f>
        <v>40</v>
      </c>
      <c r="CA15" s="12" t="n">
        <f aca="false">IF(ISERROR(ROUND(MEDIAN(U15:BT15),0)),0,ROUND(MEDIAN(U15:BT15),0))</f>
        <v>40</v>
      </c>
      <c r="CB15" s="12" t="n">
        <f aca="false">IF(ISERROR(ROUND(MEDIAN(BT15),0)),0,ROUND(MEDIAN(BT15),0))</f>
        <v>0</v>
      </c>
      <c r="CC15" s="12" t="n">
        <f aca="false">IF(ISERROR(ROUND(MEDIAN(D15:BT15),0)),0,ROUND(MEDIAN(D15:BT15),0))</f>
        <v>40</v>
      </c>
      <c r="CD15" s="12" t="n">
        <f aca="false">MAX(D15:BT15)</f>
        <v>90</v>
      </c>
      <c r="CE15" s="7" t="n">
        <f aca="false">COUNTA(BQ15:BT15)</f>
        <v>1</v>
      </c>
      <c r="CF15" s="7" t="n">
        <f aca="false">COUNTA(BM15:BT15)</f>
        <v>2</v>
      </c>
      <c r="CG15" s="7" t="n">
        <f aca="false">COUNTA(BI15:BT15)</f>
        <v>3</v>
      </c>
      <c r="CH15" s="7" t="n">
        <f aca="false">COUNTA(BE15:BT15)</f>
        <v>3</v>
      </c>
      <c r="CI15" s="7" t="n">
        <f aca="false">COUNTA(AU15:BT15)</f>
        <v>9</v>
      </c>
      <c r="CJ15" s="7" t="n">
        <f aca="false">COUNTA(U15:BT15)</f>
        <v>12</v>
      </c>
      <c r="CK15" s="7" t="n">
        <f aca="false">COUNTA(BT15)</f>
        <v>0</v>
      </c>
      <c r="CL15" s="7" t="n">
        <f aca="false">COUNTA(D15:BT15)</f>
        <v>15</v>
      </c>
      <c r="CM15" s="17" t="str">
        <f aca="false">IF(AND(CE15=1,CJ15=1,BT15&lt;&gt;""),"5.ENTRANTES",IF(AND(CE15&lt;&gt;0,CE15/RIGHT($CE$1,1)&gt;=0.5,CJ15=CE15),"4.RECENTES",IF(AND(CF15&lt;&gt;0,CF15/RIGHT($CF$1,1)&gt;=0.5,CJ15=CF15),"4.RECENTES",IF(AND(CG15&lt;&gt;0,CG15/RIGHT($CG$1,2)&gt;=0.5,CJ15=CG15),"4.RECENTES",IF(AND(CH15&lt;&gt;0,CH15/RIGHT($CH$1,2)&gt;=0.5,CJ15=CH15),"4.RECENTES",IF(AND(CI15&lt;&gt;0,CI15/RIGHT($CI$1,2)&gt;=0.5,CJ15=CI15),"4.RECENTES",IF(AND(CE15=0,CF15=0,CG15=0,CH15=0),"3.INATIVOS",IF(CJ15/RIGHT($CJ$1,2)&lt;0.5,"2.INTERMITENTES","1.ORDINÁRIOS"))))))))</f>
        <v>2.INTERMITENTES</v>
      </c>
      <c r="CN15" s="18" t="n">
        <f aca="false">IF(AND(CE15=1,CJ15=1,BT15&lt;&gt;""),BT15,IF(AND(CE15&lt;&gt;0,CE15/RIGHT($CE$1,1)&gt;=0.5,CJ15=CE15),MAX(BV15:CC15),IF(AND(CF15&lt;&gt;0,CF15/RIGHT($CF$1,1)&gt;=0.5,CJ15=CF15),MAX(BV15:CC15),IF(AND(CG15&lt;&gt;0,CG15/RIGHT($CG$1,2)&gt;=0.5,CJ15=CG15),MAX(BV15:CC15),IF(AND(CH15&lt;&gt;0,CH15/RIGHT($CH$1,2)&gt;=0.5,CJ15=CH15),MAX(BV15:CC15),IF(AND(CI15&lt;&gt;0,CI15/RIGHT($CI$1,2)&gt;=0.5,CJ15=CI15),MAX(BV15:CC15),IF(AND(CE15=0,CF15=0,CG15=0,CH15=0),0,IF(CJ15/RIGHT($CJ$1,2)&lt;0.5,ROUND(BU15/RIGHT($CJ$1,2),0),MAX(BV15:CC15)))))))))</f>
        <v>14</v>
      </c>
      <c r="CO15" s="18" t="n">
        <f aca="false">CD15</f>
        <v>90</v>
      </c>
      <c r="CP15" s="15" t="n">
        <v>260</v>
      </c>
      <c r="CQ15" s="16" t="n">
        <f aca="false">IF((CO15-CP15)&lt;0,0,(CO15-CP15))</f>
        <v>0</v>
      </c>
      <c r="CR15" s="7"/>
    </row>
    <row r="16" customFormat="false" ht="12.75" hidden="false" customHeight="true" outlineLevel="0" collapsed="false">
      <c r="A16" s="7" t="s">
        <v>95</v>
      </c>
      <c r="B16" s="7" t="s">
        <v>110</v>
      </c>
      <c r="C16" s="8" t="n">
        <v>303002002</v>
      </c>
      <c r="D16" s="9" t="n">
        <v>60</v>
      </c>
      <c r="E16" s="9" t="n">
        <v>120</v>
      </c>
      <c r="F16" s="9" t="n">
        <v>240</v>
      </c>
      <c r="G16" s="9" t="n">
        <v>420</v>
      </c>
      <c r="H16" s="9" t="n">
        <v>90</v>
      </c>
      <c r="I16" s="9" t="n">
        <v>300</v>
      </c>
      <c r="J16" s="9" t="n">
        <v>330</v>
      </c>
      <c r="K16" s="9" t="n">
        <v>420</v>
      </c>
      <c r="L16" s="9" t="n">
        <v>360</v>
      </c>
      <c r="M16" s="9" t="n">
        <v>180</v>
      </c>
      <c r="N16" s="9" t="n">
        <v>300</v>
      </c>
      <c r="O16" s="9" t="n">
        <v>240</v>
      </c>
      <c r="P16" s="9" t="n">
        <v>180</v>
      </c>
      <c r="Q16" s="9" t="n">
        <v>150</v>
      </c>
      <c r="R16" s="9" t="n">
        <v>300</v>
      </c>
      <c r="S16" s="9" t="n">
        <v>300</v>
      </c>
      <c r="T16" s="9" t="n">
        <v>310</v>
      </c>
      <c r="U16" s="9" t="n">
        <v>210</v>
      </c>
      <c r="V16" s="9" t="n">
        <v>90</v>
      </c>
      <c r="W16" s="9" t="n">
        <v>360</v>
      </c>
      <c r="X16" s="9" t="n">
        <v>300</v>
      </c>
      <c r="Y16" s="9" t="n">
        <v>180</v>
      </c>
      <c r="Z16" s="9" t="n">
        <v>210</v>
      </c>
      <c r="AA16" s="9" t="n">
        <v>180</v>
      </c>
      <c r="AB16" s="9" t="n">
        <v>240</v>
      </c>
      <c r="AC16" s="9" t="n">
        <v>390</v>
      </c>
      <c r="AD16" s="9" t="n">
        <v>80</v>
      </c>
      <c r="AE16" s="9" t="n">
        <v>210</v>
      </c>
      <c r="AF16" s="9" t="n">
        <v>330</v>
      </c>
      <c r="AG16" s="9" t="n">
        <v>240</v>
      </c>
      <c r="AH16" s="9" t="n">
        <v>150</v>
      </c>
      <c r="AI16" s="9" t="n">
        <v>210</v>
      </c>
      <c r="AJ16" s="9" t="n">
        <v>120</v>
      </c>
      <c r="AK16" s="9" t="n">
        <v>330</v>
      </c>
      <c r="AL16" s="9" t="n">
        <v>210</v>
      </c>
      <c r="AM16" s="9" t="n">
        <v>180</v>
      </c>
      <c r="AN16" s="9" t="n">
        <v>240</v>
      </c>
      <c r="AO16" s="9" t="n">
        <v>240</v>
      </c>
      <c r="AP16" s="9" t="n">
        <v>330</v>
      </c>
      <c r="AQ16" s="9" t="n">
        <v>240</v>
      </c>
      <c r="AR16" s="9" t="n">
        <v>270</v>
      </c>
      <c r="AS16" s="9" t="n">
        <v>180</v>
      </c>
      <c r="AT16" s="9" t="n">
        <v>390</v>
      </c>
      <c r="AU16" s="9" t="n">
        <v>180</v>
      </c>
      <c r="AV16" s="9" t="n">
        <v>120</v>
      </c>
      <c r="AW16" s="9" t="n">
        <v>180</v>
      </c>
      <c r="AX16" s="9" t="n">
        <v>270</v>
      </c>
      <c r="AY16" s="9" t="n">
        <v>270</v>
      </c>
      <c r="AZ16" s="9" t="n">
        <v>150</v>
      </c>
      <c r="BA16" s="9" t="n">
        <v>200</v>
      </c>
      <c r="BB16" s="9" t="n">
        <v>200</v>
      </c>
      <c r="BC16" s="9" t="n">
        <v>360</v>
      </c>
      <c r="BD16" s="9" t="n">
        <v>120</v>
      </c>
      <c r="BE16" s="9" t="n">
        <v>180</v>
      </c>
      <c r="BF16" s="9" t="n">
        <v>90</v>
      </c>
      <c r="BG16" s="9" t="n">
        <v>270</v>
      </c>
      <c r="BH16" s="9" t="n">
        <v>180</v>
      </c>
      <c r="BI16" s="9" t="n">
        <v>240</v>
      </c>
      <c r="BJ16" s="9" t="n">
        <v>210</v>
      </c>
      <c r="BK16" s="9" t="n">
        <v>120</v>
      </c>
      <c r="BL16" s="9" t="n">
        <v>250</v>
      </c>
      <c r="BM16" s="9" t="n">
        <v>280</v>
      </c>
      <c r="BN16" s="9" t="n">
        <v>300</v>
      </c>
      <c r="BO16" s="9" t="n">
        <v>160</v>
      </c>
      <c r="BP16" s="9" t="n">
        <v>300</v>
      </c>
      <c r="BQ16" s="9" t="n">
        <v>150</v>
      </c>
      <c r="BR16" s="9" t="n">
        <v>180</v>
      </c>
      <c r="BS16" s="9" t="n">
        <v>210</v>
      </c>
      <c r="BT16" s="9" t="n">
        <v>150</v>
      </c>
      <c r="BU16" s="10" t="n">
        <v>15730</v>
      </c>
      <c r="BV16" s="11" t="n">
        <f aca="false">IF(ISERROR(ROUND(MEDIAN(BQ16:BT16),0)),0,ROUND(MEDIAN(BQ16:BT16),0))</f>
        <v>165</v>
      </c>
      <c r="BW16" s="11" t="n">
        <f aca="false">IF(ISERROR(ROUND(MEDIAN(BM16:BT16),0)),0,ROUND(MEDIAN(BM16:BT16),0))</f>
        <v>195</v>
      </c>
      <c r="BX16" s="11" t="n">
        <f aca="false">IF(ISERROR(ROUND(MEDIAN(BI16:BT16),0)),0,ROUND(MEDIAN(BI16:BT16),0))</f>
        <v>210</v>
      </c>
      <c r="BY16" s="11" t="n">
        <f aca="false">IF(ISERROR(ROUND(MEDIAN(BE16:BT16),0)),0,ROUND(MEDIAN(BE16:BT16),0))</f>
        <v>195</v>
      </c>
      <c r="BZ16" s="11" t="n">
        <f aca="false">IF(ISERROR(ROUND(MEDIAN(AU16:BT16),0)),0,ROUND(MEDIAN(AU16:BT16),0))</f>
        <v>190</v>
      </c>
      <c r="CA16" s="12" t="n">
        <f aca="false">IF(ISERROR(ROUND(MEDIAN(U16:BT16),0)),0,ROUND(MEDIAN(U16:BT16),0))</f>
        <v>210</v>
      </c>
      <c r="CB16" s="12" t="n">
        <f aca="false">IF(ISERROR(ROUND(MEDIAN(BT16),0)),0,ROUND(MEDIAN(BT16),0))</f>
        <v>150</v>
      </c>
      <c r="CC16" s="12" t="n">
        <f aca="false">IF(ISERROR(ROUND(MEDIAN(D16:BT16),0)),0,ROUND(MEDIAN(D16:BT16),0))</f>
        <v>210</v>
      </c>
      <c r="CD16" s="12" t="n">
        <f aca="false">MAX(D16:BT16)</f>
        <v>420</v>
      </c>
      <c r="CE16" s="7" t="n">
        <f aca="false">COUNTA(BQ16:BT16)</f>
        <v>4</v>
      </c>
      <c r="CF16" s="7" t="n">
        <f aca="false">COUNTA(BM16:BT16)</f>
        <v>8</v>
      </c>
      <c r="CG16" s="7" t="n">
        <f aca="false">COUNTA(BI16:BT16)</f>
        <v>12</v>
      </c>
      <c r="CH16" s="7" t="n">
        <f aca="false">COUNTA(BE16:BT16)</f>
        <v>16</v>
      </c>
      <c r="CI16" s="7" t="n">
        <f aca="false">COUNTA(AU16:BT16)</f>
        <v>26</v>
      </c>
      <c r="CJ16" s="7" t="n">
        <f aca="false">COUNTA(U16:BT16)</f>
        <v>52</v>
      </c>
      <c r="CK16" s="7" t="n">
        <f aca="false">COUNTA(BT16)</f>
        <v>1</v>
      </c>
      <c r="CL16" s="7" t="n">
        <f aca="false">COUNTA(D16:BT16)</f>
        <v>69</v>
      </c>
      <c r="CM16" s="13" t="str">
        <f aca="false">IF(AND(CE16=1,CJ16=1,BT16&lt;&gt;""),"5.ENTRANTES",IF(AND(CE16&lt;&gt;0,CE16/RIGHT($CE$1,1)&gt;=0.5,CJ16=CE16),"4.RECENTES",IF(AND(CF16&lt;&gt;0,CF16/RIGHT($CF$1,1)&gt;=0.5,CJ16=CF16),"4.RECENTES",IF(AND(CG16&lt;&gt;0,CG16/RIGHT($CG$1,2)&gt;=0.5,CJ16=CG16),"4.RECENTES",IF(AND(CH16&lt;&gt;0,CH16/RIGHT($CH$1,2)&gt;=0.5,CJ16=CH16),"4.RECENTES",IF(AND(CI16&lt;&gt;0,CI16/RIGHT($CI$1,2)&gt;=0.5,CJ16=CI16),"4.RECENTES",IF(AND(CE16=0,CF16=0,CG16=0,CH16=0),"3.INATIVOS",IF(CJ16/RIGHT($CJ$1,2)&lt;0.5,"2.INTERMITENTES","1.ORDINÁRIOS"))))))))</f>
        <v>1.ORDINÁRIOS</v>
      </c>
      <c r="CN16" s="14" t="n">
        <f aca="false">IF(AND(CE16=1,CJ16=1,BT16&lt;&gt;""),BT16,IF(AND(CE16&lt;&gt;0,CE16/RIGHT($CE$1,1)&gt;=0.5,CJ16=CE16),MAX(BV16:CC16),IF(AND(CF16&lt;&gt;0,CF16/RIGHT($CF$1,1)&gt;=0.5,CJ16=CF16),MAX(BV16:CC16),IF(AND(CG16&lt;&gt;0,CG16/RIGHT($CG$1,2)&gt;=0.5,CJ16=CG16),MAX(BV16:CC16),IF(AND(CH16&lt;&gt;0,CH16/RIGHT($CH$1,2)&gt;=0.5,CJ16=CH16),MAX(BV16:CC16),IF(AND(CI16&lt;&gt;0,CI16/RIGHT($CI$1,2)&gt;=0.5,CJ16=CI16),MAX(BV16:CC16),IF(AND(CE16=0,CF16=0,CG16=0,CH16=0),0,IF(CJ16/RIGHT($CJ$1,2)&lt;0.5,ROUND(BU16/RIGHT($CJ$1,2),0),MAX(BV16:CC16)))))))))</f>
        <v>210</v>
      </c>
      <c r="CO16" s="14" t="n">
        <f aca="false">CN16*3</f>
        <v>630</v>
      </c>
      <c r="CP16" s="15" t="n">
        <v>550</v>
      </c>
      <c r="CQ16" s="16" t="n">
        <f aca="false">IF((CO16-CP16)&lt;0,0,(CO16-CP16))</f>
        <v>80</v>
      </c>
      <c r="CR16" s="7"/>
    </row>
    <row r="17" customFormat="false" ht="12.75" hidden="false" customHeight="true" outlineLevel="0" collapsed="false">
      <c r="A17" s="7" t="s">
        <v>95</v>
      </c>
      <c r="B17" s="7" t="s">
        <v>111</v>
      </c>
      <c r="C17" s="8" t="n">
        <v>302002001</v>
      </c>
      <c r="D17" s="9" t="n">
        <v>270</v>
      </c>
      <c r="E17" s="9" t="n">
        <v>1210</v>
      </c>
      <c r="F17" s="9" t="n">
        <v>1860</v>
      </c>
      <c r="G17" s="9" t="n">
        <v>840</v>
      </c>
      <c r="H17" s="9" t="n">
        <v>690</v>
      </c>
      <c r="I17" s="9" t="n">
        <v>1670</v>
      </c>
      <c r="J17" s="9" t="n">
        <v>1250</v>
      </c>
      <c r="K17" s="9" t="n">
        <v>623</v>
      </c>
      <c r="L17" s="9" t="n">
        <v>1680</v>
      </c>
      <c r="M17" s="9" t="n">
        <v>750</v>
      </c>
      <c r="N17" s="9" t="n">
        <v>960</v>
      </c>
      <c r="O17" s="9" t="n">
        <v>960</v>
      </c>
      <c r="P17" s="9" t="n">
        <v>1200</v>
      </c>
      <c r="Q17" s="9" t="n">
        <v>930</v>
      </c>
      <c r="R17" s="9" t="n">
        <v>990</v>
      </c>
      <c r="S17" s="9" t="n">
        <v>1070</v>
      </c>
      <c r="T17" s="9" t="n">
        <v>900</v>
      </c>
      <c r="U17" s="9" t="n">
        <v>860</v>
      </c>
      <c r="V17" s="9" t="n">
        <v>1200</v>
      </c>
      <c r="W17" s="9" t="n">
        <v>1400</v>
      </c>
      <c r="X17" s="9" t="n">
        <v>890</v>
      </c>
      <c r="Y17" s="9" t="n">
        <v>830</v>
      </c>
      <c r="Z17" s="9" t="n">
        <v>690</v>
      </c>
      <c r="AA17" s="9" t="n">
        <v>1190</v>
      </c>
      <c r="AB17" s="9" t="n">
        <v>1250</v>
      </c>
      <c r="AC17" s="9" t="n">
        <v>1130</v>
      </c>
      <c r="AD17" s="9" t="n">
        <v>1300</v>
      </c>
      <c r="AE17" s="9" t="n">
        <v>900</v>
      </c>
      <c r="AF17" s="9" t="n">
        <v>600</v>
      </c>
      <c r="AG17" s="9" t="n">
        <v>1390</v>
      </c>
      <c r="AH17" s="9" t="n">
        <v>1320</v>
      </c>
      <c r="AI17" s="9" t="n">
        <v>1231</v>
      </c>
      <c r="AJ17" s="9" t="n">
        <v>1389</v>
      </c>
      <c r="AK17" s="9" t="n">
        <v>910</v>
      </c>
      <c r="AL17" s="9" t="n">
        <v>1340</v>
      </c>
      <c r="AM17" s="9" t="n">
        <v>820</v>
      </c>
      <c r="AN17" s="9" t="n">
        <v>980</v>
      </c>
      <c r="AO17" s="9" t="n">
        <v>1260</v>
      </c>
      <c r="AP17" s="9" t="n">
        <v>1300</v>
      </c>
      <c r="AQ17" s="9" t="n">
        <v>1140</v>
      </c>
      <c r="AR17" s="9" t="n">
        <v>920</v>
      </c>
      <c r="AS17" s="9" t="n">
        <v>1140</v>
      </c>
      <c r="AT17" s="9" t="n">
        <v>980</v>
      </c>
      <c r="AU17" s="9" t="n">
        <v>630</v>
      </c>
      <c r="AV17" s="9" t="n">
        <v>1060</v>
      </c>
      <c r="AW17" s="9" t="n">
        <v>800</v>
      </c>
      <c r="AX17" s="9" t="n">
        <v>560</v>
      </c>
      <c r="AY17" s="9" t="n">
        <v>540</v>
      </c>
      <c r="AZ17" s="9" t="n">
        <v>910</v>
      </c>
      <c r="BA17" s="9" t="n">
        <v>1100</v>
      </c>
      <c r="BB17" s="9" t="n">
        <v>520</v>
      </c>
      <c r="BC17" s="9" t="n">
        <v>880</v>
      </c>
      <c r="BD17" s="9" t="n">
        <v>620</v>
      </c>
      <c r="BE17" s="9" t="n">
        <v>870</v>
      </c>
      <c r="BF17" s="9" t="n">
        <v>800</v>
      </c>
      <c r="BG17" s="9" t="n">
        <v>360</v>
      </c>
      <c r="BH17" s="9" t="n">
        <v>770</v>
      </c>
      <c r="BI17" s="9" t="n">
        <v>630</v>
      </c>
      <c r="BJ17" s="9" t="n">
        <v>980</v>
      </c>
      <c r="BK17" s="9" t="n">
        <v>760</v>
      </c>
      <c r="BL17" s="9" t="n">
        <v>520</v>
      </c>
      <c r="BM17" s="9" t="n">
        <v>440</v>
      </c>
      <c r="BN17" s="9" t="n">
        <v>760</v>
      </c>
      <c r="BO17" s="9" t="n">
        <v>980</v>
      </c>
      <c r="BP17" s="9" t="n">
        <v>940</v>
      </c>
      <c r="BQ17" s="9" t="n">
        <v>780</v>
      </c>
      <c r="BR17" s="9" t="n">
        <v>920</v>
      </c>
      <c r="BS17" s="9" t="n">
        <v>780</v>
      </c>
      <c r="BT17" s="9" t="n">
        <v>450</v>
      </c>
      <c r="BU17" s="10" t="n">
        <v>65573</v>
      </c>
      <c r="BV17" s="11" t="n">
        <f aca="false">IF(ISERROR(ROUND(MEDIAN(BQ17:BT17),0)),0,ROUND(MEDIAN(BQ17:BT17),0))</f>
        <v>780</v>
      </c>
      <c r="BW17" s="11" t="n">
        <f aca="false">IF(ISERROR(ROUND(MEDIAN(BM17:BT17),0)),0,ROUND(MEDIAN(BM17:BT17),0))</f>
        <v>780</v>
      </c>
      <c r="BX17" s="11" t="n">
        <f aca="false">IF(ISERROR(ROUND(MEDIAN(BI17:BT17),0)),0,ROUND(MEDIAN(BI17:BT17),0))</f>
        <v>770</v>
      </c>
      <c r="BY17" s="11" t="n">
        <f aca="false">IF(ISERROR(ROUND(MEDIAN(BE17:BT17),0)),0,ROUND(MEDIAN(BE17:BT17),0))</f>
        <v>775</v>
      </c>
      <c r="BZ17" s="11" t="n">
        <f aca="false">IF(ISERROR(ROUND(MEDIAN(AU17:BT17),0)),0,ROUND(MEDIAN(AU17:BT17),0))</f>
        <v>775</v>
      </c>
      <c r="CA17" s="12" t="n">
        <f aca="false">IF(ISERROR(ROUND(MEDIAN(U17:BT17),0)),0,ROUND(MEDIAN(U17:BT17),0))</f>
        <v>905</v>
      </c>
      <c r="CB17" s="12" t="n">
        <f aca="false">IF(ISERROR(ROUND(MEDIAN(BT17),0)),0,ROUND(MEDIAN(BT17),0))</f>
        <v>450</v>
      </c>
      <c r="CC17" s="12" t="n">
        <f aca="false">IF(ISERROR(ROUND(MEDIAN(D17:BT17),0)),0,ROUND(MEDIAN(D17:BT17),0))</f>
        <v>920</v>
      </c>
      <c r="CD17" s="12" t="n">
        <f aca="false">MAX(D17:BT17)</f>
        <v>1860</v>
      </c>
      <c r="CE17" s="7" t="n">
        <f aca="false">COUNTA(BQ17:BT17)</f>
        <v>4</v>
      </c>
      <c r="CF17" s="7" t="n">
        <f aca="false">COUNTA(BM17:BT17)</f>
        <v>8</v>
      </c>
      <c r="CG17" s="7" t="n">
        <f aca="false">COUNTA(BI17:BT17)</f>
        <v>12</v>
      </c>
      <c r="CH17" s="7" t="n">
        <f aca="false">COUNTA(BE17:BT17)</f>
        <v>16</v>
      </c>
      <c r="CI17" s="7" t="n">
        <f aca="false">COUNTA(AU17:BT17)</f>
        <v>26</v>
      </c>
      <c r="CJ17" s="7" t="n">
        <f aca="false">COUNTA(U17:BT17)</f>
        <v>52</v>
      </c>
      <c r="CK17" s="7" t="n">
        <f aca="false">COUNTA(BT17)</f>
        <v>1</v>
      </c>
      <c r="CL17" s="7" t="n">
        <f aca="false">COUNTA(D17:BT17)</f>
        <v>69</v>
      </c>
      <c r="CM17" s="13" t="str">
        <f aca="false">IF(AND(CE17=1,CJ17=1,BT17&lt;&gt;""),"5.ENTRANTES",IF(AND(CE17&lt;&gt;0,CE17/RIGHT($CE$1,1)&gt;=0.5,CJ17=CE17),"4.RECENTES",IF(AND(CF17&lt;&gt;0,CF17/RIGHT($CF$1,1)&gt;=0.5,CJ17=CF17),"4.RECENTES",IF(AND(CG17&lt;&gt;0,CG17/RIGHT($CG$1,2)&gt;=0.5,CJ17=CG17),"4.RECENTES",IF(AND(CH17&lt;&gt;0,CH17/RIGHT($CH$1,2)&gt;=0.5,CJ17=CH17),"4.RECENTES",IF(AND(CI17&lt;&gt;0,CI17/RIGHT($CI$1,2)&gt;=0.5,CJ17=CI17),"4.RECENTES",IF(AND(CE17=0,CF17=0,CG17=0,CH17=0),"3.INATIVOS",IF(CJ17/RIGHT($CJ$1,2)&lt;0.5,"2.INTERMITENTES","1.ORDINÁRIOS"))))))))</f>
        <v>1.ORDINÁRIOS</v>
      </c>
      <c r="CN17" s="14" t="n">
        <f aca="false">IF(AND(CE17=1,CJ17=1,BT17&lt;&gt;""),BT17,IF(AND(CE17&lt;&gt;0,CE17/RIGHT($CE$1,1)&gt;=0.5,CJ17=CE17),MAX(BV17:CC17),IF(AND(CF17&lt;&gt;0,CF17/RIGHT($CF$1,1)&gt;=0.5,CJ17=CF17),MAX(BV17:CC17),IF(AND(CG17&lt;&gt;0,CG17/RIGHT($CG$1,2)&gt;=0.5,CJ17=CG17),MAX(BV17:CC17),IF(AND(CH17&lt;&gt;0,CH17/RIGHT($CH$1,2)&gt;=0.5,CJ17=CH17),MAX(BV17:CC17),IF(AND(CI17&lt;&gt;0,CI17/RIGHT($CI$1,2)&gt;=0.5,CJ17=CI17),MAX(BV17:CC17),IF(AND(CE17=0,CF17=0,CG17=0,CH17=0),0,IF(CJ17/RIGHT($CJ$1,2)&lt;0.5,ROUND(BU17/RIGHT($CJ$1,2),0),MAX(BV17:CC17)))))))))</f>
        <v>920</v>
      </c>
      <c r="CO17" s="14" t="n">
        <f aca="false">CN17*3</f>
        <v>2760</v>
      </c>
      <c r="CP17" s="15" t="n">
        <v>1990</v>
      </c>
      <c r="CQ17" s="16" t="n">
        <f aca="false">IF((CO17-CP17)&lt;0,0,(CO17-CP17))</f>
        <v>770</v>
      </c>
      <c r="CR17" s="7"/>
    </row>
    <row r="18" customFormat="false" ht="12.75" hidden="false" customHeight="true" outlineLevel="0" collapsed="false">
      <c r="A18" s="7" t="s">
        <v>95</v>
      </c>
      <c r="B18" s="7" t="s">
        <v>112</v>
      </c>
      <c r="C18" s="8" t="n">
        <v>22001007</v>
      </c>
      <c r="D18" s="9"/>
      <c r="E18" s="9"/>
      <c r="F18" s="9"/>
      <c r="G18" s="9"/>
      <c r="H18" s="9"/>
      <c r="I18" s="9" t="n">
        <v>30</v>
      </c>
      <c r="J18" s="9" t="n">
        <v>105</v>
      </c>
      <c r="K18" s="9" t="n">
        <v>63</v>
      </c>
      <c r="L18" s="9" t="n">
        <v>12</v>
      </c>
      <c r="M18" s="9"/>
      <c r="N18" s="9"/>
      <c r="O18" s="9"/>
      <c r="P18" s="9"/>
      <c r="Q18" s="9"/>
      <c r="R18" s="9"/>
      <c r="S18" s="9" t="n">
        <v>36</v>
      </c>
      <c r="T18" s="9" t="n">
        <v>72</v>
      </c>
      <c r="U18" s="9" t="n">
        <v>72</v>
      </c>
      <c r="V18" s="9" t="n">
        <v>18</v>
      </c>
      <c r="W18" s="9"/>
      <c r="X18" s="9" t="n">
        <v>54</v>
      </c>
      <c r="Y18" s="9" t="n">
        <v>42</v>
      </c>
      <c r="Z18" s="9" t="n">
        <v>42</v>
      </c>
      <c r="AA18" s="9" t="n">
        <v>132</v>
      </c>
      <c r="AB18" s="9" t="n">
        <v>63</v>
      </c>
      <c r="AC18" s="9" t="n">
        <v>78</v>
      </c>
      <c r="AD18" s="9" t="n">
        <v>39</v>
      </c>
      <c r="AE18" s="9" t="n">
        <v>78</v>
      </c>
      <c r="AF18" s="9" t="n">
        <v>77</v>
      </c>
      <c r="AG18" s="9" t="n">
        <v>215</v>
      </c>
      <c r="AH18" s="9" t="n">
        <v>86</v>
      </c>
      <c r="AI18" s="9" t="n">
        <v>86</v>
      </c>
      <c r="AJ18" s="9" t="n">
        <v>183</v>
      </c>
      <c r="AK18" s="9" t="n">
        <v>189</v>
      </c>
      <c r="AL18" s="9" t="n">
        <v>165</v>
      </c>
      <c r="AM18" s="9" t="n">
        <v>84</v>
      </c>
      <c r="AN18" s="9" t="n">
        <v>204</v>
      </c>
      <c r="AO18" s="9" t="n">
        <v>87</v>
      </c>
      <c r="AP18" s="9" t="n">
        <v>120</v>
      </c>
      <c r="AQ18" s="9" t="n">
        <v>57</v>
      </c>
      <c r="AR18" s="9" t="n">
        <v>294</v>
      </c>
      <c r="AS18" s="9" t="n">
        <v>339</v>
      </c>
      <c r="AT18" s="9" t="n">
        <v>405</v>
      </c>
      <c r="AU18" s="9" t="n">
        <v>232</v>
      </c>
      <c r="AV18" s="9" t="n">
        <v>240</v>
      </c>
      <c r="AW18" s="9" t="n">
        <v>156</v>
      </c>
      <c r="AX18" s="9" t="n">
        <v>219</v>
      </c>
      <c r="AY18" s="9" t="n">
        <v>66</v>
      </c>
      <c r="AZ18" s="9" t="n">
        <v>103</v>
      </c>
      <c r="BA18" s="9" t="n">
        <v>254</v>
      </c>
      <c r="BB18" s="9" t="n">
        <v>253</v>
      </c>
      <c r="BC18" s="9" t="n">
        <v>225</v>
      </c>
      <c r="BD18" s="9" t="n">
        <v>242</v>
      </c>
      <c r="BE18" s="9" t="n">
        <v>244</v>
      </c>
      <c r="BF18" s="9" t="n">
        <v>523</v>
      </c>
      <c r="BG18" s="9" t="n">
        <v>211</v>
      </c>
      <c r="BH18" s="9" t="n">
        <v>477</v>
      </c>
      <c r="BI18" s="9" t="n">
        <v>214</v>
      </c>
      <c r="BJ18" s="9" t="n">
        <v>387</v>
      </c>
      <c r="BK18" s="9" t="n">
        <v>126</v>
      </c>
      <c r="BL18" s="9" t="n">
        <v>84</v>
      </c>
      <c r="BM18" s="9" t="n">
        <v>540</v>
      </c>
      <c r="BN18" s="9" t="n">
        <v>240</v>
      </c>
      <c r="BO18" s="9" t="n">
        <v>333</v>
      </c>
      <c r="BP18" s="9" t="n">
        <v>291</v>
      </c>
      <c r="BQ18" s="9" t="n">
        <v>297</v>
      </c>
      <c r="BR18" s="9" t="n">
        <v>345</v>
      </c>
      <c r="BS18" s="9" t="n">
        <v>174</v>
      </c>
      <c r="BT18" s="9" t="n">
        <v>165</v>
      </c>
      <c r="BU18" s="10" t="n">
        <v>10168</v>
      </c>
      <c r="BV18" s="11" t="n">
        <f aca="false">IF(ISERROR(ROUND(MEDIAN(BQ18:BT18),0)),0,ROUND(MEDIAN(BQ18:BT18),0))</f>
        <v>236</v>
      </c>
      <c r="BW18" s="11" t="n">
        <f aca="false">IF(ISERROR(ROUND(MEDIAN(BM18:BT18),0)),0,ROUND(MEDIAN(BM18:BT18),0))</f>
        <v>294</v>
      </c>
      <c r="BX18" s="11" t="n">
        <f aca="false">IF(ISERROR(ROUND(MEDIAN(BI18:BT18),0)),0,ROUND(MEDIAN(BI18:BT18),0))</f>
        <v>266</v>
      </c>
      <c r="BY18" s="11" t="n">
        <f aca="false">IF(ISERROR(ROUND(MEDIAN(BE18:BT18),0)),0,ROUND(MEDIAN(BE18:BT18),0))</f>
        <v>268</v>
      </c>
      <c r="BZ18" s="11" t="n">
        <f aca="false">IF(ISERROR(ROUND(MEDIAN(AU18:BT18),0)),0,ROUND(MEDIAN(AU18:BT18),0))</f>
        <v>240</v>
      </c>
      <c r="CA18" s="12" t="n">
        <f aca="false">IF(ISERROR(ROUND(MEDIAN(U18:BT18),0)),0,ROUND(MEDIAN(U18:BT18),0))</f>
        <v>183</v>
      </c>
      <c r="CB18" s="12" t="n">
        <f aca="false">IF(ISERROR(ROUND(MEDIAN(BT18),0)),0,ROUND(MEDIAN(BT18),0))</f>
        <v>165</v>
      </c>
      <c r="CC18" s="12" t="n">
        <f aca="false">IF(ISERROR(ROUND(MEDIAN(D18:BT18),0)),0,ROUND(MEDIAN(D18:BT18),0))</f>
        <v>165</v>
      </c>
      <c r="CD18" s="12" t="n">
        <f aca="false">MAX(D18:BT18)</f>
        <v>540</v>
      </c>
      <c r="CE18" s="7" t="n">
        <f aca="false">COUNTA(BQ18:BT18)</f>
        <v>4</v>
      </c>
      <c r="CF18" s="7" t="n">
        <f aca="false">COUNTA(BM18:BT18)</f>
        <v>8</v>
      </c>
      <c r="CG18" s="7" t="n">
        <f aca="false">COUNTA(BI18:BT18)</f>
        <v>12</v>
      </c>
      <c r="CH18" s="7" t="n">
        <f aca="false">COUNTA(BE18:BT18)</f>
        <v>16</v>
      </c>
      <c r="CI18" s="7" t="n">
        <f aca="false">COUNTA(AU18:BT18)</f>
        <v>26</v>
      </c>
      <c r="CJ18" s="7" t="n">
        <f aca="false">COUNTA(U18:BT18)</f>
        <v>51</v>
      </c>
      <c r="CK18" s="7" t="n">
        <f aca="false">COUNTA(BT18)</f>
        <v>1</v>
      </c>
      <c r="CL18" s="7" t="n">
        <f aca="false">COUNTA(D18:BT18)</f>
        <v>57</v>
      </c>
      <c r="CM18" s="13" t="str">
        <f aca="false">IF(AND(CE18=1,CJ18=1,BT18&lt;&gt;""),"5.ENTRANTES",IF(AND(CE18&lt;&gt;0,CE18/RIGHT($CE$1,1)&gt;=0.5,CJ18=CE18),"4.RECENTES",IF(AND(CF18&lt;&gt;0,CF18/RIGHT($CF$1,1)&gt;=0.5,CJ18=CF18),"4.RECENTES",IF(AND(CG18&lt;&gt;0,CG18/RIGHT($CG$1,2)&gt;=0.5,CJ18=CG18),"4.RECENTES",IF(AND(CH18&lt;&gt;0,CH18/RIGHT($CH$1,2)&gt;=0.5,CJ18=CH18),"4.RECENTES",IF(AND(CI18&lt;&gt;0,CI18/RIGHT($CI$1,2)&gt;=0.5,CJ18=CI18),"4.RECENTES",IF(AND(CE18=0,CF18=0,CG18=0,CH18=0),"3.INATIVOS",IF(CJ18/RIGHT($CJ$1,2)&lt;0.5,"2.INTERMITENTES","1.ORDINÁRIOS"))))))))</f>
        <v>1.ORDINÁRIOS</v>
      </c>
      <c r="CN18" s="14" t="n">
        <f aca="false">IF(AND(CE18=1,CJ18=1,BT18&lt;&gt;""),BT18,IF(AND(CE18&lt;&gt;0,CE18/RIGHT($CE$1,1)&gt;=0.5,CJ18=CE18),MAX(BV18:CC18),IF(AND(CF18&lt;&gt;0,CF18/RIGHT($CF$1,1)&gt;=0.5,CJ18=CF18),MAX(BV18:CC18),IF(AND(CG18&lt;&gt;0,CG18/RIGHT($CG$1,2)&gt;=0.5,CJ18=CG18),MAX(BV18:CC18),IF(AND(CH18&lt;&gt;0,CH18/RIGHT($CH$1,2)&gt;=0.5,CJ18=CH18),MAX(BV18:CC18),IF(AND(CI18&lt;&gt;0,CI18/RIGHT($CI$1,2)&gt;=0.5,CJ18=CI18),MAX(BV18:CC18),IF(AND(CE18=0,CF18=0,CG18=0,CH18=0),0,IF(CJ18/RIGHT($CJ$1,2)&lt;0.5,ROUND(BU18/RIGHT($CJ$1,2),0),MAX(BV18:CC18)))))))))</f>
        <v>294</v>
      </c>
      <c r="CO18" s="14" t="n">
        <f aca="false">CN18*3</f>
        <v>882</v>
      </c>
      <c r="CP18" s="15" t="n">
        <v>356</v>
      </c>
      <c r="CQ18" s="16" t="n">
        <f aca="false">IF((CO18-CP18)&lt;0,0,(CO18-CP18))</f>
        <v>526</v>
      </c>
      <c r="CR18" s="7"/>
    </row>
    <row r="19" customFormat="false" ht="12.75" hidden="false" customHeight="true" outlineLevel="0" collapsed="false">
      <c r="A19" s="7" t="s">
        <v>95</v>
      </c>
      <c r="B19" s="7" t="s">
        <v>113</v>
      </c>
      <c r="C19" s="8" t="n">
        <v>301001004</v>
      </c>
      <c r="D19" s="9"/>
      <c r="E19" s="9" t="n">
        <v>3</v>
      </c>
      <c r="F19" s="9" t="n">
        <v>3</v>
      </c>
      <c r="G19" s="9" t="n">
        <v>2</v>
      </c>
      <c r="H19" s="9"/>
      <c r="I19" s="9" t="n">
        <v>5</v>
      </c>
      <c r="J19" s="9" t="n">
        <v>3</v>
      </c>
      <c r="K19" s="9" t="n">
        <v>7</v>
      </c>
      <c r="L19" s="9" t="n">
        <v>9</v>
      </c>
      <c r="M19" s="9"/>
      <c r="N19" s="9" t="n">
        <v>5</v>
      </c>
      <c r="O19" s="9"/>
      <c r="P19" s="9" t="n">
        <v>3</v>
      </c>
      <c r="Q19" s="9"/>
      <c r="R19" s="9" t="n">
        <v>1</v>
      </c>
      <c r="S19" s="9" t="n">
        <v>6</v>
      </c>
      <c r="T19" s="9"/>
      <c r="U19" s="9"/>
      <c r="V19" s="9"/>
      <c r="W19" s="9" t="n">
        <v>2</v>
      </c>
      <c r="X19" s="9" t="n">
        <v>4</v>
      </c>
      <c r="Y19" s="9"/>
      <c r="Z19" s="9" t="n">
        <v>2</v>
      </c>
      <c r="AA19" s="9"/>
      <c r="AB19" s="9"/>
      <c r="AC19" s="9" t="n">
        <v>7</v>
      </c>
      <c r="AD19" s="9"/>
      <c r="AE19" s="9" t="n">
        <v>3</v>
      </c>
      <c r="AF19" s="9" t="n">
        <v>7</v>
      </c>
      <c r="AG19" s="9"/>
      <c r="AH19" s="9" t="n">
        <v>2</v>
      </c>
      <c r="AI19" s="9" t="n">
        <v>6</v>
      </c>
      <c r="AJ19" s="9" t="n">
        <v>6</v>
      </c>
      <c r="AK19" s="9" t="n">
        <v>16</v>
      </c>
      <c r="AL19" s="9" t="n">
        <v>3</v>
      </c>
      <c r="AM19" s="9" t="n">
        <v>10</v>
      </c>
      <c r="AN19" s="9" t="n">
        <v>2</v>
      </c>
      <c r="AO19" s="9" t="n">
        <v>19</v>
      </c>
      <c r="AP19" s="9" t="n">
        <v>4</v>
      </c>
      <c r="AQ19" s="9" t="n">
        <v>7</v>
      </c>
      <c r="AR19" s="9" t="n">
        <v>10</v>
      </c>
      <c r="AS19" s="9" t="n">
        <v>4</v>
      </c>
      <c r="AT19" s="9" t="n">
        <v>8</v>
      </c>
      <c r="AU19" s="9" t="n">
        <v>12</v>
      </c>
      <c r="AV19" s="9" t="n">
        <v>6</v>
      </c>
      <c r="AW19" s="9" t="n">
        <v>14</v>
      </c>
      <c r="AX19" s="9" t="n">
        <v>4</v>
      </c>
      <c r="AY19" s="9" t="n">
        <v>2</v>
      </c>
      <c r="AZ19" s="9" t="n">
        <v>4</v>
      </c>
      <c r="BA19" s="9" t="n">
        <v>13</v>
      </c>
      <c r="BB19" s="9" t="n">
        <v>16</v>
      </c>
      <c r="BC19" s="9" t="n">
        <v>6</v>
      </c>
      <c r="BD19" s="9" t="n">
        <v>3</v>
      </c>
      <c r="BE19" s="9" t="n">
        <v>5</v>
      </c>
      <c r="BF19" s="9" t="n">
        <v>11</v>
      </c>
      <c r="BG19" s="9" t="n">
        <v>13</v>
      </c>
      <c r="BH19" s="9" t="n">
        <v>14</v>
      </c>
      <c r="BI19" s="9" t="n">
        <v>22</v>
      </c>
      <c r="BJ19" s="9" t="n">
        <v>5</v>
      </c>
      <c r="BK19" s="9" t="n">
        <v>7</v>
      </c>
      <c r="BL19" s="9" t="n">
        <v>2</v>
      </c>
      <c r="BM19" s="9" t="n">
        <v>15</v>
      </c>
      <c r="BN19" s="9" t="n">
        <v>9</v>
      </c>
      <c r="BO19" s="9" t="n">
        <v>5</v>
      </c>
      <c r="BP19" s="9" t="n">
        <v>9</v>
      </c>
      <c r="BQ19" s="9" t="n">
        <v>7</v>
      </c>
      <c r="BR19" s="9" t="n">
        <v>7</v>
      </c>
      <c r="BS19" s="9" t="n">
        <v>3</v>
      </c>
      <c r="BT19" s="9" t="n">
        <v>7</v>
      </c>
      <c r="BU19" s="10" t="n">
        <v>390</v>
      </c>
      <c r="BV19" s="11" t="n">
        <f aca="false">IF(ISERROR(ROUND(MEDIAN(BQ19:BT19),0)),0,ROUND(MEDIAN(BQ19:BT19),0))</f>
        <v>7</v>
      </c>
      <c r="BW19" s="11" t="n">
        <f aca="false">IF(ISERROR(ROUND(MEDIAN(BM19:BT19),0)),0,ROUND(MEDIAN(BM19:BT19),0))</f>
        <v>7</v>
      </c>
      <c r="BX19" s="11" t="n">
        <f aca="false">IF(ISERROR(ROUND(MEDIAN(BI19:BT19),0)),0,ROUND(MEDIAN(BI19:BT19),0))</f>
        <v>7</v>
      </c>
      <c r="BY19" s="11" t="n">
        <f aca="false">IF(ISERROR(ROUND(MEDIAN(BE19:BT19),0)),0,ROUND(MEDIAN(BE19:BT19),0))</f>
        <v>7</v>
      </c>
      <c r="BZ19" s="11" t="n">
        <f aca="false">IF(ISERROR(ROUND(MEDIAN(AU19:BT19),0)),0,ROUND(MEDIAN(AU19:BT19),0))</f>
        <v>7</v>
      </c>
      <c r="CA19" s="12" t="n">
        <f aca="false">IF(ISERROR(ROUND(MEDIAN(U19:BT19),0)),0,ROUND(MEDIAN(U19:BT19),0))</f>
        <v>7</v>
      </c>
      <c r="CB19" s="12" t="n">
        <f aca="false">IF(ISERROR(ROUND(MEDIAN(BT19),0)),0,ROUND(MEDIAN(BT19),0))</f>
        <v>7</v>
      </c>
      <c r="CC19" s="12" t="n">
        <f aca="false">IF(ISERROR(ROUND(MEDIAN(D19:BT19),0)),0,ROUND(MEDIAN(D19:BT19),0))</f>
        <v>6</v>
      </c>
      <c r="CD19" s="12" t="n">
        <f aca="false">MAX(D19:BT19)</f>
        <v>22</v>
      </c>
      <c r="CE19" s="7" t="n">
        <f aca="false">COUNTA(BQ19:BT19)</f>
        <v>4</v>
      </c>
      <c r="CF19" s="7" t="n">
        <f aca="false">COUNTA(BM19:BT19)</f>
        <v>8</v>
      </c>
      <c r="CG19" s="7" t="n">
        <f aca="false">COUNTA(BI19:BT19)</f>
        <v>12</v>
      </c>
      <c r="CH19" s="7" t="n">
        <f aca="false">COUNTA(BE19:BT19)</f>
        <v>16</v>
      </c>
      <c r="CI19" s="7" t="n">
        <f aca="false">COUNTA(AU19:BT19)</f>
        <v>26</v>
      </c>
      <c r="CJ19" s="7" t="n">
        <f aca="false">COUNTA(U19:BT19)</f>
        <v>45</v>
      </c>
      <c r="CK19" s="7" t="n">
        <f aca="false">COUNTA(BT19)</f>
        <v>1</v>
      </c>
      <c r="CL19" s="7" t="n">
        <f aca="false">COUNTA(D19:BT19)</f>
        <v>56</v>
      </c>
      <c r="CM19" s="13" t="str">
        <f aca="false">IF(AND(CE19=1,CJ19=1,BT19&lt;&gt;""),"5.ENTRANTES",IF(AND(CE19&lt;&gt;0,CE19/RIGHT($CE$1,1)&gt;=0.5,CJ19=CE19),"4.RECENTES",IF(AND(CF19&lt;&gt;0,CF19/RIGHT($CF$1,1)&gt;=0.5,CJ19=CF19),"4.RECENTES",IF(AND(CG19&lt;&gt;0,CG19/RIGHT($CG$1,2)&gt;=0.5,CJ19=CG19),"4.RECENTES",IF(AND(CH19&lt;&gt;0,CH19/RIGHT($CH$1,2)&gt;=0.5,CJ19=CH19),"4.RECENTES",IF(AND(CI19&lt;&gt;0,CI19/RIGHT($CI$1,2)&gt;=0.5,CJ19=CI19),"4.RECENTES",IF(AND(CE19=0,CF19=0,CG19=0,CH19=0),"3.INATIVOS",IF(CJ19/RIGHT($CJ$1,2)&lt;0.5,"2.INTERMITENTES","1.ORDINÁRIOS"))))))))</f>
        <v>1.ORDINÁRIOS</v>
      </c>
      <c r="CN19" s="14" t="n">
        <f aca="false">IF(AND(CE19=1,CJ19=1,BT19&lt;&gt;""),BT19,IF(AND(CE19&lt;&gt;0,CE19/RIGHT($CE$1,1)&gt;=0.5,CJ19=CE19),MAX(BV19:CC19),IF(AND(CF19&lt;&gt;0,CF19/RIGHT($CF$1,1)&gt;=0.5,CJ19=CF19),MAX(BV19:CC19),IF(AND(CG19&lt;&gt;0,CG19/RIGHT($CG$1,2)&gt;=0.5,CJ19=CG19),MAX(BV19:CC19),IF(AND(CH19&lt;&gt;0,CH19/RIGHT($CH$1,2)&gt;=0.5,CJ19=CH19),MAX(BV19:CC19),IF(AND(CI19&lt;&gt;0,CI19/RIGHT($CI$1,2)&gt;=0.5,CJ19=CI19),MAX(BV19:CC19),IF(AND(CE19=0,CF19=0,CG19=0,CH19=0),0,IF(CJ19/RIGHT($CJ$1,2)&lt;0.5,ROUND(BU19/RIGHT($CJ$1,2),0),MAX(BV19:CC19)))))))))</f>
        <v>7</v>
      </c>
      <c r="CO19" s="14" t="n">
        <f aca="false">CN19*3</f>
        <v>21</v>
      </c>
      <c r="CP19" s="15" t="n">
        <v>10</v>
      </c>
      <c r="CQ19" s="16" t="n">
        <f aca="false">IF((CO19-CP19)&lt;0,0,(CO19-CP19))</f>
        <v>11</v>
      </c>
      <c r="CR19" s="7"/>
    </row>
    <row r="20" customFormat="false" ht="12.75" hidden="false" customHeight="true" outlineLevel="0" collapsed="false">
      <c r="A20" s="7" t="s">
        <v>95</v>
      </c>
      <c r="B20" s="7" t="s">
        <v>114</v>
      </c>
      <c r="C20" s="8" t="n">
        <v>301001001</v>
      </c>
      <c r="D20" s="9" t="n">
        <v>1</v>
      </c>
      <c r="E20" s="9" t="n">
        <v>15</v>
      </c>
      <c r="F20" s="9" t="n">
        <v>13</v>
      </c>
      <c r="G20" s="9" t="n">
        <v>10</v>
      </c>
      <c r="H20" s="9" t="n">
        <v>6</v>
      </c>
      <c r="I20" s="9" t="n">
        <v>14</v>
      </c>
      <c r="J20" s="9" t="n">
        <v>15</v>
      </c>
      <c r="K20" s="9" t="n">
        <v>11</v>
      </c>
      <c r="L20" s="9" t="n">
        <v>32</v>
      </c>
      <c r="M20" s="9" t="n">
        <v>14</v>
      </c>
      <c r="N20" s="9" t="n">
        <v>18</v>
      </c>
      <c r="O20" s="9" t="n">
        <v>12</v>
      </c>
      <c r="P20" s="9" t="n">
        <v>25</v>
      </c>
      <c r="Q20" s="9" t="n">
        <v>6</v>
      </c>
      <c r="R20" s="9" t="n">
        <v>3</v>
      </c>
      <c r="S20" s="9" t="n">
        <v>7</v>
      </c>
      <c r="T20" s="9" t="n">
        <v>9</v>
      </c>
      <c r="U20" s="9" t="n">
        <v>1</v>
      </c>
      <c r="V20" s="9" t="n">
        <v>8</v>
      </c>
      <c r="W20" s="9" t="n">
        <v>12</v>
      </c>
      <c r="X20" s="9" t="n">
        <v>14</v>
      </c>
      <c r="Y20" s="9"/>
      <c r="Z20" s="9" t="n">
        <v>8</v>
      </c>
      <c r="AA20" s="9" t="n">
        <v>5</v>
      </c>
      <c r="AB20" s="9" t="n">
        <v>11</v>
      </c>
      <c r="AC20" s="9" t="n">
        <v>15</v>
      </c>
      <c r="AD20" s="9" t="n">
        <v>12</v>
      </c>
      <c r="AE20" s="9" t="n">
        <v>15</v>
      </c>
      <c r="AF20" s="9" t="n">
        <v>14</v>
      </c>
      <c r="AG20" s="9" t="n">
        <v>23</v>
      </c>
      <c r="AH20" s="9" t="n">
        <v>16</v>
      </c>
      <c r="AI20" s="9" t="n">
        <v>24</v>
      </c>
      <c r="AJ20" s="9" t="n">
        <v>19</v>
      </c>
      <c r="AK20" s="9" t="n">
        <v>4</v>
      </c>
      <c r="AL20" s="9" t="n">
        <v>9</v>
      </c>
      <c r="AM20" s="9" t="n">
        <v>13</v>
      </c>
      <c r="AN20" s="9" t="n">
        <v>9</v>
      </c>
      <c r="AO20" s="9" t="n">
        <v>7</v>
      </c>
      <c r="AP20" s="9" t="n">
        <v>8</v>
      </c>
      <c r="AQ20" s="9" t="n">
        <v>6</v>
      </c>
      <c r="AR20" s="9" t="n">
        <v>11</v>
      </c>
      <c r="AS20" s="9" t="n">
        <v>6</v>
      </c>
      <c r="AT20" s="9" t="n">
        <v>4</v>
      </c>
      <c r="AU20" s="9" t="n">
        <v>5</v>
      </c>
      <c r="AV20" s="9" t="n">
        <v>7</v>
      </c>
      <c r="AW20" s="9" t="n">
        <v>5</v>
      </c>
      <c r="AX20" s="9" t="n">
        <v>8</v>
      </c>
      <c r="AY20" s="9"/>
      <c r="AZ20" s="9" t="n">
        <v>7</v>
      </c>
      <c r="BA20" s="9" t="n">
        <v>5</v>
      </c>
      <c r="BB20" s="9" t="n">
        <v>7</v>
      </c>
      <c r="BC20" s="9" t="n">
        <v>12</v>
      </c>
      <c r="BD20" s="9" t="n">
        <v>13</v>
      </c>
      <c r="BE20" s="9" t="n">
        <v>12</v>
      </c>
      <c r="BF20" s="9" t="n">
        <v>14</v>
      </c>
      <c r="BG20" s="9" t="n">
        <v>19</v>
      </c>
      <c r="BH20" s="9" t="n">
        <v>4</v>
      </c>
      <c r="BI20" s="9" t="n">
        <v>7</v>
      </c>
      <c r="BJ20" s="9" t="n">
        <v>17</v>
      </c>
      <c r="BK20" s="9" t="n">
        <v>3</v>
      </c>
      <c r="BL20" s="9" t="n">
        <v>4</v>
      </c>
      <c r="BM20" s="9" t="n">
        <v>34</v>
      </c>
      <c r="BN20" s="9" t="n">
        <v>11</v>
      </c>
      <c r="BO20" s="9" t="n">
        <v>12</v>
      </c>
      <c r="BP20" s="9" t="n">
        <v>7</v>
      </c>
      <c r="BQ20" s="9" t="n">
        <v>1</v>
      </c>
      <c r="BR20" s="9" t="n">
        <v>1</v>
      </c>
      <c r="BS20" s="9" t="n">
        <v>4</v>
      </c>
      <c r="BT20" s="9" t="n">
        <v>3</v>
      </c>
      <c r="BU20" s="10" t="n">
        <v>707</v>
      </c>
      <c r="BV20" s="11" t="n">
        <f aca="false">IF(ISERROR(ROUND(MEDIAN(BQ20:BT20),0)),0,ROUND(MEDIAN(BQ20:BT20),0))</f>
        <v>2</v>
      </c>
      <c r="BW20" s="11" t="n">
        <f aca="false">IF(ISERROR(ROUND(MEDIAN(BM20:BT20),0)),0,ROUND(MEDIAN(BM20:BT20),0))</f>
        <v>6</v>
      </c>
      <c r="BX20" s="11" t="n">
        <f aca="false">IF(ISERROR(ROUND(MEDIAN(BI20:BT20),0)),0,ROUND(MEDIAN(BI20:BT20),0))</f>
        <v>6</v>
      </c>
      <c r="BY20" s="11" t="n">
        <f aca="false">IF(ISERROR(ROUND(MEDIAN(BE20:BT20),0)),0,ROUND(MEDIAN(BE20:BT20),0))</f>
        <v>7</v>
      </c>
      <c r="BZ20" s="11" t="n">
        <f aca="false">IF(ISERROR(ROUND(MEDIAN(AU20:BT20),0)),0,ROUND(MEDIAN(AU20:BT20),0))</f>
        <v>7</v>
      </c>
      <c r="CA20" s="12" t="n">
        <f aca="false">IF(ISERROR(ROUND(MEDIAN(U20:BT20),0)),0,ROUND(MEDIAN(U20:BT20),0))</f>
        <v>8</v>
      </c>
      <c r="CB20" s="12" t="n">
        <f aca="false">IF(ISERROR(ROUND(MEDIAN(BT20),0)),0,ROUND(MEDIAN(BT20),0))</f>
        <v>3</v>
      </c>
      <c r="CC20" s="12" t="n">
        <f aca="false">IF(ISERROR(ROUND(MEDIAN(D20:BT20),0)),0,ROUND(MEDIAN(D20:BT20),0))</f>
        <v>9</v>
      </c>
      <c r="CD20" s="12" t="n">
        <f aca="false">MAX(D20:BT20)</f>
        <v>34</v>
      </c>
      <c r="CE20" s="7" t="n">
        <f aca="false">COUNTA(BQ20:BT20)</f>
        <v>4</v>
      </c>
      <c r="CF20" s="7" t="n">
        <f aca="false">COUNTA(BM20:BT20)</f>
        <v>8</v>
      </c>
      <c r="CG20" s="7" t="n">
        <f aca="false">COUNTA(BI20:BT20)</f>
        <v>12</v>
      </c>
      <c r="CH20" s="7" t="n">
        <f aca="false">COUNTA(BE20:BT20)</f>
        <v>16</v>
      </c>
      <c r="CI20" s="7" t="n">
        <f aca="false">COUNTA(AU20:BT20)</f>
        <v>25</v>
      </c>
      <c r="CJ20" s="7" t="n">
        <f aca="false">COUNTA(U20:BT20)</f>
        <v>50</v>
      </c>
      <c r="CK20" s="7" t="n">
        <f aca="false">COUNTA(BT20)</f>
        <v>1</v>
      </c>
      <c r="CL20" s="7" t="n">
        <f aca="false">COUNTA(D20:BT20)</f>
        <v>67</v>
      </c>
      <c r="CM20" s="13" t="str">
        <f aca="false">IF(AND(CE20=1,CJ20=1,BT20&lt;&gt;""),"5.ENTRANTES",IF(AND(CE20&lt;&gt;0,CE20/RIGHT($CE$1,1)&gt;=0.5,CJ20=CE20),"4.RECENTES",IF(AND(CF20&lt;&gt;0,CF20/RIGHT($CF$1,1)&gt;=0.5,CJ20=CF20),"4.RECENTES",IF(AND(CG20&lt;&gt;0,CG20/RIGHT($CG$1,2)&gt;=0.5,CJ20=CG20),"4.RECENTES",IF(AND(CH20&lt;&gt;0,CH20/RIGHT($CH$1,2)&gt;=0.5,CJ20=CH20),"4.RECENTES",IF(AND(CI20&lt;&gt;0,CI20/RIGHT($CI$1,2)&gt;=0.5,CJ20=CI20),"4.RECENTES",IF(AND(CE20=0,CF20=0,CG20=0,CH20=0),"3.INATIVOS",IF(CJ20/RIGHT($CJ$1,2)&lt;0.5,"2.INTERMITENTES","1.ORDINÁRIOS"))))))))</f>
        <v>1.ORDINÁRIOS</v>
      </c>
      <c r="CN20" s="14" t="n">
        <f aca="false">IF(AND(CE20=1,CJ20=1,BT20&lt;&gt;""),BT20,IF(AND(CE20&lt;&gt;0,CE20/RIGHT($CE$1,1)&gt;=0.5,CJ20=CE20),MAX(BV20:CC20),IF(AND(CF20&lt;&gt;0,CF20/RIGHT($CF$1,1)&gt;=0.5,CJ20=CF20),MAX(BV20:CC20),IF(AND(CG20&lt;&gt;0,CG20/RIGHT($CG$1,2)&gt;=0.5,CJ20=CG20),MAX(BV20:CC20),IF(AND(CH20&lt;&gt;0,CH20/RIGHT($CH$1,2)&gt;=0.5,CJ20=CH20),MAX(BV20:CC20),IF(AND(CI20&lt;&gt;0,CI20/RIGHT($CI$1,2)&gt;=0.5,CJ20=CI20),MAX(BV20:CC20),IF(AND(CE20=0,CF20=0,CG20=0,CH20=0),0,IF(CJ20/RIGHT($CJ$1,2)&lt;0.5,ROUND(BU20/RIGHT($CJ$1,2),0),MAX(BV20:CC20)))))))))</f>
        <v>9</v>
      </c>
      <c r="CO20" s="14" t="n">
        <f aca="false">CN20*3</f>
        <v>27</v>
      </c>
      <c r="CP20" s="15" t="n">
        <v>41</v>
      </c>
      <c r="CQ20" s="16" t="n">
        <f aca="false">IF((CO20-CP20)&lt;0,0,(CO20-CP20))</f>
        <v>0</v>
      </c>
      <c r="CR20" s="7"/>
    </row>
    <row r="21" customFormat="false" ht="12.75" hidden="false" customHeight="true" outlineLevel="0" collapsed="false">
      <c r="A21" s="7" t="s">
        <v>95</v>
      </c>
      <c r="B21" s="7" t="s">
        <v>115</v>
      </c>
      <c r="C21" s="8" t="n">
        <v>301001003</v>
      </c>
      <c r="D21" s="9" t="n">
        <v>180</v>
      </c>
      <c r="E21" s="9" t="n">
        <v>369</v>
      </c>
      <c r="F21" s="9" t="n">
        <v>470</v>
      </c>
      <c r="G21" s="9" t="n">
        <v>430</v>
      </c>
      <c r="H21" s="9" t="n">
        <v>150</v>
      </c>
      <c r="I21" s="9" t="n">
        <v>560</v>
      </c>
      <c r="J21" s="9" t="n">
        <v>672</v>
      </c>
      <c r="K21" s="9" t="n">
        <v>572</v>
      </c>
      <c r="L21" s="9" t="n">
        <v>740</v>
      </c>
      <c r="M21" s="9" t="n">
        <v>620</v>
      </c>
      <c r="N21" s="9" t="n">
        <v>820</v>
      </c>
      <c r="O21" s="9" t="n">
        <v>320</v>
      </c>
      <c r="P21" s="9" t="n">
        <v>980</v>
      </c>
      <c r="Q21" s="9" t="n">
        <v>270</v>
      </c>
      <c r="R21" s="9" t="n">
        <v>440</v>
      </c>
      <c r="S21" s="9" t="n">
        <v>140</v>
      </c>
      <c r="T21" s="9" t="n">
        <v>310</v>
      </c>
      <c r="U21" s="9" t="n">
        <v>573</v>
      </c>
      <c r="V21" s="9" t="n">
        <v>760</v>
      </c>
      <c r="W21" s="9" t="n">
        <v>380</v>
      </c>
      <c r="X21" s="9" t="n">
        <v>440</v>
      </c>
      <c r="Y21" s="9" t="n">
        <v>470</v>
      </c>
      <c r="Z21" s="9" t="n">
        <v>260</v>
      </c>
      <c r="AA21" s="9" t="n">
        <v>396</v>
      </c>
      <c r="AB21" s="9" t="n">
        <v>516</v>
      </c>
      <c r="AC21" s="9" t="n">
        <v>432</v>
      </c>
      <c r="AD21" s="9" t="n">
        <v>520</v>
      </c>
      <c r="AE21" s="9" t="n">
        <v>420</v>
      </c>
      <c r="AF21" s="9" t="n">
        <v>408</v>
      </c>
      <c r="AG21" s="9" t="n">
        <v>780</v>
      </c>
      <c r="AH21" s="9" t="n">
        <v>498</v>
      </c>
      <c r="AI21" s="9" t="n">
        <v>801</v>
      </c>
      <c r="AJ21" s="9" t="n">
        <v>462</v>
      </c>
      <c r="AK21" s="9" t="n">
        <v>210</v>
      </c>
      <c r="AL21" s="9" t="n">
        <v>756</v>
      </c>
      <c r="AM21" s="9" t="n">
        <v>756</v>
      </c>
      <c r="AN21" s="9" t="n">
        <v>546</v>
      </c>
      <c r="AO21" s="9" t="n">
        <v>435</v>
      </c>
      <c r="AP21" s="9" t="n">
        <v>616</v>
      </c>
      <c r="AQ21" s="9" t="n">
        <v>530</v>
      </c>
      <c r="AR21" s="9" t="n">
        <v>823</v>
      </c>
      <c r="AS21" s="9" t="n">
        <v>725</v>
      </c>
      <c r="AT21" s="9" t="n">
        <v>543</v>
      </c>
      <c r="AU21" s="9" t="n">
        <v>501</v>
      </c>
      <c r="AV21" s="9" t="n">
        <v>554</v>
      </c>
      <c r="AW21" s="9" t="n">
        <v>285</v>
      </c>
      <c r="AX21" s="9" t="n">
        <v>268</v>
      </c>
      <c r="AY21" s="9" t="n">
        <v>192</v>
      </c>
      <c r="AZ21" s="9" t="n">
        <v>364</v>
      </c>
      <c r="BA21" s="9" t="n">
        <v>440</v>
      </c>
      <c r="BB21" s="9" t="n">
        <v>378</v>
      </c>
      <c r="BC21" s="9" t="n">
        <v>393</v>
      </c>
      <c r="BD21" s="9" t="n">
        <v>377</v>
      </c>
      <c r="BE21" s="9" t="n">
        <v>329</v>
      </c>
      <c r="BF21" s="9" t="n">
        <v>481</v>
      </c>
      <c r="BG21" s="9" t="n">
        <v>476</v>
      </c>
      <c r="BH21" s="9" t="n">
        <v>322</v>
      </c>
      <c r="BI21" s="9" t="n">
        <v>269</v>
      </c>
      <c r="BJ21" s="9" t="n">
        <v>378</v>
      </c>
      <c r="BK21" s="9" t="n">
        <v>343</v>
      </c>
      <c r="BL21" s="9" t="n">
        <v>105</v>
      </c>
      <c r="BM21" s="9" t="n">
        <v>252</v>
      </c>
      <c r="BN21" s="9" t="n">
        <v>434</v>
      </c>
      <c r="BO21" s="9" t="n">
        <v>161</v>
      </c>
      <c r="BP21" s="9" t="n">
        <v>203</v>
      </c>
      <c r="BQ21" s="9" t="n">
        <v>273</v>
      </c>
      <c r="BR21" s="9" t="n">
        <v>238</v>
      </c>
      <c r="BS21" s="9" t="n">
        <v>42</v>
      </c>
      <c r="BT21" s="9" t="n">
        <v>70</v>
      </c>
      <c r="BU21" s="10" t="n">
        <v>30227</v>
      </c>
      <c r="BV21" s="11" t="n">
        <f aca="false">IF(ISERROR(ROUND(MEDIAN(BQ21:BT21),0)),0,ROUND(MEDIAN(BQ21:BT21),0))</f>
        <v>154</v>
      </c>
      <c r="BW21" s="11" t="n">
        <f aca="false">IF(ISERROR(ROUND(MEDIAN(BM21:BT21),0)),0,ROUND(MEDIAN(BM21:BT21),0))</f>
        <v>221</v>
      </c>
      <c r="BX21" s="11" t="n">
        <f aca="false">IF(ISERROR(ROUND(MEDIAN(BI21:BT21),0)),0,ROUND(MEDIAN(BI21:BT21),0))</f>
        <v>245</v>
      </c>
      <c r="BY21" s="11" t="n">
        <f aca="false">IF(ISERROR(ROUND(MEDIAN(BE21:BT21),0)),0,ROUND(MEDIAN(BE21:BT21),0))</f>
        <v>271</v>
      </c>
      <c r="BZ21" s="11" t="n">
        <f aca="false">IF(ISERROR(ROUND(MEDIAN(AU21:BT21),0)),0,ROUND(MEDIAN(AU21:BT21),0))</f>
        <v>326</v>
      </c>
      <c r="CA21" s="12" t="n">
        <f aca="false">IF(ISERROR(ROUND(MEDIAN(U21:BT21),0)),0,ROUND(MEDIAN(U21:BT21),0))</f>
        <v>426</v>
      </c>
      <c r="CB21" s="12" t="n">
        <f aca="false">IF(ISERROR(ROUND(MEDIAN(BT21),0)),0,ROUND(MEDIAN(BT21),0))</f>
        <v>70</v>
      </c>
      <c r="CC21" s="12" t="n">
        <f aca="false">IF(ISERROR(ROUND(MEDIAN(D21:BT21),0)),0,ROUND(MEDIAN(D21:BT21),0))</f>
        <v>432</v>
      </c>
      <c r="CD21" s="12" t="n">
        <f aca="false">MAX(D21:BT21)</f>
        <v>980</v>
      </c>
      <c r="CE21" s="7" t="n">
        <f aca="false">COUNTA(BQ21:BT21)</f>
        <v>4</v>
      </c>
      <c r="CF21" s="7" t="n">
        <f aca="false">COUNTA(BM21:BT21)</f>
        <v>8</v>
      </c>
      <c r="CG21" s="7" t="n">
        <f aca="false">COUNTA(BI21:BT21)</f>
        <v>12</v>
      </c>
      <c r="CH21" s="7" t="n">
        <f aca="false">COUNTA(BE21:BT21)</f>
        <v>16</v>
      </c>
      <c r="CI21" s="7" t="n">
        <f aca="false">COUNTA(AU21:BT21)</f>
        <v>26</v>
      </c>
      <c r="CJ21" s="7" t="n">
        <f aca="false">COUNTA(U21:BT21)</f>
        <v>52</v>
      </c>
      <c r="CK21" s="7" t="n">
        <f aca="false">COUNTA(BT21)</f>
        <v>1</v>
      </c>
      <c r="CL21" s="7" t="n">
        <f aca="false">COUNTA(D21:BT21)</f>
        <v>69</v>
      </c>
      <c r="CM21" s="13" t="str">
        <f aca="false">IF(AND(CE21=1,CJ21=1,BT21&lt;&gt;""),"5.ENTRANTES",IF(AND(CE21&lt;&gt;0,CE21/RIGHT($CE$1,1)&gt;=0.5,CJ21=CE21),"4.RECENTES",IF(AND(CF21&lt;&gt;0,CF21/RIGHT($CF$1,1)&gt;=0.5,CJ21=CF21),"4.RECENTES",IF(AND(CG21&lt;&gt;0,CG21/RIGHT($CG$1,2)&gt;=0.5,CJ21=CG21),"4.RECENTES",IF(AND(CH21&lt;&gt;0,CH21/RIGHT($CH$1,2)&gt;=0.5,CJ21=CH21),"4.RECENTES",IF(AND(CI21&lt;&gt;0,CI21/RIGHT($CI$1,2)&gt;=0.5,CJ21=CI21),"4.RECENTES",IF(AND(CE21=0,CF21=0,CG21=0,CH21=0),"3.INATIVOS",IF(CJ21/RIGHT($CJ$1,2)&lt;0.5,"2.INTERMITENTES","1.ORDINÁRIOS"))))))))</f>
        <v>1.ORDINÁRIOS</v>
      </c>
      <c r="CN21" s="14" t="n">
        <f aca="false">IF(AND(CE21=1,CJ21=1,BT21&lt;&gt;""),BT21,IF(AND(CE21&lt;&gt;0,CE21/RIGHT($CE$1,1)&gt;=0.5,CJ21=CE21),MAX(BV21:CC21),IF(AND(CF21&lt;&gt;0,CF21/RIGHT($CF$1,1)&gt;=0.5,CJ21=CF21),MAX(BV21:CC21),IF(AND(CG21&lt;&gt;0,CG21/RIGHT($CG$1,2)&gt;=0.5,CJ21=CG21),MAX(BV21:CC21),IF(AND(CH21&lt;&gt;0,CH21/RIGHT($CH$1,2)&gt;=0.5,CJ21=CH21),MAX(BV21:CC21),IF(AND(CI21&lt;&gt;0,CI21/RIGHT($CI$1,2)&gt;=0.5,CJ21=CI21),MAX(BV21:CC21),IF(AND(CE21=0,CF21=0,CG21=0,CH21=0),0,IF(CJ21/RIGHT($CJ$1,2)&lt;0.5,ROUND(BU21/RIGHT($CJ$1,2),0),MAX(BV21:CC21)))))))))</f>
        <v>432</v>
      </c>
      <c r="CO21" s="14" t="n">
        <f aca="false">CN21*3</f>
        <v>1296</v>
      </c>
      <c r="CP21" s="15" t="n">
        <v>819</v>
      </c>
      <c r="CQ21" s="16" t="n">
        <f aca="false">IF((CO21-CP21)&lt;0,0,(CO21-CP21))</f>
        <v>477</v>
      </c>
      <c r="CR21" s="7"/>
    </row>
    <row r="22" customFormat="false" ht="12.75" hidden="false" customHeight="true" outlineLevel="0" collapsed="false">
      <c r="A22" s="7" t="s">
        <v>95</v>
      </c>
      <c r="B22" s="7" t="s">
        <v>116</v>
      </c>
      <c r="C22" s="8" t="n">
        <v>303007003</v>
      </c>
      <c r="D22" s="9" t="n">
        <v>300</v>
      </c>
      <c r="E22" s="9" t="n">
        <v>430</v>
      </c>
      <c r="F22" s="9" t="n">
        <v>460</v>
      </c>
      <c r="G22" s="9" t="n">
        <v>900</v>
      </c>
      <c r="H22" s="9" t="n">
        <v>520</v>
      </c>
      <c r="I22" s="9" t="n">
        <v>950</v>
      </c>
      <c r="J22" s="9" t="n">
        <v>220</v>
      </c>
      <c r="K22" s="9" t="n">
        <v>410</v>
      </c>
      <c r="L22" s="9" t="n">
        <v>1220</v>
      </c>
      <c r="M22" s="9" t="n">
        <v>280</v>
      </c>
      <c r="N22" s="9" t="n">
        <v>460</v>
      </c>
      <c r="O22" s="9" t="n">
        <v>750</v>
      </c>
      <c r="P22" s="9" t="n">
        <v>480</v>
      </c>
      <c r="Q22" s="9" t="n">
        <v>780</v>
      </c>
      <c r="R22" s="9" t="n">
        <v>900</v>
      </c>
      <c r="S22" s="9" t="n">
        <v>380</v>
      </c>
      <c r="T22" s="9" t="n">
        <v>650</v>
      </c>
      <c r="U22" s="9" t="n">
        <v>700</v>
      </c>
      <c r="V22" s="9" t="n">
        <v>520</v>
      </c>
      <c r="W22" s="9" t="n">
        <v>670</v>
      </c>
      <c r="X22" s="9" t="n">
        <v>710</v>
      </c>
      <c r="Y22" s="9" t="n">
        <v>980</v>
      </c>
      <c r="Z22" s="9" t="n">
        <v>660</v>
      </c>
      <c r="AA22" s="9" t="n">
        <v>600</v>
      </c>
      <c r="AB22" s="9" t="n">
        <v>780</v>
      </c>
      <c r="AC22" s="9" t="n">
        <v>780</v>
      </c>
      <c r="AD22" s="9" t="n">
        <v>570</v>
      </c>
      <c r="AE22" s="9" t="n">
        <v>710</v>
      </c>
      <c r="AF22" s="9" t="n">
        <v>560</v>
      </c>
      <c r="AG22" s="9" t="n">
        <v>700</v>
      </c>
      <c r="AH22" s="9" t="n">
        <v>720</v>
      </c>
      <c r="AI22" s="9" t="n">
        <v>660</v>
      </c>
      <c r="AJ22" s="9" t="n">
        <v>480</v>
      </c>
      <c r="AK22" s="9" t="n">
        <v>500</v>
      </c>
      <c r="AL22" s="9" t="n">
        <v>950</v>
      </c>
      <c r="AM22" s="9" t="n">
        <v>940</v>
      </c>
      <c r="AN22" s="9" t="n">
        <v>800</v>
      </c>
      <c r="AO22" s="9" t="n">
        <v>600</v>
      </c>
      <c r="AP22" s="9" t="n">
        <v>820</v>
      </c>
      <c r="AQ22" s="9" t="n">
        <v>890</v>
      </c>
      <c r="AR22" s="9" t="n">
        <v>580</v>
      </c>
      <c r="AS22" s="9" t="n">
        <v>460</v>
      </c>
      <c r="AT22" s="9" t="n">
        <v>560</v>
      </c>
      <c r="AU22" s="9" t="n">
        <v>600</v>
      </c>
      <c r="AV22" s="9" t="n">
        <v>460</v>
      </c>
      <c r="AW22" s="9" t="n">
        <v>440</v>
      </c>
      <c r="AX22" s="9" t="n">
        <v>800</v>
      </c>
      <c r="AY22" s="9" t="n">
        <v>520</v>
      </c>
      <c r="AZ22" s="9" t="n">
        <v>620</v>
      </c>
      <c r="BA22" s="9" t="n">
        <v>450</v>
      </c>
      <c r="BB22" s="9" t="n">
        <v>800</v>
      </c>
      <c r="BC22" s="9" t="n">
        <v>660</v>
      </c>
      <c r="BD22" s="9" t="n">
        <v>240</v>
      </c>
      <c r="BE22" s="9" t="n">
        <v>760</v>
      </c>
      <c r="BF22" s="9" t="n">
        <v>570</v>
      </c>
      <c r="BG22" s="9" t="n">
        <v>820</v>
      </c>
      <c r="BH22" s="9" t="n">
        <v>450</v>
      </c>
      <c r="BI22" s="9" t="n">
        <v>630</v>
      </c>
      <c r="BJ22" s="9" t="n">
        <v>480</v>
      </c>
      <c r="BK22" s="9" t="n">
        <v>670</v>
      </c>
      <c r="BL22" s="9" t="n">
        <v>570</v>
      </c>
      <c r="BM22" s="9" t="n">
        <v>710</v>
      </c>
      <c r="BN22" s="9" t="n">
        <v>555</v>
      </c>
      <c r="BO22" s="9" t="n">
        <v>840</v>
      </c>
      <c r="BP22" s="9" t="n">
        <v>720</v>
      </c>
      <c r="BQ22" s="9" t="n">
        <v>390</v>
      </c>
      <c r="BR22" s="9" t="n">
        <v>720</v>
      </c>
      <c r="BS22" s="9" t="n">
        <v>690</v>
      </c>
      <c r="BT22" s="9" t="n">
        <v>750</v>
      </c>
      <c r="BU22" s="10" t="n">
        <v>43905</v>
      </c>
      <c r="BV22" s="11" t="n">
        <f aca="false">IF(ISERROR(ROUND(MEDIAN(BQ22:BT22),0)),0,ROUND(MEDIAN(BQ22:BT22),0))</f>
        <v>705</v>
      </c>
      <c r="BW22" s="11" t="n">
        <f aca="false">IF(ISERROR(ROUND(MEDIAN(BM22:BT22),0)),0,ROUND(MEDIAN(BM22:BT22),0))</f>
        <v>715</v>
      </c>
      <c r="BX22" s="11" t="n">
        <f aca="false">IF(ISERROR(ROUND(MEDIAN(BI22:BT22),0)),0,ROUND(MEDIAN(BI22:BT22),0))</f>
        <v>680</v>
      </c>
      <c r="BY22" s="11" t="n">
        <f aca="false">IF(ISERROR(ROUND(MEDIAN(BE22:BT22),0)),0,ROUND(MEDIAN(BE22:BT22),0))</f>
        <v>680</v>
      </c>
      <c r="BZ22" s="11" t="n">
        <f aca="false">IF(ISERROR(ROUND(MEDIAN(AU22:BT22),0)),0,ROUND(MEDIAN(AU22:BT22),0))</f>
        <v>625</v>
      </c>
      <c r="CA22" s="12" t="n">
        <f aca="false">IF(ISERROR(ROUND(MEDIAN(U22:BT22),0)),0,ROUND(MEDIAN(U22:BT22),0))</f>
        <v>660</v>
      </c>
      <c r="CB22" s="12" t="n">
        <f aca="false">IF(ISERROR(ROUND(MEDIAN(BT22),0)),0,ROUND(MEDIAN(BT22),0))</f>
        <v>750</v>
      </c>
      <c r="CC22" s="12" t="n">
        <f aca="false">IF(ISERROR(ROUND(MEDIAN(D22:BT22),0)),0,ROUND(MEDIAN(D22:BT22),0))</f>
        <v>650</v>
      </c>
      <c r="CD22" s="12" t="n">
        <f aca="false">MAX(D22:BT22)</f>
        <v>1220</v>
      </c>
      <c r="CE22" s="7" t="n">
        <f aca="false">COUNTA(BQ22:BT22)</f>
        <v>4</v>
      </c>
      <c r="CF22" s="7" t="n">
        <f aca="false">COUNTA(BM22:BT22)</f>
        <v>8</v>
      </c>
      <c r="CG22" s="7" t="n">
        <f aca="false">COUNTA(BI22:BT22)</f>
        <v>12</v>
      </c>
      <c r="CH22" s="7" t="n">
        <f aca="false">COUNTA(BE22:BT22)</f>
        <v>16</v>
      </c>
      <c r="CI22" s="7" t="n">
        <f aca="false">COUNTA(AU22:BT22)</f>
        <v>26</v>
      </c>
      <c r="CJ22" s="7" t="n">
        <f aca="false">COUNTA(U22:BT22)</f>
        <v>52</v>
      </c>
      <c r="CK22" s="7" t="n">
        <f aca="false">COUNTA(BT22)</f>
        <v>1</v>
      </c>
      <c r="CL22" s="7" t="n">
        <f aca="false">COUNTA(D22:BT22)</f>
        <v>69</v>
      </c>
      <c r="CM22" s="13" t="str">
        <f aca="false">IF(AND(CE22=1,CJ22=1,BT22&lt;&gt;""),"5.ENTRANTES",IF(AND(CE22&lt;&gt;0,CE22/RIGHT($CE$1,1)&gt;=0.5,CJ22=CE22),"4.RECENTES",IF(AND(CF22&lt;&gt;0,CF22/RIGHT($CF$1,1)&gt;=0.5,CJ22=CF22),"4.RECENTES",IF(AND(CG22&lt;&gt;0,CG22/RIGHT($CG$1,2)&gt;=0.5,CJ22=CG22),"4.RECENTES",IF(AND(CH22&lt;&gt;0,CH22/RIGHT($CH$1,2)&gt;=0.5,CJ22=CH22),"4.RECENTES",IF(AND(CI22&lt;&gt;0,CI22/RIGHT($CI$1,2)&gt;=0.5,CJ22=CI22),"4.RECENTES",IF(AND(CE22=0,CF22=0,CG22=0,CH22=0),"3.INATIVOS",IF(CJ22/RIGHT($CJ$1,2)&lt;0.5,"2.INTERMITENTES","1.ORDINÁRIOS"))))))))</f>
        <v>1.ORDINÁRIOS</v>
      </c>
      <c r="CN22" s="14" t="n">
        <f aca="false">IF(AND(CE22=1,CJ22=1,BT22&lt;&gt;""),BT22,IF(AND(CE22&lt;&gt;0,CE22/RIGHT($CE$1,1)&gt;=0.5,CJ22=CE22),MAX(BV22:CC22),IF(AND(CF22&lt;&gt;0,CF22/RIGHT($CF$1,1)&gt;=0.5,CJ22=CF22),MAX(BV22:CC22),IF(AND(CG22&lt;&gt;0,CG22/RIGHT($CG$1,2)&gt;=0.5,CJ22=CG22),MAX(BV22:CC22),IF(AND(CH22&lt;&gt;0,CH22/RIGHT($CH$1,2)&gt;=0.5,CJ22=CH22),MAX(BV22:CC22),IF(AND(CI22&lt;&gt;0,CI22/RIGHT($CI$1,2)&gt;=0.5,CJ22=CI22),MAX(BV22:CC22),IF(AND(CE22=0,CF22=0,CG22=0,CH22=0),0,IF(CJ22/RIGHT($CJ$1,2)&lt;0.5,ROUND(BU22/RIGHT($CJ$1,2),0),MAX(BV22:CC22)))))))))</f>
        <v>750</v>
      </c>
      <c r="CO22" s="14" t="n">
        <f aca="false">CN22*3</f>
        <v>2250</v>
      </c>
      <c r="CP22" s="15" t="n">
        <v>2015</v>
      </c>
      <c r="CQ22" s="16" t="n">
        <f aca="false">IF((CO22-CP22)&lt;0,0,(CO22-CP22))</f>
        <v>235</v>
      </c>
      <c r="CR22" s="7"/>
    </row>
    <row r="23" customFormat="false" ht="12.75" hidden="false" customHeight="true" outlineLevel="0" collapsed="false">
      <c r="A23" s="7" t="s">
        <v>95</v>
      </c>
      <c r="B23" s="7" t="s">
        <v>117</v>
      </c>
      <c r="C23" s="8" t="n">
        <v>2000040</v>
      </c>
      <c r="D23" s="9" t="n">
        <v>24</v>
      </c>
      <c r="E23" s="9" t="n">
        <v>174</v>
      </c>
      <c r="F23" s="9" t="n">
        <v>220</v>
      </c>
      <c r="G23" s="9" t="n">
        <v>195</v>
      </c>
      <c r="H23" s="9" t="n">
        <v>55</v>
      </c>
      <c r="I23" s="9" t="n">
        <v>203</v>
      </c>
      <c r="J23" s="9" t="n">
        <v>196</v>
      </c>
      <c r="K23" s="9" t="n">
        <v>111</v>
      </c>
      <c r="L23" s="9" t="n">
        <v>188</v>
      </c>
      <c r="M23" s="9" t="n">
        <v>177</v>
      </c>
      <c r="N23" s="9" t="n">
        <v>183</v>
      </c>
      <c r="O23" s="9" t="n">
        <v>190</v>
      </c>
      <c r="P23" s="9" t="n">
        <v>117</v>
      </c>
      <c r="Q23" s="9" t="n">
        <v>105</v>
      </c>
      <c r="R23" s="9" t="n">
        <v>62</v>
      </c>
      <c r="S23" s="9" t="n">
        <v>48</v>
      </c>
      <c r="T23" s="9" t="n">
        <v>62</v>
      </c>
      <c r="U23" s="9" t="n">
        <v>151</v>
      </c>
      <c r="V23" s="9" t="n">
        <v>127</v>
      </c>
      <c r="W23" s="9" t="n">
        <v>99</v>
      </c>
      <c r="X23" s="9" t="n">
        <v>109</v>
      </c>
      <c r="Y23" s="9" t="n">
        <v>171</v>
      </c>
      <c r="Z23" s="9" t="n">
        <v>123</v>
      </c>
      <c r="AA23" s="9" t="n">
        <v>246</v>
      </c>
      <c r="AB23" s="9" t="n">
        <v>118</v>
      </c>
      <c r="AC23" s="9" t="n">
        <v>340</v>
      </c>
      <c r="AD23" s="9" t="n">
        <v>432</v>
      </c>
      <c r="AE23" s="9" t="n">
        <v>425</v>
      </c>
      <c r="AF23" s="9" t="n">
        <v>172</v>
      </c>
      <c r="AG23" s="9" t="n">
        <v>239</v>
      </c>
      <c r="AH23" s="9" t="n">
        <v>293</v>
      </c>
      <c r="AI23" s="9" t="n">
        <v>245</v>
      </c>
      <c r="AJ23" s="9" t="n">
        <v>313</v>
      </c>
      <c r="AK23" s="9" t="n">
        <v>400</v>
      </c>
      <c r="AL23" s="9" t="n">
        <v>434</v>
      </c>
      <c r="AM23" s="9" t="n">
        <v>346</v>
      </c>
      <c r="AN23" s="9" t="n">
        <v>455</v>
      </c>
      <c r="AO23" s="9" t="n">
        <v>190</v>
      </c>
      <c r="AP23" s="9" t="n">
        <v>500</v>
      </c>
      <c r="AQ23" s="9" t="n">
        <v>445</v>
      </c>
      <c r="AR23" s="9" t="n">
        <v>400</v>
      </c>
      <c r="AS23" s="9" t="n">
        <v>321</v>
      </c>
      <c r="AT23" s="9" t="n">
        <v>270</v>
      </c>
      <c r="AU23" s="9" t="n">
        <v>224</v>
      </c>
      <c r="AV23" s="9" t="n">
        <v>350</v>
      </c>
      <c r="AW23" s="9" t="n">
        <v>190</v>
      </c>
      <c r="AX23" s="9" t="n">
        <v>214</v>
      </c>
      <c r="AY23" s="9" t="n">
        <v>145</v>
      </c>
      <c r="AZ23" s="9" t="n">
        <v>275</v>
      </c>
      <c r="BA23" s="9" t="n">
        <v>316</v>
      </c>
      <c r="BB23" s="9" t="n">
        <v>205</v>
      </c>
      <c r="BC23" s="9" t="n">
        <v>305</v>
      </c>
      <c r="BD23" s="9" t="n">
        <v>306</v>
      </c>
      <c r="BE23" s="9" t="n">
        <v>271</v>
      </c>
      <c r="BF23" s="9" t="n">
        <v>275</v>
      </c>
      <c r="BG23" s="9" t="n">
        <v>245</v>
      </c>
      <c r="BH23" s="9" t="n">
        <v>280</v>
      </c>
      <c r="BI23" s="9" t="n">
        <v>280</v>
      </c>
      <c r="BJ23" s="9" t="n">
        <v>395</v>
      </c>
      <c r="BK23" s="9" t="n">
        <v>195</v>
      </c>
      <c r="BL23" s="9" t="n">
        <v>175</v>
      </c>
      <c r="BM23" s="9" t="n">
        <v>57</v>
      </c>
      <c r="BN23" s="9" t="n">
        <v>145</v>
      </c>
      <c r="BO23" s="9" t="n">
        <v>120</v>
      </c>
      <c r="BP23" s="9" t="n">
        <v>162</v>
      </c>
      <c r="BQ23" s="9" t="n">
        <v>125</v>
      </c>
      <c r="BR23" s="9" t="n">
        <v>41</v>
      </c>
      <c r="BS23" s="9" t="n">
        <v>18</v>
      </c>
      <c r="BT23" s="9" t="n">
        <v>30</v>
      </c>
      <c r="BU23" s="10" t="n">
        <v>15018</v>
      </c>
      <c r="BV23" s="11" t="n">
        <f aca="false">IF(ISERROR(ROUND(MEDIAN(BQ23:BT23),0)),0,ROUND(MEDIAN(BQ23:BT23),0))</f>
        <v>36</v>
      </c>
      <c r="BW23" s="11" t="n">
        <f aca="false">IF(ISERROR(ROUND(MEDIAN(BM23:BT23),0)),0,ROUND(MEDIAN(BM23:BT23),0))</f>
        <v>89</v>
      </c>
      <c r="BX23" s="11" t="n">
        <f aca="false">IF(ISERROR(ROUND(MEDIAN(BI23:BT23),0)),0,ROUND(MEDIAN(BI23:BT23),0))</f>
        <v>135</v>
      </c>
      <c r="BY23" s="11" t="n">
        <f aca="false">IF(ISERROR(ROUND(MEDIAN(BE23:BT23),0)),0,ROUND(MEDIAN(BE23:BT23),0))</f>
        <v>169</v>
      </c>
      <c r="BZ23" s="11" t="n">
        <f aca="false">IF(ISERROR(ROUND(MEDIAN(AU23:BT23),0)),0,ROUND(MEDIAN(AU23:BT23),0))</f>
        <v>210</v>
      </c>
      <c r="CA23" s="12" t="n">
        <f aca="false">IF(ISERROR(ROUND(MEDIAN(U23:BT23),0)),0,ROUND(MEDIAN(U23:BT23),0))</f>
        <v>245</v>
      </c>
      <c r="CB23" s="12" t="n">
        <f aca="false">IF(ISERROR(ROUND(MEDIAN(BT23),0)),0,ROUND(MEDIAN(BT23),0))</f>
        <v>30</v>
      </c>
      <c r="CC23" s="12" t="n">
        <f aca="false">IF(ISERROR(ROUND(MEDIAN(D23:BT23),0)),0,ROUND(MEDIAN(D23:BT23),0))</f>
        <v>195</v>
      </c>
      <c r="CD23" s="12" t="n">
        <f aca="false">MAX(D23:BT23)</f>
        <v>500</v>
      </c>
      <c r="CE23" s="7" t="n">
        <f aca="false">COUNTA(BQ23:BT23)</f>
        <v>4</v>
      </c>
      <c r="CF23" s="7" t="n">
        <f aca="false">COUNTA(BM23:BT23)</f>
        <v>8</v>
      </c>
      <c r="CG23" s="7" t="n">
        <f aca="false">COUNTA(BI23:BT23)</f>
        <v>12</v>
      </c>
      <c r="CH23" s="7" t="n">
        <f aca="false">COUNTA(BE23:BT23)</f>
        <v>16</v>
      </c>
      <c r="CI23" s="7" t="n">
        <f aca="false">COUNTA(AU23:BT23)</f>
        <v>26</v>
      </c>
      <c r="CJ23" s="7" t="n">
        <f aca="false">COUNTA(U23:BT23)</f>
        <v>52</v>
      </c>
      <c r="CK23" s="7" t="n">
        <f aca="false">COUNTA(BT23)</f>
        <v>1</v>
      </c>
      <c r="CL23" s="7" t="n">
        <f aca="false">COUNTA(D23:BT23)</f>
        <v>69</v>
      </c>
      <c r="CM23" s="13" t="str">
        <f aca="false">IF(AND(CE23=1,CJ23=1,BT23&lt;&gt;""),"5.ENTRANTES",IF(AND(CE23&lt;&gt;0,CE23/RIGHT($CE$1,1)&gt;=0.5,CJ23=CE23),"4.RECENTES",IF(AND(CF23&lt;&gt;0,CF23/RIGHT($CF$1,1)&gt;=0.5,CJ23=CF23),"4.RECENTES",IF(AND(CG23&lt;&gt;0,CG23/RIGHT($CG$1,2)&gt;=0.5,CJ23=CG23),"4.RECENTES",IF(AND(CH23&lt;&gt;0,CH23/RIGHT($CH$1,2)&gt;=0.5,CJ23=CH23),"4.RECENTES",IF(AND(CI23&lt;&gt;0,CI23/RIGHT($CI$1,2)&gt;=0.5,CJ23=CI23),"4.RECENTES",IF(AND(CE23=0,CF23=0,CG23=0,CH23=0),"3.INATIVOS",IF(CJ23/RIGHT($CJ$1,2)&lt;0.5,"2.INTERMITENTES","1.ORDINÁRIOS"))))))))</f>
        <v>1.ORDINÁRIOS</v>
      </c>
      <c r="CN23" s="14" t="n">
        <f aca="false">IF(AND(CE23=1,CJ23=1,BT23&lt;&gt;""),BT23,IF(AND(CE23&lt;&gt;0,CE23/RIGHT($CE$1,1)&gt;=0.5,CJ23=CE23),MAX(BV23:CC23),IF(AND(CF23&lt;&gt;0,CF23/RIGHT($CF$1,1)&gt;=0.5,CJ23=CF23),MAX(BV23:CC23),IF(AND(CG23&lt;&gt;0,CG23/RIGHT($CG$1,2)&gt;=0.5,CJ23=CG23),MAX(BV23:CC23),IF(AND(CH23&lt;&gt;0,CH23/RIGHT($CH$1,2)&gt;=0.5,CJ23=CH23),MAX(BV23:CC23),IF(AND(CI23&lt;&gt;0,CI23/RIGHT($CI$1,2)&gt;=0.5,CJ23=CI23),MAX(BV23:CC23),IF(AND(CE23=0,CF23=0,CG23=0,CH23=0),0,IF(CJ23/RIGHT($CJ$1,2)&lt;0.5,ROUND(BU23/RIGHT($CJ$1,2),0),MAX(BV23:CC23)))))))))</f>
        <v>245</v>
      </c>
      <c r="CO23" s="14" t="n">
        <f aca="false">CN23*3</f>
        <v>735</v>
      </c>
      <c r="CP23" s="15" t="n">
        <v>1002</v>
      </c>
      <c r="CQ23" s="16" t="n">
        <f aca="false">IF((CO23-CP23)&lt;0,0,(CO23-CP23))</f>
        <v>0</v>
      </c>
      <c r="CR23" s="7"/>
    </row>
    <row r="24" customFormat="false" ht="12.75" hidden="false" customHeight="true" outlineLevel="0" collapsed="false">
      <c r="A24" s="7" t="s">
        <v>95</v>
      </c>
      <c r="B24" s="7" t="s">
        <v>118</v>
      </c>
      <c r="C24" s="8" t="n">
        <v>22001005</v>
      </c>
      <c r="D24" s="9" t="n">
        <v>8</v>
      </c>
      <c r="E24" s="9" t="n">
        <v>13</v>
      </c>
      <c r="F24" s="9" t="n">
        <v>3</v>
      </c>
      <c r="G24" s="9" t="n">
        <v>8</v>
      </c>
      <c r="H24" s="9" t="n">
        <v>2</v>
      </c>
      <c r="I24" s="9" t="n">
        <v>13</v>
      </c>
      <c r="J24" s="9" t="n">
        <v>14</v>
      </c>
      <c r="K24" s="9" t="n">
        <v>6</v>
      </c>
      <c r="L24" s="9" t="n">
        <v>31</v>
      </c>
      <c r="M24" s="9" t="n">
        <v>10</v>
      </c>
      <c r="N24" s="9" t="n">
        <v>22</v>
      </c>
      <c r="O24" s="9" t="n">
        <v>19</v>
      </c>
      <c r="P24" s="9" t="n">
        <v>3</v>
      </c>
      <c r="Q24" s="9" t="n">
        <v>2</v>
      </c>
      <c r="R24" s="9" t="n">
        <v>12</v>
      </c>
      <c r="S24" s="9" t="n">
        <v>9</v>
      </c>
      <c r="T24" s="9" t="n">
        <v>13</v>
      </c>
      <c r="U24" s="9" t="n">
        <v>7</v>
      </c>
      <c r="V24" s="9" t="n">
        <v>3</v>
      </c>
      <c r="W24" s="9"/>
      <c r="X24" s="9" t="n">
        <v>7</v>
      </c>
      <c r="Y24" s="9" t="n">
        <v>9</v>
      </c>
      <c r="Z24" s="9" t="n">
        <v>13</v>
      </c>
      <c r="AA24" s="9" t="n">
        <v>12</v>
      </c>
      <c r="AB24" s="9" t="n">
        <v>17</v>
      </c>
      <c r="AC24" s="9" t="n">
        <v>27</v>
      </c>
      <c r="AD24" s="9" t="n">
        <v>29</v>
      </c>
      <c r="AE24" s="9" t="n">
        <v>22</v>
      </c>
      <c r="AF24" s="9" t="n">
        <v>12</v>
      </c>
      <c r="AG24" s="9" t="n">
        <v>29</v>
      </c>
      <c r="AH24" s="9" t="n">
        <v>30</v>
      </c>
      <c r="AI24" s="9" t="n">
        <v>25</v>
      </c>
      <c r="AJ24" s="9" t="n">
        <v>27</v>
      </c>
      <c r="AK24" s="9" t="n">
        <v>39</v>
      </c>
      <c r="AL24" s="9" t="n">
        <v>38</v>
      </c>
      <c r="AM24" s="9" t="n">
        <v>38</v>
      </c>
      <c r="AN24" s="9" t="n">
        <v>27</v>
      </c>
      <c r="AO24" s="9" t="n">
        <v>12</v>
      </c>
      <c r="AP24" s="9" t="n">
        <v>28</v>
      </c>
      <c r="AQ24" s="9" t="n">
        <v>50</v>
      </c>
      <c r="AR24" s="9" t="n">
        <v>20</v>
      </c>
      <c r="AS24" s="9" t="n">
        <v>15</v>
      </c>
      <c r="AT24" s="9" t="n">
        <v>22</v>
      </c>
      <c r="AU24" s="9" t="n">
        <v>20</v>
      </c>
      <c r="AV24" s="9" t="n">
        <v>14</v>
      </c>
      <c r="AW24" s="9" t="n">
        <v>4</v>
      </c>
      <c r="AX24" s="9" t="n">
        <v>14</v>
      </c>
      <c r="AY24" s="9" t="n">
        <v>14</v>
      </c>
      <c r="AZ24" s="9" t="n">
        <v>19</v>
      </c>
      <c r="BA24" s="9" t="n">
        <v>32</v>
      </c>
      <c r="BB24" s="9" t="n">
        <v>29</v>
      </c>
      <c r="BC24" s="9" t="n">
        <v>24</v>
      </c>
      <c r="BD24" s="9" t="n">
        <v>11</v>
      </c>
      <c r="BE24" s="9" t="n">
        <v>31</v>
      </c>
      <c r="BF24" s="9" t="n">
        <v>28</v>
      </c>
      <c r="BG24" s="9" t="n">
        <v>25</v>
      </c>
      <c r="BH24" s="9" t="n">
        <v>32</v>
      </c>
      <c r="BI24" s="9" t="n">
        <v>40</v>
      </c>
      <c r="BJ24" s="9" t="n">
        <v>40</v>
      </c>
      <c r="BK24" s="9" t="n">
        <v>25</v>
      </c>
      <c r="BL24" s="9" t="n">
        <v>32</v>
      </c>
      <c r="BM24" s="9"/>
      <c r="BN24" s="9" t="n">
        <v>29</v>
      </c>
      <c r="BO24" s="9" t="n">
        <v>7</v>
      </c>
      <c r="BP24" s="9" t="n">
        <v>14</v>
      </c>
      <c r="BQ24" s="9"/>
      <c r="BR24" s="9" t="n">
        <v>6</v>
      </c>
      <c r="BS24" s="9"/>
      <c r="BT24" s="9" t="n">
        <v>1</v>
      </c>
      <c r="BU24" s="10" t="n">
        <v>1237</v>
      </c>
      <c r="BV24" s="11" t="n">
        <f aca="false">IF(ISERROR(ROUND(MEDIAN(BQ24:BT24),0)),0,ROUND(MEDIAN(BQ24:BT24),0))</f>
        <v>4</v>
      </c>
      <c r="BW24" s="11" t="n">
        <f aca="false">IF(ISERROR(ROUND(MEDIAN(BM24:BT24),0)),0,ROUND(MEDIAN(BM24:BT24),0))</f>
        <v>7</v>
      </c>
      <c r="BX24" s="11" t="n">
        <f aca="false">IF(ISERROR(ROUND(MEDIAN(BI24:BT24),0)),0,ROUND(MEDIAN(BI24:BT24),0))</f>
        <v>25</v>
      </c>
      <c r="BY24" s="11" t="n">
        <f aca="false">IF(ISERROR(ROUND(MEDIAN(BE24:BT24),0)),0,ROUND(MEDIAN(BE24:BT24),0))</f>
        <v>28</v>
      </c>
      <c r="BZ24" s="11" t="n">
        <f aca="false">IF(ISERROR(ROUND(MEDIAN(AU24:BT24),0)),0,ROUND(MEDIAN(AU24:BT24),0))</f>
        <v>24</v>
      </c>
      <c r="CA24" s="12" t="n">
        <f aca="false">IF(ISERROR(ROUND(MEDIAN(U24:BT24),0)),0,ROUND(MEDIAN(U24:BT24),0))</f>
        <v>23</v>
      </c>
      <c r="CB24" s="12" t="n">
        <f aca="false">IF(ISERROR(ROUND(MEDIAN(BT24),0)),0,ROUND(MEDIAN(BT24),0))</f>
        <v>1</v>
      </c>
      <c r="CC24" s="12" t="n">
        <f aca="false">IF(ISERROR(ROUND(MEDIAN(D24:BT24),0)),0,ROUND(MEDIAN(D24:BT24),0))</f>
        <v>17</v>
      </c>
      <c r="CD24" s="12" t="n">
        <f aca="false">MAX(D24:BT24)</f>
        <v>50</v>
      </c>
      <c r="CE24" s="7" t="n">
        <f aca="false">COUNTA(BQ24:BT24)</f>
        <v>2</v>
      </c>
      <c r="CF24" s="7" t="n">
        <f aca="false">COUNTA(BM24:BT24)</f>
        <v>5</v>
      </c>
      <c r="CG24" s="7" t="n">
        <f aca="false">COUNTA(BI24:BT24)</f>
        <v>9</v>
      </c>
      <c r="CH24" s="7" t="n">
        <f aca="false">COUNTA(BE24:BT24)</f>
        <v>13</v>
      </c>
      <c r="CI24" s="7" t="n">
        <f aca="false">COUNTA(AU24:BT24)</f>
        <v>23</v>
      </c>
      <c r="CJ24" s="7" t="n">
        <f aca="false">COUNTA(U24:BT24)</f>
        <v>48</v>
      </c>
      <c r="CK24" s="7" t="n">
        <f aca="false">COUNTA(BT24)</f>
        <v>1</v>
      </c>
      <c r="CL24" s="7" t="n">
        <f aca="false">COUNTA(D24:BT24)</f>
        <v>65</v>
      </c>
      <c r="CM24" s="13" t="str">
        <f aca="false">IF(AND(CE24=1,CJ24=1,BT24&lt;&gt;""),"5.ENTRANTES",IF(AND(CE24&lt;&gt;0,CE24/RIGHT($CE$1,1)&gt;=0.5,CJ24=CE24),"4.RECENTES",IF(AND(CF24&lt;&gt;0,CF24/RIGHT($CF$1,1)&gt;=0.5,CJ24=CF24),"4.RECENTES",IF(AND(CG24&lt;&gt;0,CG24/RIGHT($CG$1,2)&gt;=0.5,CJ24=CG24),"4.RECENTES",IF(AND(CH24&lt;&gt;0,CH24/RIGHT($CH$1,2)&gt;=0.5,CJ24=CH24),"4.RECENTES",IF(AND(CI24&lt;&gt;0,CI24/RIGHT($CI$1,2)&gt;=0.5,CJ24=CI24),"4.RECENTES",IF(AND(CE24=0,CF24=0,CG24=0,CH24=0),"3.INATIVOS",IF(CJ24/RIGHT($CJ$1,2)&lt;0.5,"2.INTERMITENTES","1.ORDINÁRIOS"))))))))</f>
        <v>1.ORDINÁRIOS</v>
      </c>
      <c r="CN24" s="14" t="n">
        <f aca="false">IF(AND(CE24=1,CJ24=1,BT24&lt;&gt;""),BT24,IF(AND(CE24&lt;&gt;0,CE24/RIGHT($CE$1,1)&gt;=0.5,CJ24=CE24),MAX(BV24:CC24),IF(AND(CF24&lt;&gt;0,CF24/RIGHT($CF$1,1)&gt;=0.5,CJ24=CF24),MAX(BV24:CC24),IF(AND(CG24&lt;&gt;0,CG24/RIGHT($CG$1,2)&gt;=0.5,CJ24=CG24),MAX(BV24:CC24),IF(AND(CH24&lt;&gt;0,CH24/RIGHT($CH$1,2)&gt;=0.5,CJ24=CH24),MAX(BV24:CC24),IF(AND(CI24&lt;&gt;0,CI24/RIGHT($CI$1,2)&gt;=0.5,CJ24=CI24),MAX(BV24:CC24),IF(AND(CE24=0,CF24=0,CG24=0,CH24=0),0,IF(CJ24/RIGHT($CJ$1,2)&lt;0.5,ROUND(BU24/RIGHT($CJ$1,2),0),MAX(BV24:CC24)))))))))</f>
        <v>28</v>
      </c>
      <c r="CO24" s="14" t="n">
        <f aca="false">CN24*3</f>
        <v>84</v>
      </c>
      <c r="CP24" s="15" t="n">
        <v>85</v>
      </c>
      <c r="CQ24" s="16" t="n">
        <f aca="false">IF((CO24-CP24)&lt;0,0,(CO24-CP24))</f>
        <v>0</v>
      </c>
      <c r="CR24" s="7"/>
    </row>
    <row r="25" customFormat="false" ht="12.75" hidden="false" customHeight="true" outlineLevel="0" collapsed="false">
      <c r="A25" s="7" t="s">
        <v>95</v>
      </c>
      <c r="B25" s="7" t="s">
        <v>119</v>
      </c>
      <c r="C25" s="8" t="n">
        <v>5000008</v>
      </c>
      <c r="D25" s="9" t="n">
        <v>60</v>
      </c>
      <c r="E25" s="9" t="n">
        <v>390</v>
      </c>
      <c r="F25" s="9" t="n">
        <v>278</v>
      </c>
      <c r="G25" s="9" t="n">
        <v>120</v>
      </c>
      <c r="H25" s="9" t="n">
        <v>90</v>
      </c>
      <c r="I25" s="9" t="n">
        <v>90</v>
      </c>
      <c r="J25" s="9" t="n">
        <v>360</v>
      </c>
      <c r="K25" s="9" t="n">
        <v>140</v>
      </c>
      <c r="L25" s="9" t="n">
        <v>150</v>
      </c>
      <c r="M25" s="9" t="n">
        <v>150</v>
      </c>
      <c r="N25" s="9" t="n">
        <v>380</v>
      </c>
      <c r="O25" s="9" t="n">
        <v>120</v>
      </c>
      <c r="P25" s="9" t="n">
        <v>230</v>
      </c>
      <c r="Q25" s="9" t="n">
        <v>150</v>
      </c>
      <c r="R25" s="9" t="n">
        <v>300</v>
      </c>
      <c r="S25" s="9" t="n">
        <v>240</v>
      </c>
      <c r="T25" s="9" t="n">
        <v>150</v>
      </c>
      <c r="U25" s="9" t="n">
        <v>300</v>
      </c>
      <c r="V25" s="9" t="n">
        <v>240</v>
      </c>
      <c r="W25" s="9" t="n">
        <v>390</v>
      </c>
      <c r="X25" s="9" t="n">
        <v>150</v>
      </c>
      <c r="Y25" s="9" t="n">
        <v>240</v>
      </c>
      <c r="Z25" s="9" t="n">
        <v>300</v>
      </c>
      <c r="AA25" s="9" t="n">
        <v>180</v>
      </c>
      <c r="AB25" s="9" t="n">
        <v>240</v>
      </c>
      <c r="AC25" s="9" t="n">
        <v>240</v>
      </c>
      <c r="AD25" s="9" t="n">
        <v>120</v>
      </c>
      <c r="AE25" s="9" t="n">
        <v>90</v>
      </c>
      <c r="AF25" s="9" t="n">
        <v>350</v>
      </c>
      <c r="AG25" s="9" t="n">
        <v>120</v>
      </c>
      <c r="AH25" s="9" t="n">
        <v>250</v>
      </c>
      <c r="AI25" s="9" t="n">
        <v>150</v>
      </c>
      <c r="AJ25" s="9" t="n">
        <v>420</v>
      </c>
      <c r="AK25" s="9" t="n">
        <v>180</v>
      </c>
      <c r="AL25" s="9" t="n">
        <v>300</v>
      </c>
      <c r="AM25" s="9" t="n">
        <v>180</v>
      </c>
      <c r="AN25" s="9" t="n">
        <v>180</v>
      </c>
      <c r="AO25" s="9" t="n">
        <v>150</v>
      </c>
      <c r="AP25" s="9" t="n">
        <v>270</v>
      </c>
      <c r="AQ25" s="9"/>
      <c r="AR25" s="9" t="n">
        <v>150</v>
      </c>
      <c r="AS25" s="9" t="n">
        <v>240</v>
      </c>
      <c r="AT25" s="9" t="n">
        <v>340</v>
      </c>
      <c r="AU25" s="9" t="n">
        <v>90</v>
      </c>
      <c r="AV25" s="9" t="n">
        <v>60</v>
      </c>
      <c r="AW25" s="9" t="n">
        <v>30</v>
      </c>
      <c r="AX25" s="9" t="n">
        <v>300</v>
      </c>
      <c r="AY25" s="9" t="n">
        <v>150</v>
      </c>
      <c r="AZ25" s="9" t="n">
        <v>150</v>
      </c>
      <c r="BA25" s="9" t="n">
        <v>210</v>
      </c>
      <c r="BB25" s="9" t="n">
        <v>240</v>
      </c>
      <c r="BC25" s="9" t="n">
        <v>220</v>
      </c>
      <c r="BD25" s="9" t="n">
        <v>30</v>
      </c>
      <c r="BE25" s="9" t="n">
        <v>120</v>
      </c>
      <c r="BF25" s="9" t="n">
        <v>330</v>
      </c>
      <c r="BG25" s="9" t="n">
        <v>120</v>
      </c>
      <c r="BH25" s="9" t="n">
        <v>180</v>
      </c>
      <c r="BI25" s="9" t="n">
        <v>30</v>
      </c>
      <c r="BJ25" s="9" t="n">
        <v>150</v>
      </c>
      <c r="BK25" s="9" t="n">
        <v>300</v>
      </c>
      <c r="BL25" s="9" t="n">
        <v>60</v>
      </c>
      <c r="BM25" s="9" t="n">
        <v>90</v>
      </c>
      <c r="BN25" s="9" t="n">
        <v>180</v>
      </c>
      <c r="BO25" s="9" t="n">
        <v>150</v>
      </c>
      <c r="BP25" s="9" t="n">
        <v>120</v>
      </c>
      <c r="BQ25" s="9" t="n">
        <v>60</v>
      </c>
      <c r="BR25" s="9" t="n">
        <v>150</v>
      </c>
      <c r="BS25" s="9" t="n">
        <v>180</v>
      </c>
      <c r="BT25" s="9" t="n">
        <v>60</v>
      </c>
      <c r="BU25" s="10" t="n">
        <v>12928</v>
      </c>
      <c r="BV25" s="11" t="n">
        <f aca="false">IF(ISERROR(ROUND(MEDIAN(BQ25:BT25),0)),0,ROUND(MEDIAN(BQ25:BT25),0))</f>
        <v>105</v>
      </c>
      <c r="BW25" s="11" t="n">
        <f aca="false">IF(ISERROR(ROUND(MEDIAN(BM25:BT25),0)),0,ROUND(MEDIAN(BM25:BT25),0))</f>
        <v>135</v>
      </c>
      <c r="BX25" s="11" t="n">
        <f aca="false">IF(ISERROR(ROUND(MEDIAN(BI25:BT25),0)),0,ROUND(MEDIAN(BI25:BT25),0))</f>
        <v>135</v>
      </c>
      <c r="BY25" s="11" t="n">
        <f aca="false">IF(ISERROR(ROUND(MEDIAN(BE25:BT25),0)),0,ROUND(MEDIAN(BE25:BT25),0))</f>
        <v>135</v>
      </c>
      <c r="BZ25" s="11" t="n">
        <f aca="false">IF(ISERROR(ROUND(MEDIAN(AU25:BT25),0)),0,ROUND(MEDIAN(AU25:BT25),0))</f>
        <v>150</v>
      </c>
      <c r="CA25" s="12" t="n">
        <f aca="false">IF(ISERROR(ROUND(MEDIAN(U25:BT25),0)),0,ROUND(MEDIAN(U25:BT25),0))</f>
        <v>180</v>
      </c>
      <c r="CB25" s="12" t="n">
        <f aca="false">IF(ISERROR(ROUND(MEDIAN(BT25),0)),0,ROUND(MEDIAN(BT25),0))</f>
        <v>60</v>
      </c>
      <c r="CC25" s="12" t="n">
        <f aca="false">IF(ISERROR(ROUND(MEDIAN(D25:BT25),0)),0,ROUND(MEDIAN(D25:BT25),0))</f>
        <v>165</v>
      </c>
      <c r="CD25" s="12" t="n">
        <f aca="false">MAX(D25:BT25)</f>
        <v>420</v>
      </c>
      <c r="CE25" s="7" t="n">
        <f aca="false">COUNTA(BQ25:BT25)</f>
        <v>4</v>
      </c>
      <c r="CF25" s="7" t="n">
        <f aca="false">COUNTA(BM25:BT25)</f>
        <v>8</v>
      </c>
      <c r="CG25" s="7" t="n">
        <f aca="false">COUNTA(BI25:BT25)</f>
        <v>12</v>
      </c>
      <c r="CH25" s="7" t="n">
        <f aca="false">COUNTA(BE25:BT25)</f>
        <v>16</v>
      </c>
      <c r="CI25" s="7" t="n">
        <f aca="false">COUNTA(AU25:BT25)</f>
        <v>26</v>
      </c>
      <c r="CJ25" s="7" t="n">
        <f aca="false">COUNTA(U25:BT25)</f>
        <v>51</v>
      </c>
      <c r="CK25" s="7" t="n">
        <f aca="false">COUNTA(BT25)</f>
        <v>1</v>
      </c>
      <c r="CL25" s="7" t="n">
        <f aca="false">COUNTA(D25:BT25)</f>
        <v>68</v>
      </c>
      <c r="CM25" s="13" t="str">
        <f aca="false">IF(AND(CE25=1,CJ25=1,BT25&lt;&gt;""),"5.ENTRANTES",IF(AND(CE25&lt;&gt;0,CE25/RIGHT($CE$1,1)&gt;=0.5,CJ25=CE25),"4.RECENTES",IF(AND(CF25&lt;&gt;0,CF25/RIGHT($CF$1,1)&gt;=0.5,CJ25=CF25),"4.RECENTES",IF(AND(CG25&lt;&gt;0,CG25/RIGHT($CG$1,2)&gt;=0.5,CJ25=CG25),"4.RECENTES",IF(AND(CH25&lt;&gt;0,CH25/RIGHT($CH$1,2)&gt;=0.5,CJ25=CH25),"4.RECENTES",IF(AND(CI25&lt;&gt;0,CI25/RIGHT($CI$1,2)&gt;=0.5,CJ25=CI25),"4.RECENTES",IF(AND(CE25=0,CF25=0,CG25=0,CH25=0),"3.INATIVOS",IF(CJ25/RIGHT($CJ$1,2)&lt;0.5,"2.INTERMITENTES","1.ORDINÁRIOS"))))))))</f>
        <v>1.ORDINÁRIOS</v>
      </c>
      <c r="CN25" s="14" t="n">
        <f aca="false">IF(AND(CE25=1,CJ25=1,BT25&lt;&gt;""),BT25,IF(AND(CE25&lt;&gt;0,CE25/RIGHT($CE$1,1)&gt;=0.5,CJ25=CE25),MAX(BV25:CC25),IF(AND(CF25&lt;&gt;0,CF25/RIGHT($CF$1,1)&gt;=0.5,CJ25=CF25),MAX(BV25:CC25),IF(AND(CG25&lt;&gt;0,CG25/RIGHT($CG$1,2)&gt;=0.5,CJ25=CG25),MAX(BV25:CC25),IF(AND(CH25&lt;&gt;0,CH25/RIGHT($CH$1,2)&gt;=0.5,CJ25=CH25),MAX(BV25:CC25),IF(AND(CI25&lt;&gt;0,CI25/RIGHT($CI$1,2)&gt;=0.5,CJ25=CI25),MAX(BV25:CC25),IF(AND(CE25=0,CF25=0,CG25=0,CH25=0),0,IF(CJ25/RIGHT($CJ$1,2)&lt;0.5,ROUND(BU25/RIGHT($CJ$1,2),0),MAX(BV25:CC25)))))))))</f>
        <v>180</v>
      </c>
      <c r="CO25" s="14" t="n">
        <f aca="false">CN25*3</f>
        <v>540</v>
      </c>
      <c r="CP25" s="15" t="n">
        <v>384</v>
      </c>
      <c r="CQ25" s="16" t="n">
        <f aca="false">IF((CO25-CP25)&lt;0,0,(CO25-CP25))</f>
        <v>156</v>
      </c>
      <c r="CR25" s="7"/>
    </row>
    <row r="26" customFormat="false" ht="12.75" hidden="false" customHeight="true" outlineLevel="0" collapsed="false">
      <c r="A26" s="7" t="s">
        <v>95</v>
      </c>
      <c r="B26" s="7" t="s">
        <v>120</v>
      </c>
      <c r="C26" s="8" t="n">
        <v>306001001</v>
      </c>
      <c r="D26" s="9" t="n">
        <v>66</v>
      </c>
      <c r="E26" s="9" t="n">
        <v>26</v>
      </c>
      <c r="F26" s="9" t="n">
        <v>24</v>
      </c>
      <c r="G26" s="9" t="n">
        <v>22</v>
      </c>
      <c r="H26" s="9" t="n">
        <v>20</v>
      </c>
      <c r="I26" s="9" t="n">
        <v>51</v>
      </c>
      <c r="J26" s="9" t="n">
        <v>48</v>
      </c>
      <c r="K26" s="9" t="n">
        <v>22</v>
      </c>
      <c r="L26" s="9" t="n">
        <v>28</v>
      </c>
      <c r="M26" s="9" t="n">
        <v>8</v>
      </c>
      <c r="N26" s="9" t="n">
        <v>36</v>
      </c>
      <c r="O26" s="9" t="n">
        <v>41</v>
      </c>
      <c r="P26" s="9" t="n">
        <v>28</v>
      </c>
      <c r="Q26" s="9" t="n">
        <v>6</v>
      </c>
      <c r="R26" s="9" t="n">
        <v>23</v>
      </c>
      <c r="S26" s="9" t="n">
        <v>13</v>
      </c>
      <c r="T26" s="9" t="n">
        <v>29</v>
      </c>
      <c r="U26" s="9" t="n">
        <v>27</v>
      </c>
      <c r="V26" s="9" t="n">
        <v>40</v>
      </c>
      <c r="W26" s="9" t="n">
        <v>28</v>
      </c>
      <c r="X26" s="9" t="n">
        <v>29</v>
      </c>
      <c r="Y26" s="9" t="n">
        <v>25</v>
      </c>
      <c r="Z26" s="9" t="n">
        <v>16</v>
      </c>
      <c r="AA26" s="9" t="n">
        <v>10</v>
      </c>
      <c r="AB26" s="9" t="n">
        <v>14</v>
      </c>
      <c r="AC26" s="9" t="n">
        <v>28</v>
      </c>
      <c r="AD26" s="9" t="n">
        <v>51</v>
      </c>
      <c r="AE26" s="9" t="n">
        <v>39</v>
      </c>
      <c r="AF26" s="9" t="n">
        <v>41</v>
      </c>
      <c r="AG26" s="9" t="n">
        <v>32</v>
      </c>
      <c r="AH26" s="9" t="n">
        <v>62</v>
      </c>
      <c r="AI26" s="9" t="n">
        <v>54</v>
      </c>
      <c r="AJ26" s="9" t="n">
        <v>30</v>
      </c>
      <c r="AK26" s="9" t="n">
        <v>19</v>
      </c>
      <c r="AL26" s="9" t="n">
        <v>53</v>
      </c>
      <c r="AM26" s="9" t="n">
        <v>23</v>
      </c>
      <c r="AN26" s="9" t="n">
        <v>44</v>
      </c>
      <c r="AO26" s="9" t="n">
        <v>2</v>
      </c>
      <c r="AP26" s="9" t="n">
        <v>102</v>
      </c>
      <c r="AQ26" s="9" t="n">
        <v>24</v>
      </c>
      <c r="AR26" s="9" t="n">
        <v>21</v>
      </c>
      <c r="AS26" s="9" t="n">
        <v>24</v>
      </c>
      <c r="AT26" s="9" t="n">
        <v>26</v>
      </c>
      <c r="AU26" s="9" t="n">
        <v>17</v>
      </c>
      <c r="AV26" s="9" t="n">
        <v>21</v>
      </c>
      <c r="AW26" s="9" t="n">
        <v>9</v>
      </c>
      <c r="AX26" s="9" t="n">
        <v>21</v>
      </c>
      <c r="AY26" s="9" t="n">
        <v>4</v>
      </c>
      <c r="AZ26" s="9" t="n">
        <v>18</v>
      </c>
      <c r="BA26" s="9" t="n">
        <v>22</v>
      </c>
      <c r="BB26" s="9" t="n">
        <v>24</v>
      </c>
      <c r="BC26" s="9" t="n">
        <v>12</v>
      </c>
      <c r="BD26" s="9" t="n">
        <v>8</v>
      </c>
      <c r="BE26" s="9" t="n">
        <v>11</v>
      </c>
      <c r="BF26" s="9" t="n">
        <v>14</v>
      </c>
      <c r="BG26" s="9" t="n">
        <v>14</v>
      </c>
      <c r="BH26" s="9" t="n">
        <v>12</v>
      </c>
      <c r="BI26" s="9" t="n">
        <v>6</v>
      </c>
      <c r="BJ26" s="9" t="n">
        <v>10</v>
      </c>
      <c r="BK26" s="9" t="n">
        <v>15</v>
      </c>
      <c r="BL26" s="9" t="n">
        <v>24</v>
      </c>
      <c r="BM26" s="9" t="n">
        <v>4</v>
      </c>
      <c r="BN26" s="9" t="n">
        <v>14</v>
      </c>
      <c r="BO26" s="9" t="n">
        <v>4</v>
      </c>
      <c r="BP26" s="9" t="n">
        <v>64</v>
      </c>
      <c r="BQ26" s="9" t="n">
        <v>16</v>
      </c>
      <c r="BR26" s="9" t="n">
        <v>12</v>
      </c>
      <c r="BS26" s="9"/>
      <c r="BT26" s="9" t="n">
        <v>4</v>
      </c>
      <c r="BU26" s="10" t="n">
        <v>1735</v>
      </c>
      <c r="BV26" s="11" t="n">
        <f aca="false">IF(ISERROR(ROUND(MEDIAN(BQ26:BT26),0)),0,ROUND(MEDIAN(BQ26:BT26),0))</f>
        <v>12</v>
      </c>
      <c r="BW26" s="11" t="n">
        <f aca="false">IF(ISERROR(ROUND(MEDIAN(BM26:BT26),0)),0,ROUND(MEDIAN(BM26:BT26),0))</f>
        <v>12</v>
      </c>
      <c r="BX26" s="11" t="n">
        <f aca="false">IF(ISERROR(ROUND(MEDIAN(BI26:BT26),0)),0,ROUND(MEDIAN(BI26:BT26),0))</f>
        <v>12</v>
      </c>
      <c r="BY26" s="11" t="n">
        <f aca="false">IF(ISERROR(ROUND(MEDIAN(BE26:BT26),0)),0,ROUND(MEDIAN(BE26:BT26),0))</f>
        <v>12</v>
      </c>
      <c r="BZ26" s="11" t="n">
        <f aca="false">IF(ISERROR(ROUND(MEDIAN(AU26:BT26),0)),0,ROUND(MEDIAN(AU26:BT26),0))</f>
        <v>14</v>
      </c>
      <c r="CA26" s="12" t="n">
        <f aca="false">IF(ISERROR(ROUND(MEDIAN(U26:BT26),0)),0,ROUND(MEDIAN(U26:BT26),0))</f>
        <v>21</v>
      </c>
      <c r="CB26" s="12" t="n">
        <f aca="false">IF(ISERROR(ROUND(MEDIAN(BT26),0)),0,ROUND(MEDIAN(BT26),0))</f>
        <v>4</v>
      </c>
      <c r="CC26" s="12" t="n">
        <f aca="false">IF(ISERROR(ROUND(MEDIAN(D26:BT26),0)),0,ROUND(MEDIAN(D26:BT26),0))</f>
        <v>23</v>
      </c>
      <c r="CD26" s="12" t="n">
        <f aca="false">MAX(D26:BT26)</f>
        <v>102</v>
      </c>
      <c r="CE26" s="7" t="n">
        <f aca="false">COUNTA(BQ26:BT26)</f>
        <v>3</v>
      </c>
      <c r="CF26" s="7" t="n">
        <f aca="false">COUNTA(BM26:BT26)</f>
        <v>7</v>
      </c>
      <c r="CG26" s="7" t="n">
        <f aca="false">COUNTA(BI26:BT26)</f>
        <v>11</v>
      </c>
      <c r="CH26" s="7" t="n">
        <f aca="false">COUNTA(BE26:BT26)</f>
        <v>15</v>
      </c>
      <c r="CI26" s="7" t="n">
        <f aca="false">COUNTA(AU26:BT26)</f>
        <v>25</v>
      </c>
      <c r="CJ26" s="7" t="n">
        <f aca="false">COUNTA(U26:BT26)</f>
        <v>51</v>
      </c>
      <c r="CK26" s="7" t="n">
        <f aca="false">COUNTA(BT26)</f>
        <v>1</v>
      </c>
      <c r="CL26" s="7" t="n">
        <f aca="false">COUNTA(D26:BT26)</f>
        <v>68</v>
      </c>
      <c r="CM26" s="13" t="str">
        <f aca="false">IF(AND(CE26=1,CJ26=1,BT26&lt;&gt;""),"5.ENTRANTES",IF(AND(CE26&lt;&gt;0,CE26/RIGHT($CE$1,1)&gt;=0.5,CJ26=CE26),"4.RECENTES",IF(AND(CF26&lt;&gt;0,CF26/RIGHT($CF$1,1)&gt;=0.5,CJ26=CF26),"4.RECENTES",IF(AND(CG26&lt;&gt;0,CG26/RIGHT($CG$1,2)&gt;=0.5,CJ26=CG26),"4.RECENTES",IF(AND(CH26&lt;&gt;0,CH26/RIGHT($CH$1,2)&gt;=0.5,CJ26=CH26),"4.RECENTES",IF(AND(CI26&lt;&gt;0,CI26/RIGHT($CI$1,2)&gt;=0.5,CJ26=CI26),"4.RECENTES",IF(AND(CE26=0,CF26=0,CG26=0,CH26=0),"3.INATIVOS",IF(CJ26/RIGHT($CJ$1,2)&lt;0.5,"2.INTERMITENTES","1.ORDINÁRIOS"))))))))</f>
        <v>1.ORDINÁRIOS</v>
      </c>
      <c r="CN26" s="14" t="n">
        <f aca="false">IF(AND(CE26=1,CJ26=1,BT26&lt;&gt;""),BT26,IF(AND(CE26&lt;&gt;0,CE26/RIGHT($CE$1,1)&gt;=0.5,CJ26=CE26),MAX(BV26:CC26),IF(AND(CF26&lt;&gt;0,CF26/RIGHT($CF$1,1)&gt;=0.5,CJ26=CF26),MAX(BV26:CC26),IF(AND(CG26&lt;&gt;0,CG26/RIGHT($CG$1,2)&gt;=0.5,CJ26=CG26),MAX(BV26:CC26),IF(AND(CH26&lt;&gt;0,CH26/RIGHT($CH$1,2)&gt;=0.5,CJ26=CH26),MAX(BV26:CC26),IF(AND(CI26&lt;&gt;0,CI26/RIGHT($CI$1,2)&gt;=0.5,CJ26=CI26),MAX(BV26:CC26),IF(AND(CE26=0,CF26=0,CG26=0,CH26=0),0,IF(CJ26/RIGHT($CJ$1,2)&lt;0.5,ROUND(BU26/RIGHT($CJ$1,2),0),MAX(BV26:CC26)))))))))</f>
        <v>23</v>
      </c>
      <c r="CO26" s="14" t="n">
        <f aca="false">CN26*3</f>
        <v>69</v>
      </c>
      <c r="CP26" s="15" t="n">
        <v>92</v>
      </c>
      <c r="CQ26" s="16" t="n">
        <f aca="false">IF((CO26-CP26)&lt;0,0,(CO26-CP26))</f>
        <v>0</v>
      </c>
      <c r="CR26" s="7"/>
    </row>
    <row r="27" customFormat="false" ht="12.75" hidden="false" customHeight="true" outlineLevel="0" collapsed="false">
      <c r="A27" s="7" t="s">
        <v>95</v>
      </c>
      <c r="B27" s="7" t="s">
        <v>121</v>
      </c>
      <c r="C27" s="8" t="n">
        <v>2000075</v>
      </c>
      <c r="D27" s="9" t="n">
        <v>100</v>
      </c>
      <c r="E27" s="9" t="n">
        <v>520</v>
      </c>
      <c r="F27" s="9" t="n">
        <v>280</v>
      </c>
      <c r="G27" s="9" t="n">
        <v>340</v>
      </c>
      <c r="H27" s="9" t="n">
        <v>140</v>
      </c>
      <c r="I27" s="9" t="n">
        <v>450</v>
      </c>
      <c r="J27" s="9" t="n">
        <v>420</v>
      </c>
      <c r="K27" s="9" t="n">
        <v>260</v>
      </c>
      <c r="L27" s="9" t="n">
        <v>320</v>
      </c>
      <c r="M27" s="9" t="n">
        <v>520</v>
      </c>
      <c r="N27" s="9" t="n">
        <v>530</v>
      </c>
      <c r="O27" s="9" t="n">
        <v>411</v>
      </c>
      <c r="P27" s="9" t="n">
        <v>780</v>
      </c>
      <c r="Q27" s="9" t="n">
        <v>420</v>
      </c>
      <c r="R27" s="9" t="n">
        <v>880</v>
      </c>
      <c r="S27" s="9" t="n">
        <v>790</v>
      </c>
      <c r="T27" s="9" t="n">
        <v>1000</v>
      </c>
      <c r="U27" s="9" t="n">
        <v>450</v>
      </c>
      <c r="V27" s="9"/>
      <c r="W27" s="9"/>
      <c r="X27" s="9" t="n">
        <v>640</v>
      </c>
      <c r="Y27" s="9" t="n">
        <v>850</v>
      </c>
      <c r="Z27" s="9" t="n">
        <v>480</v>
      </c>
      <c r="AA27" s="9" t="n">
        <v>1200</v>
      </c>
      <c r="AB27" s="9" t="n">
        <v>910</v>
      </c>
      <c r="AC27" s="9" t="n">
        <v>800</v>
      </c>
      <c r="AD27" s="9" t="n">
        <v>650</v>
      </c>
      <c r="AE27" s="9" t="n">
        <v>1060</v>
      </c>
      <c r="AF27" s="9" t="n">
        <v>580</v>
      </c>
      <c r="AG27" s="9" t="n">
        <v>1101</v>
      </c>
      <c r="AH27" s="9" t="n">
        <v>860</v>
      </c>
      <c r="AI27" s="9" t="n">
        <v>680</v>
      </c>
      <c r="AJ27" s="9" t="n">
        <v>1130</v>
      </c>
      <c r="AK27" s="9" t="n">
        <v>680</v>
      </c>
      <c r="AL27" s="9" t="n">
        <v>740</v>
      </c>
      <c r="AM27" s="9" t="n">
        <v>590</v>
      </c>
      <c r="AN27" s="9" t="n">
        <v>900</v>
      </c>
      <c r="AO27" s="9" t="n">
        <v>380</v>
      </c>
      <c r="AP27" s="9" t="n">
        <v>640</v>
      </c>
      <c r="AQ27" s="9" t="n">
        <v>660</v>
      </c>
      <c r="AR27" s="9" t="n">
        <v>490</v>
      </c>
      <c r="AS27" s="9" t="n">
        <v>420</v>
      </c>
      <c r="AT27" s="9" t="n">
        <v>240</v>
      </c>
      <c r="AU27" s="9" t="n">
        <v>420</v>
      </c>
      <c r="AV27" s="9" t="n">
        <v>400</v>
      </c>
      <c r="AW27" s="9" t="n">
        <v>300</v>
      </c>
      <c r="AX27" s="9" t="n">
        <v>420</v>
      </c>
      <c r="AY27" s="9" t="n">
        <v>280</v>
      </c>
      <c r="AZ27" s="9" t="n">
        <v>420</v>
      </c>
      <c r="BA27" s="9" t="n">
        <v>742</v>
      </c>
      <c r="BB27" s="9" t="n">
        <v>410</v>
      </c>
      <c r="BC27" s="9" t="n">
        <v>648</v>
      </c>
      <c r="BD27" s="9" t="n">
        <v>60</v>
      </c>
      <c r="BE27" s="9" t="n">
        <v>120</v>
      </c>
      <c r="BF27" s="9" t="n">
        <v>290</v>
      </c>
      <c r="BG27" s="9" t="n">
        <v>330</v>
      </c>
      <c r="BH27" s="9" t="n">
        <v>360</v>
      </c>
      <c r="BI27" s="9" t="n">
        <v>370</v>
      </c>
      <c r="BJ27" s="9" t="n">
        <v>290</v>
      </c>
      <c r="BK27" s="9" t="n">
        <v>300</v>
      </c>
      <c r="BL27" s="9" t="n">
        <v>280</v>
      </c>
      <c r="BM27" s="9" t="n">
        <v>530</v>
      </c>
      <c r="BN27" s="9" t="n">
        <v>470</v>
      </c>
      <c r="BO27" s="9" t="n">
        <v>401</v>
      </c>
      <c r="BP27" s="9" t="n">
        <v>430</v>
      </c>
      <c r="BQ27" s="9" t="n">
        <v>220</v>
      </c>
      <c r="BR27" s="9" t="n">
        <v>510</v>
      </c>
      <c r="BS27" s="9" t="n">
        <v>150</v>
      </c>
      <c r="BT27" s="9" t="n">
        <v>170</v>
      </c>
      <c r="BU27" s="10" t="n">
        <v>34613</v>
      </c>
      <c r="BV27" s="11" t="n">
        <f aca="false">IF(ISERROR(ROUND(MEDIAN(BQ27:BT27),0)),0,ROUND(MEDIAN(BQ27:BT27),0))</f>
        <v>195</v>
      </c>
      <c r="BW27" s="11" t="n">
        <f aca="false">IF(ISERROR(ROUND(MEDIAN(BM27:BT27),0)),0,ROUND(MEDIAN(BM27:BT27),0))</f>
        <v>416</v>
      </c>
      <c r="BX27" s="11" t="n">
        <f aca="false">IF(ISERROR(ROUND(MEDIAN(BI27:BT27),0)),0,ROUND(MEDIAN(BI27:BT27),0))</f>
        <v>335</v>
      </c>
      <c r="BY27" s="11" t="n">
        <f aca="false">IF(ISERROR(ROUND(MEDIAN(BE27:BT27),0)),0,ROUND(MEDIAN(BE27:BT27),0))</f>
        <v>315</v>
      </c>
      <c r="BZ27" s="11" t="n">
        <f aca="false">IF(ISERROR(ROUND(MEDIAN(AU27:BT27),0)),0,ROUND(MEDIAN(AU27:BT27),0))</f>
        <v>365</v>
      </c>
      <c r="CA27" s="12" t="n">
        <f aca="false">IF(ISERROR(ROUND(MEDIAN(U27:BT27),0)),0,ROUND(MEDIAN(U27:BT27),0))</f>
        <v>460</v>
      </c>
      <c r="CB27" s="12" t="n">
        <f aca="false">IF(ISERROR(ROUND(MEDIAN(BT27),0)),0,ROUND(MEDIAN(BT27),0))</f>
        <v>170</v>
      </c>
      <c r="CC27" s="12" t="n">
        <f aca="false">IF(ISERROR(ROUND(MEDIAN(D27:BT27),0)),0,ROUND(MEDIAN(D27:BT27),0))</f>
        <v>450</v>
      </c>
      <c r="CD27" s="12" t="n">
        <f aca="false">MAX(D27:BT27)</f>
        <v>1200</v>
      </c>
      <c r="CE27" s="7" t="n">
        <f aca="false">COUNTA(BQ27:BT27)</f>
        <v>4</v>
      </c>
      <c r="CF27" s="7" t="n">
        <f aca="false">COUNTA(BM27:BT27)</f>
        <v>8</v>
      </c>
      <c r="CG27" s="7" t="n">
        <f aca="false">COUNTA(BI27:BT27)</f>
        <v>12</v>
      </c>
      <c r="CH27" s="7" t="n">
        <f aca="false">COUNTA(BE27:BT27)</f>
        <v>16</v>
      </c>
      <c r="CI27" s="7" t="n">
        <f aca="false">COUNTA(AU27:BT27)</f>
        <v>26</v>
      </c>
      <c r="CJ27" s="7" t="n">
        <f aca="false">COUNTA(U27:BT27)</f>
        <v>50</v>
      </c>
      <c r="CK27" s="7" t="n">
        <f aca="false">COUNTA(BT27)</f>
        <v>1</v>
      </c>
      <c r="CL27" s="7" t="n">
        <f aca="false">COUNTA(D27:BT27)</f>
        <v>67</v>
      </c>
      <c r="CM27" s="13" t="str">
        <f aca="false">IF(AND(CE27=1,CJ27=1,BT27&lt;&gt;""),"5.ENTRANTES",IF(AND(CE27&lt;&gt;0,CE27/RIGHT($CE$1,1)&gt;=0.5,CJ27=CE27),"4.RECENTES",IF(AND(CF27&lt;&gt;0,CF27/RIGHT($CF$1,1)&gt;=0.5,CJ27=CF27),"4.RECENTES",IF(AND(CG27&lt;&gt;0,CG27/RIGHT($CG$1,2)&gt;=0.5,CJ27=CG27),"4.RECENTES",IF(AND(CH27&lt;&gt;0,CH27/RIGHT($CH$1,2)&gt;=0.5,CJ27=CH27),"4.RECENTES",IF(AND(CI27&lt;&gt;0,CI27/RIGHT($CI$1,2)&gt;=0.5,CJ27=CI27),"4.RECENTES",IF(AND(CE27=0,CF27=0,CG27=0,CH27=0),"3.INATIVOS",IF(CJ27/RIGHT($CJ$1,2)&lt;0.5,"2.INTERMITENTES","1.ORDINÁRIOS"))))))))</f>
        <v>1.ORDINÁRIOS</v>
      </c>
      <c r="CN27" s="14" t="n">
        <f aca="false">IF(AND(CE27=1,CJ27=1,BT27&lt;&gt;""),BT27,IF(AND(CE27&lt;&gt;0,CE27/RIGHT($CE$1,1)&gt;=0.5,CJ27=CE27),MAX(BV27:CC27),IF(AND(CF27&lt;&gt;0,CF27/RIGHT($CF$1,1)&gt;=0.5,CJ27=CF27),MAX(BV27:CC27),IF(AND(CG27&lt;&gt;0,CG27/RIGHT($CG$1,2)&gt;=0.5,CJ27=CG27),MAX(BV27:CC27),IF(AND(CH27&lt;&gt;0,CH27/RIGHT($CH$1,2)&gt;=0.5,CJ27=CH27),MAX(BV27:CC27),IF(AND(CI27&lt;&gt;0,CI27/RIGHT($CI$1,2)&gt;=0.5,CJ27=CI27),MAX(BV27:CC27),IF(AND(CE27=0,CF27=0,CG27=0,CH27=0),0,IF(CJ27/RIGHT($CJ$1,2)&lt;0.5,ROUND(BU27/RIGHT($CJ$1,2),0),MAX(BV27:CC27)))))))))</f>
        <v>460</v>
      </c>
      <c r="CO27" s="14" t="n">
        <f aca="false">CN27*3</f>
        <v>1380</v>
      </c>
      <c r="CP27" s="15" t="n">
        <v>1099</v>
      </c>
      <c r="CQ27" s="16" t="n">
        <f aca="false">IF((CO27-CP27)&lt;0,0,(CO27-CP27))</f>
        <v>281</v>
      </c>
      <c r="CR27" s="7"/>
    </row>
    <row r="28" customFormat="false" ht="12.75" hidden="false" customHeight="true" outlineLevel="0" collapsed="false">
      <c r="A28" s="7" t="s">
        <v>95</v>
      </c>
      <c r="B28" s="7" t="s">
        <v>122</v>
      </c>
      <c r="C28" s="8" t="n">
        <v>2000051</v>
      </c>
      <c r="D28" s="9" t="n">
        <v>2</v>
      </c>
      <c r="E28" s="9" t="n">
        <v>9</v>
      </c>
      <c r="F28" s="9" t="n">
        <v>26</v>
      </c>
      <c r="G28" s="9" t="n">
        <v>6</v>
      </c>
      <c r="H28" s="9" t="n">
        <v>6</v>
      </c>
      <c r="I28" s="9" t="n">
        <v>11</v>
      </c>
      <c r="J28" s="9" t="n">
        <v>13</v>
      </c>
      <c r="K28" s="9" t="n">
        <v>10</v>
      </c>
      <c r="L28" s="9" t="n">
        <v>15</v>
      </c>
      <c r="M28" s="9" t="n">
        <v>13</v>
      </c>
      <c r="N28" s="9" t="n">
        <v>11</v>
      </c>
      <c r="O28" s="9" t="n">
        <v>8</v>
      </c>
      <c r="P28" s="9" t="n">
        <v>10</v>
      </c>
      <c r="Q28" s="9" t="n">
        <v>9</v>
      </c>
      <c r="R28" s="9" t="n">
        <v>13</v>
      </c>
      <c r="S28" s="9" t="n">
        <v>5</v>
      </c>
      <c r="T28" s="9" t="n">
        <v>6</v>
      </c>
      <c r="U28" s="9" t="n">
        <v>29</v>
      </c>
      <c r="V28" s="9" t="n">
        <v>71</v>
      </c>
      <c r="W28" s="9" t="n">
        <v>63</v>
      </c>
      <c r="X28" s="9" t="n">
        <v>53</v>
      </c>
      <c r="Y28" s="9" t="n">
        <v>11</v>
      </c>
      <c r="Z28" s="9" t="n">
        <v>7</v>
      </c>
      <c r="AA28" s="9" t="n">
        <v>5</v>
      </c>
      <c r="AB28" s="9" t="n">
        <v>11</v>
      </c>
      <c r="AC28" s="9" t="n">
        <v>15</v>
      </c>
      <c r="AD28" s="9" t="n">
        <v>21</v>
      </c>
      <c r="AE28" s="9" t="n">
        <v>20</v>
      </c>
      <c r="AF28" s="9" t="n">
        <v>13</v>
      </c>
      <c r="AG28" s="9" t="n">
        <v>16</v>
      </c>
      <c r="AH28" s="9" t="n">
        <v>1</v>
      </c>
      <c r="AI28" s="9" t="n">
        <v>18</v>
      </c>
      <c r="AJ28" s="9" t="n">
        <v>31</v>
      </c>
      <c r="AK28" s="9" t="n">
        <v>10</v>
      </c>
      <c r="AL28" s="9" t="n">
        <v>18</v>
      </c>
      <c r="AM28" s="9" t="n">
        <v>9</v>
      </c>
      <c r="AN28" s="9" t="n">
        <v>11</v>
      </c>
      <c r="AO28" s="9" t="n">
        <v>11</v>
      </c>
      <c r="AP28" s="9" t="n">
        <v>12</v>
      </c>
      <c r="AQ28" s="9" t="n">
        <v>9</v>
      </c>
      <c r="AR28" s="9" t="n">
        <v>4</v>
      </c>
      <c r="AS28" s="9" t="n">
        <v>9</v>
      </c>
      <c r="AT28" s="9" t="n">
        <v>5</v>
      </c>
      <c r="AU28" s="9"/>
      <c r="AV28" s="9" t="n">
        <v>5</v>
      </c>
      <c r="AW28" s="9" t="n">
        <v>7</v>
      </c>
      <c r="AX28" s="9" t="n">
        <v>12</v>
      </c>
      <c r="AY28" s="9" t="n">
        <v>6</v>
      </c>
      <c r="AZ28" s="9" t="n">
        <v>6</v>
      </c>
      <c r="BA28" s="9" t="n">
        <v>29</v>
      </c>
      <c r="BB28" s="9" t="n">
        <v>18</v>
      </c>
      <c r="BC28" s="9" t="n">
        <v>16</v>
      </c>
      <c r="BD28" s="9" t="n">
        <v>36</v>
      </c>
      <c r="BE28" s="9" t="n">
        <v>17</v>
      </c>
      <c r="BF28" s="9" t="n">
        <v>20</v>
      </c>
      <c r="BG28" s="9" t="n">
        <v>5</v>
      </c>
      <c r="BH28" s="9" t="n">
        <v>12</v>
      </c>
      <c r="BI28" s="9" t="n">
        <v>11</v>
      </c>
      <c r="BJ28" s="9" t="n">
        <v>12</v>
      </c>
      <c r="BK28" s="9" t="n">
        <v>9</v>
      </c>
      <c r="BL28" s="9" t="n">
        <v>16</v>
      </c>
      <c r="BM28" s="9" t="n">
        <v>3</v>
      </c>
      <c r="BN28" s="9" t="n">
        <v>10</v>
      </c>
      <c r="BO28" s="9" t="n">
        <v>17</v>
      </c>
      <c r="BP28" s="9" t="n">
        <v>9</v>
      </c>
      <c r="BQ28" s="9" t="n">
        <v>4</v>
      </c>
      <c r="BR28" s="9" t="n">
        <v>9</v>
      </c>
      <c r="BS28" s="9" t="n">
        <v>2</v>
      </c>
      <c r="BT28" s="9" t="n">
        <v>4</v>
      </c>
      <c r="BU28" s="10" t="n">
        <v>951</v>
      </c>
      <c r="BV28" s="11" t="n">
        <f aca="false">IF(ISERROR(ROUND(MEDIAN(BQ28:BT28),0)),0,ROUND(MEDIAN(BQ28:BT28),0))</f>
        <v>4</v>
      </c>
      <c r="BW28" s="11" t="n">
        <f aca="false">IF(ISERROR(ROUND(MEDIAN(BM28:BT28),0)),0,ROUND(MEDIAN(BM28:BT28),0))</f>
        <v>7</v>
      </c>
      <c r="BX28" s="11" t="n">
        <f aca="false">IF(ISERROR(ROUND(MEDIAN(BI28:BT28),0)),0,ROUND(MEDIAN(BI28:BT28),0))</f>
        <v>9</v>
      </c>
      <c r="BY28" s="11" t="n">
        <f aca="false">IF(ISERROR(ROUND(MEDIAN(BE28:BT28),0)),0,ROUND(MEDIAN(BE28:BT28),0))</f>
        <v>10</v>
      </c>
      <c r="BZ28" s="11" t="n">
        <f aca="false">IF(ISERROR(ROUND(MEDIAN(AU28:BT28),0)),0,ROUND(MEDIAN(AU28:BT28),0))</f>
        <v>10</v>
      </c>
      <c r="CA28" s="12" t="n">
        <f aca="false">IF(ISERROR(ROUND(MEDIAN(U28:BT28),0)),0,ROUND(MEDIAN(U28:BT28),0))</f>
        <v>11</v>
      </c>
      <c r="CB28" s="12" t="n">
        <f aca="false">IF(ISERROR(ROUND(MEDIAN(BT28),0)),0,ROUND(MEDIAN(BT28),0))</f>
        <v>4</v>
      </c>
      <c r="CC28" s="12" t="n">
        <f aca="false">IF(ISERROR(ROUND(MEDIAN(D28:BT28),0)),0,ROUND(MEDIAN(D28:BT28),0))</f>
        <v>11</v>
      </c>
      <c r="CD28" s="12" t="n">
        <f aca="false">MAX(D28:BT28)</f>
        <v>71</v>
      </c>
      <c r="CE28" s="7" t="n">
        <f aca="false">COUNTA(BQ28:BT28)</f>
        <v>4</v>
      </c>
      <c r="CF28" s="7" t="n">
        <f aca="false">COUNTA(BM28:BT28)</f>
        <v>8</v>
      </c>
      <c r="CG28" s="7" t="n">
        <f aca="false">COUNTA(BI28:BT28)</f>
        <v>12</v>
      </c>
      <c r="CH28" s="7" t="n">
        <f aca="false">COUNTA(BE28:BT28)</f>
        <v>16</v>
      </c>
      <c r="CI28" s="7" t="n">
        <f aca="false">COUNTA(AU28:BT28)</f>
        <v>25</v>
      </c>
      <c r="CJ28" s="7" t="n">
        <f aca="false">COUNTA(U28:BT28)</f>
        <v>51</v>
      </c>
      <c r="CK28" s="7" t="n">
        <f aca="false">COUNTA(BT28)</f>
        <v>1</v>
      </c>
      <c r="CL28" s="7" t="n">
        <f aca="false">COUNTA(D28:BT28)</f>
        <v>68</v>
      </c>
      <c r="CM28" s="13" t="str">
        <f aca="false">IF(AND(CE28=1,CJ28=1,BT28&lt;&gt;""),"5.ENTRANTES",IF(AND(CE28&lt;&gt;0,CE28/RIGHT($CE$1,1)&gt;=0.5,CJ28=CE28),"4.RECENTES",IF(AND(CF28&lt;&gt;0,CF28/RIGHT($CF$1,1)&gt;=0.5,CJ28=CF28),"4.RECENTES",IF(AND(CG28&lt;&gt;0,CG28/RIGHT($CG$1,2)&gt;=0.5,CJ28=CG28),"4.RECENTES",IF(AND(CH28&lt;&gt;0,CH28/RIGHT($CH$1,2)&gt;=0.5,CJ28=CH28),"4.RECENTES",IF(AND(CI28&lt;&gt;0,CI28/RIGHT($CI$1,2)&gt;=0.5,CJ28=CI28),"4.RECENTES",IF(AND(CE28=0,CF28=0,CG28=0,CH28=0),"3.INATIVOS",IF(CJ28/RIGHT($CJ$1,2)&lt;0.5,"2.INTERMITENTES","1.ORDINÁRIOS"))))))))</f>
        <v>1.ORDINÁRIOS</v>
      </c>
      <c r="CN28" s="14" t="n">
        <f aca="false">IF(AND(CE28=1,CJ28=1,BT28&lt;&gt;""),BT28,IF(AND(CE28&lt;&gt;0,CE28/RIGHT($CE$1,1)&gt;=0.5,CJ28=CE28),MAX(BV28:CC28),IF(AND(CF28&lt;&gt;0,CF28/RIGHT($CF$1,1)&gt;=0.5,CJ28=CF28),MAX(BV28:CC28),IF(AND(CG28&lt;&gt;0,CG28/RIGHT($CG$1,2)&gt;=0.5,CJ28=CG28),MAX(BV28:CC28),IF(AND(CH28&lt;&gt;0,CH28/RIGHT($CH$1,2)&gt;=0.5,CJ28=CH28),MAX(BV28:CC28),IF(AND(CI28&lt;&gt;0,CI28/RIGHT($CI$1,2)&gt;=0.5,CJ28=CI28),MAX(BV28:CC28),IF(AND(CE28=0,CF28=0,CG28=0,CH28=0),0,IF(CJ28/RIGHT($CJ$1,2)&lt;0.5,ROUND(BU28/RIGHT($CJ$1,2),0),MAX(BV28:CC28)))))))))</f>
        <v>11</v>
      </c>
      <c r="CO28" s="14" t="n">
        <f aca="false">CN28*3</f>
        <v>33</v>
      </c>
      <c r="CP28" s="15" t="n">
        <v>33</v>
      </c>
      <c r="CQ28" s="16" t="n">
        <f aca="false">IF((CO28-CP28)&lt;0,0,(CO28-CP28))</f>
        <v>0</v>
      </c>
      <c r="CR28" s="7"/>
    </row>
    <row r="29" customFormat="false" ht="12.75" hidden="false" customHeight="true" outlineLevel="0" collapsed="false">
      <c r="A29" s="7" t="s">
        <v>95</v>
      </c>
      <c r="B29" s="7" t="s">
        <v>123</v>
      </c>
      <c r="C29" s="8" t="n">
        <v>2000009</v>
      </c>
      <c r="D29" s="9" t="n">
        <v>1</v>
      </c>
      <c r="E29" s="9" t="n">
        <v>8</v>
      </c>
      <c r="F29" s="9" t="n">
        <v>1</v>
      </c>
      <c r="G29" s="9" t="n">
        <v>7</v>
      </c>
      <c r="H29" s="9" t="n">
        <v>3</v>
      </c>
      <c r="I29" s="9" t="n">
        <v>4</v>
      </c>
      <c r="J29" s="9" t="n">
        <v>5</v>
      </c>
      <c r="K29" s="9" t="n">
        <v>23</v>
      </c>
      <c r="L29" s="9" t="n">
        <v>9</v>
      </c>
      <c r="M29" s="9" t="n">
        <v>12</v>
      </c>
      <c r="N29" s="9" t="n">
        <v>1</v>
      </c>
      <c r="O29" s="9" t="n">
        <v>5</v>
      </c>
      <c r="P29" s="9" t="n">
        <v>4</v>
      </c>
      <c r="Q29" s="9" t="n">
        <v>2</v>
      </c>
      <c r="R29" s="9" t="n">
        <v>2</v>
      </c>
      <c r="S29" s="9" t="n">
        <v>3</v>
      </c>
      <c r="T29" s="9" t="n">
        <v>7</v>
      </c>
      <c r="U29" s="9" t="n">
        <v>1</v>
      </c>
      <c r="V29" s="9" t="n">
        <v>4</v>
      </c>
      <c r="W29" s="9" t="n">
        <v>6</v>
      </c>
      <c r="X29" s="9" t="n">
        <v>9</v>
      </c>
      <c r="Y29" s="9" t="n">
        <v>5</v>
      </c>
      <c r="Z29" s="9" t="n">
        <v>2</v>
      </c>
      <c r="AA29" s="9" t="n">
        <v>6</v>
      </c>
      <c r="AB29" s="9" t="n">
        <v>8</v>
      </c>
      <c r="AC29" s="9" t="n">
        <v>5</v>
      </c>
      <c r="AD29" s="9" t="n">
        <v>8</v>
      </c>
      <c r="AE29" s="9" t="n">
        <v>6</v>
      </c>
      <c r="AF29" s="9" t="n">
        <v>7</v>
      </c>
      <c r="AG29" s="9" t="n">
        <v>7</v>
      </c>
      <c r="AH29" s="9" t="n">
        <v>11</v>
      </c>
      <c r="AI29" s="9" t="n">
        <v>6</v>
      </c>
      <c r="AJ29" s="9" t="n">
        <v>6</v>
      </c>
      <c r="AK29" s="9" t="n">
        <v>8</v>
      </c>
      <c r="AL29" s="9" t="n">
        <v>7</v>
      </c>
      <c r="AM29" s="9" t="n">
        <v>4</v>
      </c>
      <c r="AN29" s="9" t="n">
        <v>4</v>
      </c>
      <c r="AO29" s="9" t="n">
        <v>5</v>
      </c>
      <c r="AP29" s="9" t="n">
        <v>9</v>
      </c>
      <c r="AQ29" s="9" t="n">
        <v>12</v>
      </c>
      <c r="AR29" s="9" t="n">
        <v>8</v>
      </c>
      <c r="AS29" s="9" t="n">
        <v>6</v>
      </c>
      <c r="AT29" s="9" t="n">
        <v>5</v>
      </c>
      <c r="AU29" s="9" t="n">
        <v>3</v>
      </c>
      <c r="AV29" s="9" t="n">
        <v>10</v>
      </c>
      <c r="AW29" s="9" t="n">
        <v>2</v>
      </c>
      <c r="AX29" s="9" t="n">
        <v>9</v>
      </c>
      <c r="AY29" s="9" t="n">
        <v>3</v>
      </c>
      <c r="AZ29" s="9" t="n">
        <v>5</v>
      </c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10" t="n">
        <v>294</v>
      </c>
      <c r="BV29" s="11" t="n">
        <f aca="false">IF(ISERROR(ROUND(MEDIAN(BQ29:BT29),0)),0,ROUND(MEDIAN(BQ29:BT29),0))</f>
        <v>0</v>
      </c>
      <c r="BW29" s="11" t="n">
        <f aca="false">IF(ISERROR(ROUND(MEDIAN(BM29:BT29),0)),0,ROUND(MEDIAN(BM29:BT29),0))</f>
        <v>0</v>
      </c>
      <c r="BX29" s="11" t="n">
        <f aca="false">IF(ISERROR(ROUND(MEDIAN(BI29:BT29),0)),0,ROUND(MEDIAN(BI29:BT29),0))</f>
        <v>0</v>
      </c>
      <c r="BY29" s="11" t="n">
        <f aca="false">IF(ISERROR(ROUND(MEDIAN(BE29:BT29),0)),0,ROUND(MEDIAN(BE29:BT29),0))</f>
        <v>0</v>
      </c>
      <c r="BZ29" s="11" t="n">
        <f aca="false">IF(ISERROR(ROUND(MEDIAN(AU29:BT29),0)),0,ROUND(MEDIAN(AU29:BT29),0))</f>
        <v>4</v>
      </c>
      <c r="CA29" s="12" t="n">
        <f aca="false">IF(ISERROR(ROUND(MEDIAN(U29:BT29),0)),0,ROUND(MEDIAN(U29:BT29),0))</f>
        <v>6</v>
      </c>
      <c r="CB29" s="12" t="n">
        <f aca="false">IF(ISERROR(ROUND(MEDIAN(BT29),0)),0,ROUND(MEDIAN(BT29),0))</f>
        <v>0</v>
      </c>
      <c r="CC29" s="12" t="n">
        <f aca="false">IF(ISERROR(ROUND(MEDIAN(D29:BT29),0)),0,ROUND(MEDIAN(D29:BT29),0))</f>
        <v>6</v>
      </c>
      <c r="CD29" s="12" t="n">
        <f aca="false">MAX(D29:BT29)</f>
        <v>23</v>
      </c>
      <c r="CE29" s="7" t="n">
        <f aca="false">COUNTA(BQ29:BT29)</f>
        <v>0</v>
      </c>
      <c r="CF29" s="7" t="n">
        <f aca="false">COUNTA(BM29:BT29)</f>
        <v>0</v>
      </c>
      <c r="CG29" s="7" t="n">
        <f aca="false">COUNTA(BI29:BT29)</f>
        <v>0</v>
      </c>
      <c r="CH29" s="7" t="n">
        <f aca="false">COUNTA(BE29:BT29)</f>
        <v>0</v>
      </c>
      <c r="CI29" s="7" t="n">
        <f aca="false">COUNTA(AU29:BT29)</f>
        <v>6</v>
      </c>
      <c r="CJ29" s="7" t="n">
        <f aca="false">COUNTA(U29:BT29)</f>
        <v>32</v>
      </c>
      <c r="CK29" s="7" t="n">
        <f aca="false">COUNTA(BT29)</f>
        <v>0</v>
      </c>
      <c r="CL29" s="7" t="n">
        <f aca="false">COUNTA(D29:BT29)</f>
        <v>49</v>
      </c>
      <c r="CM29" s="19" t="str">
        <f aca="false">IF(AND(CE29=1,CJ29=1,BT29&lt;&gt;""),"5.ENTRANTES",IF(AND(CE29&lt;&gt;0,CE29/RIGHT($CE$1,1)&gt;=0.5,CJ29=CE29),"4.RECENTES",IF(AND(CF29&lt;&gt;0,CF29/RIGHT($CF$1,1)&gt;=0.5,CJ29=CF29),"4.RECENTES",IF(AND(CG29&lt;&gt;0,CG29/RIGHT($CG$1,2)&gt;=0.5,CJ29=CG29),"4.RECENTES",IF(AND(CH29&lt;&gt;0,CH29/RIGHT($CH$1,2)&gt;=0.5,CJ29=CH29),"4.RECENTES",IF(AND(CI29&lt;&gt;0,CI29/RIGHT($CI$1,2)&gt;=0.5,CJ29=CI29),"4.RECENTES",IF(AND(CE29=0,CF29=0,CG29=0,CH29=0),"3.INATIVOS",IF(CJ29/RIGHT($CJ$1,2)&lt;0.5,"2.INTERMITENTES","1.ORDINÁRIOS"))))))))</f>
        <v>3.INATIVOS</v>
      </c>
      <c r="CN29" s="20" t="n">
        <f aca="false">IF(AND(CE29=1,CJ29=1,BT29&lt;&gt;""),BT29,IF(AND(CE29&lt;&gt;0,CE29/RIGHT($CE$1,1)&gt;=0.5,CJ29=CE29),MAX(BV29:CC29),IF(AND(CF29&lt;&gt;0,CF29/RIGHT($CF$1,1)&gt;=0.5,CJ29=CF29),MAX(BV29:CC29),IF(AND(CG29&lt;&gt;0,CG29/RIGHT($CG$1,2)&gt;=0.5,CJ29=CG29),MAX(BV29:CC29),IF(AND(CH29&lt;&gt;0,CH29/RIGHT($CH$1,2)&gt;=0.5,CJ29=CH29),MAX(BV29:CC29),IF(AND(CI29&lt;&gt;0,CI29/RIGHT($CI$1,2)&gt;=0.5,CJ29=CI29),MAX(BV29:CC29),IF(AND(CE29=0,CF29=0,CG29=0,CH29=0),0,IF(CJ29/RIGHT($CJ$1,2)&lt;0.5,ROUND(BU29/RIGHT($CJ$1,2),0),MAX(BV29:CC29)))))))))</f>
        <v>0</v>
      </c>
      <c r="CO29" s="20" t="n">
        <f aca="false">CN29*3</f>
        <v>0</v>
      </c>
      <c r="CP29" s="15" t="n">
        <v>0</v>
      </c>
      <c r="CQ29" s="16" t="n">
        <f aca="false">IF((CO29-CP29)&lt;0,0,(CO29-CP29))</f>
        <v>0</v>
      </c>
      <c r="CR29" s="7"/>
    </row>
    <row r="30" customFormat="false" ht="12.75" hidden="false" customHeight="true" outlineLevel="0" collapsed="false">
      <c r="A30" s="7" t="s">
        <v>95</v>
      </c>
      <c r="B30" s="7" t="s">
        <v>124</v>
      </c>
      <c r="C30" s="8" t="n">
        <v>2000052</v>
      </c>
      <c r="D30" s="9" t="n">
        <v>160</v>
      </c>
      <c r="E30" s="9" t="n">
        <v>460</v>
      </c>
      <c r="F30" s="9" t="n">
        <v>800</v>
      </c>
      <c r="G30" s="9" t="n">
        <v>560</v>
      </c>
      <c r="H30" s="9" t="n">
        <v>220</v>
      </c>
      <c r="I30" s="9" t="n">
        <v>1140</v>
      </c>
      <c r="J30" s="9" t="n">
        <v>500</v>
      </c>
      <c r="K30" s="9" t="n">
        <v>160</v>
      </c>
      <c r="L30" s="9" t="n">
        <v>20</v>
      </c>
      <c r="M30" s="9" t="n">
        <v>320</v>
      </c>
      <c r="N30" s="9" t="n">
        <v>130</v>
      </c>
      <c r="O30" s="9" t="n">
        <v>290</v>
      </c>
      <c r="P30" s="9" t="n">
        <v>470</v>
      </c>
      <c r="Q30" s="9" t="n">
        <v>290</v>
      </c>
      <c r="R30" s="9" t="n">
        <v>300</v>
      </c>
      <c r="S30" s="9" t="n">
        <v>460</v>
      </c>
      <c r="T30" s="9" t="n">
        <v>440</v>
      </c>
      <c r="U30" s="9" t="n">
        <v>200</v>
      </c>
      <c r="V30" s="9" t="n">
        <v>600</v>
      </c>
      <c r="W30" s="9" t="n">
        <v>590</v>
      </c>
      <c r="X30" s="9" t="n">
        <v>410</v>
      </c>
      <c r="Y30" s="9" t="n">
        <v>400</v>
      </c>
      <c r="Z30" s="9" t="n">
        <v>350</v>
      </c>
      <c r="AA30" s="9" t="n">
        <v>500</v>
      </c>
      <c r="AB30" s="9" t="n">
        <v>520</v>
      </c>
      <c r="AC30" s="9" t="n">
        <v>520</v>
      </c>
      <c r="AD30" s="9" t="n">
        <v>390</v>
      </c>
      <c r="AE30" s="9" t="n">
        <v>570</v>
      </c>
      <c r="AF30" s="9" t="n">
        <v>510</v>
      </c>
      <c r="AG30" s="9" t="n">
        <v>610</v>
      </c>
      <c r="AH30" s="9" t="n">
        <v>500</v>
      </c>
      <c r="AI30" s="9" t="n">
        <v>460</v>
      </c>
      <c r="AJ30" s="9" t="n">
        <v>680</v>
      </c>
      <c r="AK30" s="9" t="n">
        <v>660</v>
      </c>
      <c r="AL30" s="9" t="n">
        <v>950</v>
      </c>
      <c r="AM30" s="9" t="n">
        <v>520</v>
      </c>
      <c r="AN30" s="9" t="n">
        <v>620</v>
      </c>
      <c r="AO30" s="9" t="n">
        <v>640</v>
      </c>
      <c r="AP30" s="9" t="n">
        <v>940</v>
      </c>
      <c r="AQ30" s="9" t="n">
        <v>810</v>
      </c>
      <c r="AR30" s="9" t="n">
        <v>450</v>
      </c>
      <c r="AS30" s="9" t="n">
        <v>510</v>
      </c>
      <c r="AT30" s="9" t="n">
        <v>360</v>
      </c>
      <c r="AU30" s="9" t="n">
        <v>500</v>
      </c>
      <c r="AV30" s="9" t="n">
        <v>480</v>
      </c>
      <c r="AW30" s="9" t="n">
        <v>460</v>
      </c>
      <c r="AX30" s="9" t="n">
        <v>440</v>
      </c>
      <c r="AY30" s="9" t="n">
        <v>250</v>
      </c>
      <c r="AZ30" s="9" t="n">
        <v>350</v>
      </c>
      <c r="BA30" s="9" t="n">
        <v>541</v>
      </c>
      <c r="BB30" s="9" t="n">
        <v>390</v>
      </c>
      <c r="BC30" s="9" t="n">
        <v>330</v>
      </c>
      <c r="BD30" s="9" t="n">
        <v>410</v>
      </c>
      <c r="BE30" s="9" t="n">
        <v>470</v>
      </c>
      <c r="BF30" s="9" t="n">
        <v>470</v>
      </c>
      <c r="BG30" s="9" t="n">
        <v>340</v>
      </c>
      <c r="BH30" s="9" t="n">
        <v>500</v>
      </c>
      <c r="BI30" s="9" t="n">
        <v>520</v>
      </c>
      <c r="BJ30" s="9" t="n">
        <v>620</v>
      </c>
      <c r="BK30" s="9" t="n">
        <v>560</v>
      </c>
      <c r="BL30" s="9" t="n">
        <v>670</v>
      </c>
      <c r="BM30" s="9" t="n">
        <v>460</v>
      </c>
      <c r="BN30" s="9" t="n">
        <v>670</v>
      </c>
      <c r="BO30" s="9" t="n">
        <v>640</v>
      </c>
      <c r="BP30" s="9" t="n">
        <v>640</v>
      </c>
      <c r="BQ30" s="9" t="n">
        <v>500</v>
      </c>
      <c r="BR30" s="9" t="n">
        <v>800</v>
      </c>
      <c r="BS30" s="9" t="n">
        <v>182</v>
      </c>
      <c r="BT30" s="9" t="n">
        <v>280</v>
      </c>
      <c r="BU30" s="10" t="n">
        <v>33463</v>
      </c>
      <c r="BV30" s="11" t="n">
        <f aca="false">IF(ISERROR(ROUND(MEDIAN(BQ30:BT30),0)),0,ROUND(MEDIAN(BQ30:BT30),0))</f>
        <v>390</v>
      </c>
      <c r="BW30" s="11" t="n">
        <f aca="false">IF(ISERROR(ROUND(MEDIAN(BM30:BT30),0)),0,ROUND(MEDIAN(BM30:BT30),0))</f>
        <v>570</v>
      </c>
      <c r="BX30" s="11" t="n">
        <f aca="false">IF(ISERROR(ROUND(MEDIAN(BI30:BT30),0)),0,ROUND(MEDIAN(BI30:BT30),0))</f>
        <v>590</v>
      </c>
      <c r="BY30" s="11" t="n">
        <f aca="false">IF(ISERROR(ROUND(MEDIAN(BE30:BT30),0)),0,ROUND(MEDIAN(BE30:BT30),0))</f>
        <v>510</v>
      </c>
      <c r="BZ30" s="11" t="n">
        <f aca="false">IF(ISERROR(ROUND(MEDIAN(AU30:BT30),0)),0,ROUND(MEDIAN(AU30:BT30),0))</f>
        <v>475</v>
      </c>
      <c r="CA30" s="12" t="n">
        <f aca="false">IF(ISERROR(ROUND(MEDIAN(U30:BT30),0)),0,ROUND(MEDIAN(U30:BT30),0))</f>
        <v>500</v>
      </c>
      <c r="CB30" s="12" t="n">
        <f aca="false">IF(ISERROR(ROUND(MEDIAN(BT30),0)),0,ROUND(MEDIAN(BT30),0))</f>
        <v>280</v>
      </c>
      <c r="CC30" s="12" t="n">
        <f aca="false">IF(ISERROR(ROUND(MEDIAN(D30:BT30),0)),0,ROUND(MEDIAN(D30:BT30),0))</f>
        <v>480</v>
      </c>
      <c r="CD30" s="12" t="n">
        <f aca="false">MAX(D30:BT30)</f>
        <v>1140</v>
      </c>
      <c r="CE30" s="7" t="n">
        <f aca="false">COUNTA(BQ30:BT30)</f>
        <v>4</v>
      </c>
      <c r="CF30" s="7" t="n">
        <f aca="false">COUNTA(BM30:BT30)</f>
        <v>8</v>
      </c>
      <c r="CG30" s="7" t="n">
        <f aca="false">COUNTA(BI30:BT30)</f>
        <v>12</v>
      </c>
      <c r="CH30" s="7" t="n">
        <f aca="false">COUNTA(BE30:BT30)</f>
        <v>16</v>
      </c>
      <c r="CI30" s="7" t="n">
        <f aca="false">COUNTA(AU30:BT30)</f>
        <v>26</v>
      </c>
      <c r="CJ30" s="7" t="n">
        <f aca="false">COUNTA(U30:BT30)</f>
        <v>52</v>
      </c>
      <c r="CK30" s="7" t="n">
        <f aca="false">COUNTA(BT30)</f>
        <v>1</v>
      </c>
      <c r="CL30" s="7" t="n">
        <f aca="false">COUNTA(D30:BT30)</f>
        <v>69</v>
      </c>
      <c r="CM30" s="13" t="str">
        <f aca="false">IF(AND(CE30=1,CJ30=1,BT30&lt;&gt;""),"5.ENTRANTES",IF(AND(CE30&lt;&gt;0,CE30/RIGHT($CE$1,1)&gt;=0.5,CJ30=CE30),"4.RECENTES",IF(AND(CF30&lt;&gt;0,CF30/RIGHT($CF$1,1)&gt;=0.5,CJ30=CF30),"4.RECENTES",IF(AND(CG30&lt;&gt;0,CG30/RIGHT($CG$1,2)&gt;=0.5,CJ30=CG30),"4.RECENTES",IF(AND(CH30&lt;&gt;0,CH30/RIGHT($CH$1,2)&gt;=0.5,CJ30=CH30),"4.RECENTES",IF(AND(CI30&lt;&gt;0,CI30/RIGHT($CI$1,2)&gt;=0.5,CJ30=CI30),"4.RECENTES",IF(AND(CE30=0,CF30=0,CG30=0,CH30=0),"3.INATIVOS",IF(CJ30/RIGHT($CJ$1,2)&lt;0.5,"2.INTERMITENTES","1.ORDINÁRIOS"))))))))</f>
        <v>1.ORDINÁRIOS</v>
      </c>
      <c r="CN30" s="14" t="n">
        <f aca="false">IF(AND(CE30=1,CJ30=1,BT30&lt;&gt;""),BT30,IF(AND(CE30&lt;&gt;0,CE30/RIGHT($CE$1,1)&gt;=0.5,CJ30=CE30),MAX(BV30:CC30),IF(AND(CF30&lt;&gt;0,CF30/RIGHT($CF$1,1)&gt;=0.5,CJ30=CF30),MAX(BV30:CC30),IF(AND(CG30&lt;&gt;0,CG30/RIGHT($CG$1,2)&gt;=0.5,CJ30=CG30),MAX(BV30:CC30),IF(AND(CH30&lt;&gt;0,CH30/RIGHT($CH$1,2)&gt;=0.5,CJ30=CH30),MAX(BV30:CC30),IF(AND(CI30&lt;&gt;0,CI30/RIGHT($CI$1,2)&gt;=0.5,CJ30=CI30),MAX(BV30:CC30),IF(AND(CE30=0,CF30=0,CG30=0,CH30=0),0,IF(CJ30/RIGHT($CJ$1,2)&lt;0.5,ROUND(BU30/RIGHT($CJ$1,2),0),MAX(BV30:CC30)))))))))</f>
        <v>590</v>
      </c>
      <c r="CO30" s="14" t="n">
        <f aca="false">CN30*3</f>
        <v>1770</v>
      </c>
      <c r="CP30" s="15" t="n">
        <v>1568</v>
      </c>
      <c r="CQ30" s="16" t="n">
        <f aca="false">IF((CO30-CP30)&lt;0,0,(CO30-CP30))</f>
        <v>202</v>
      </c>
      <c r="CR30" s="7"/>
    </row>
    <row r="31" customFormat="false" ht="12.75" hidden="false" customHeight="true" outlineLevel="0" collapsed="false">
      <c r="A31" s="7" t="s">
        <v>95</v>
      </c>
      <c r="B31" s="7" t="s">
        <v>125</v>
      </c>
      <c r="C31" s="8" t="n">
        <v>9000007</v>
      </c>
      <c r="D31" s="9" t="n">
        <v>20</v>
      </c>
      <c r="E31" s="9" t="n">
        <v>80</v>
      </c>
      <c r="F31" s="9" t="n">
        <v>20</v>
      </c>
      <c r="G31" s="9" t="n">
        <v>220</v>
      </c>
      <c r="H31" s="9" t="n">
        <v>60</v>
      </c>
      <c r="I31" s="9" t="n">
        <v>80</v>
      </c>
      <c r="J31" s="9" t="n">
        <v>120</v>
      </c>
      <c r="K31" s="9" t="n">
        <v>240</v>
      </c>
      <c r="L31" s="9" t="n">
        <v>520</v>
      </c>
      <c r="M31" s="9" t="n">
        <v>80</v>
      </c>
      <c r="N31" s="9" t="n">
        <v>40</v>
      </c>
      <c r="O31" s="9" t="n">
        <v>100</v>
      </c>
      <c r="P31" s="9" t="n">
        <v>100</v>
      </c>
      <c r="Q31" s="9"/>
      <c r="R31" s="9" t="n">
        <v>90</v>
      </c>
      <c r="S31" s="9" t="n">
        <v>80</v>
      </c>
      <c r="T31" s="9" t="n">
        <v>20</v>
      </c>
      <c r="U31" s="9" t="n">
        <v>120</v>
      </c>
      <c r="V31" s="9" t="n">
        <v>80</v>
      </c>
      <c r="W31" s="9" t="n">
        <v>180</v>
      </c>
      <c r="X31" s="9" t="n">
        <v>120</v>
      </c>
      <c r="Y31" s="9" t="n">
        <v>100</v>
      </c>
      <c r="Z31" s="9" t="n">
        <v>120</v>
      </c>
      <c r="AA31" s="9" t="n">
        <v>140</v>
      </c>
      <c r="AB31" s="9" t="n">
        <v>120</v>
      </c>
      <c r="AC31" s="9" t="n">
        <v>100</v>
      </c>
      <c r="AD31" s="9" t="n">
        <v>60</v>
      </c>
      <c r="AE31" s="9"/>
      <c r="AF31" s="9"/>
      <c r="AG31" s="9"/>
      <c r="AH31" s="9" t="n">
        <v>160</v>
      </c>
      <c r="AI31" s="9" t="n">
        <v>100</v>
      </c>
      <c r="AJ31" s="9" t="n">
        <v>175</v>
      </c>
      <c r="AK31" s="9" t="n">
        <v>45</v>
      </c>
      <c r="AL31" s="9" t="n">
        <v>105</v>
      </c>
      <c r="AM31" s="9" t="n">
        <v>30</v>
      </c>
      <c r="AN31" s="9" t="n">
        <v>70</v>
      </c>
      <c r="AO31" s="9" t="n">
        <v>15</v>
      </c>
      <c r="AP31" s="9" t="n">
        <v>185</v>
      </c>
      <c r="AQ31" s="9" t="n">
        <v>45</v>
      </c>
      <c r="AR31" s="9" t="n">
        <v>60</v>
      </c>
      <c r="AS31" s="9" t="n">
        <v>30</v>
      </c>
      <c r="AT31" s="9" t="n">
        <v>15</v>
      </c>
      <c r="AU31" s="9" t="n">
        <v>40</v>
      </c>
      <c r="AV31" s="9" t="n">
        <v>15</v>
      </c>
      <c r="AW31" s="9" t="n">
        <v>20</v>
      </c>
      <c r="AX31" s="9" t="n">
        <v>80</v>
      </c>
      <c r="AY31" s="9" t="n">
        <v>20</v>
      </c>
      <c r="AZ31" s="9" t="n">
        <v>31</v>
      </c>
      <c r="BA31" s="9" t="n">
        <v>59</v>
      </c>
      <c r="BB31" s="9" t="n">
        <v>20</v>
      </c>
      <c r="BC31" s="9" t="n">
        <v>80</v>
      </c>
      <c r="BD31" s="9" t="n">
        <v>40</v>
      </c>
      <c r="BE31" s="9" t="n">
        <v>91</v>
      </c>
      <c r="BF31" s="9" t="n">
        <v>110</v>
      </c>
      <c r="BG31" s="9" t="n">
        <v>35</v>
      </c>
      <c r="BH31" s="9" t="n">
        <v>155</v>
      </c>
      <c r="BI31" s="9" t="n">
        <v>151</v>
      </c>
      <c r="BJ31" s="9" t="n">
        <v>65</v>
      </c>
      <c r="BK31" s="9" t="n">
        <v>45</v>
      </c>
      <c r="BL31" s="9"/>
      <c r="BM31" s="9" t="n">
        <v>185</v>
      </c>
      <c r="BN31" s="9" t="n">
        <v>60</v>
      </c>
      <c r="BO31" s="9" t="n">
        <v>125</v>
      </c>
      <c r="BP31" s="9" t="n">
        <v>100</v>
      </c>
      <c r="BQ31" s="9" t="n">
        <v>20</v>
      </c>
      <c r="BR31" s="9" t="n">
        <v>105</v>
      </c>
      <c r="BS31" s="9" t="n">
        <v>120</v>
      </c>
      <c r="BT31" s="9" t="n">
        <v>30</v>
      </c>
      <c r="BU31" s="10" t="n">
        <v>5847</v>
      </c>
      <c r="BV31" s="11" t="n">
        <f aca="false">IF(ISERROR(ROUND(MEDIAN(BQ31:BT31),0)),0,ROUND(MEDIAN(BQ31:BT31),0))</f>
        <v>68</v>
      </c>
      <c r="BW31" s="11" t="n">
        <f aca="false">IF(ISERROR(ROUND(MEDIAN(BM31:BT31),0)),0,ROUND(MEDIAN(BM31:BT31),0))</f>
        <v>103</v>
      </c>
      <c r="BX31" s="11" t="n">
        <f aca="false">IF(ISERROR(ROUND(MEDIAN(BI31:BT31),0)),0,ROUND(MEDIAN(BI31:BT31),0))</f>
        <v>100</v>
      </c>
      <c r="BY31" s="11" t="n">
        <f aca="false">IF(ISERROR(ROUND(MEDIAN(BE31:BT31),0)),0,ROUND(MEDIAN(BE31:BT31),0))</f>
        <v>100</v>
      </c>
      <c r="BZ31" s="11" t="n">
        <f aca="false">IF(ISERROR(ROUND(MEDIAN(AU31:BT31),0)),0,ROUND(MEDIAN(AU31:BT31),0))</f>
        <v>60</v>
      </c>
      <c r="CA31" s="12" t="n">
        <f aca="false">IF(ISERROR(ROUND(MEDIAN(U31:BT31),0)),0,ROUND(MEDIAN(U31:BT31),0))</f>
        <v>80</v>
      </c>
      <c r="CB31" s="12" t="n">
        <f aca="false">IF(ISERROR(ROUND(MEDIAN(BT31),0)),0,ROUND(MEDIAN(BT31),0))</f>
        <v>30</v>
      </c>
      <c r="CC31" s="12" t="n">
        <f aca="false">IF(ISERROR(ROUND(MEDIAN(D31:BT31),0)),0,ROUND(MEDIAN(D31:BT31),0))</f>
        <v>80</v>
      </c>
      <c r="CD31" s="12" t="n">
        <f aca="false">MAX(D31:BT31)</f>
        <v>520</v>
      </c>
      <c r="CE31" s="7" t="n">
        <f aca="false">COUNTA(BQ31:BT31)</f>
        <v>4</v>
      </c>
      <c r="CF31" s="7" t="n">
        <f aca="false">COUNTA(BM31:BT31)</f>
        <v>8</v>
      </c>
      <c r="CG31" s="7" t="n">
        <f aca="false">COUNTA(BI31:BT31)</f>
        <v>11</v>
      </c>
      <c r="CH31" s="7" t="n">
        <f aca="false">COUNTA(BE31:BT31)</f>
        <v>15</v>
      </c>
      <c r="CI31" s="7" t="n">
        <f aca="false">COUNTA(AU31:BT31)</f>
        <v>25</v>
      </c>
      <c r="CJ31" s="7" t="n">
        <f aca="false">COUNTA(U31:BT31)</f>
        <v>48</v>
      </c>
      <c r="CK31" s="7" t="n">
        <f aca="false">COUNTA(BT31)</f>
        <v>1</v>
      </c>
      <c r="CL31" s="7" t="n">
        <f aca="false">COUNTA(D31:BT31)</f>
        <v>64</v>
      </c>
      <c r="CM31" s="13" t="str">
        <f aca="false">IF(AND(CE31=1,CJ31=1,BT31&lt;&gt;""),"5.ENTRANTES",IF(AND(CE31&lt;&gt;0,CE31/RIGHT($CE$1,1)&gt;=0.5,CJ31=CE31),"4.RECENTES",IF(AND(CF31&lt;&gt;0,CF31/RIGHT($CF$1,1)&gt;=0.5,CJ31=CF31),"4.RECENTES",IF(AND(CG31&lt;&gt;0,CG31/RIGHT($CG$1,2)&gt;=0.5,CJ31=CG31),"4.RECENTES",IF(AND(CH31&lt;&gt;0,CH31/RIGHT($CH$1,2)&gt;=0.5,CJ31=CH31),"4.RECENTES",IF(AND(CI31&lt;&gt;0,CI31/RIGHT($CI$1,2)&gt;=0.5,CJ31=CI31),"4.RECENTES",IF(AND(CE31=0,CF31=0,CG31=0,CH31=0),"3.INATIVOS",IF(CJ31/RIGHT($CJ$1,2)&lt;0.5,"2.INTERMITENTES","1.ORDINÁRIOS"))))))))</f>
        <v>1.ORDINÁRIOS</v>
      </c>
      <c r="CN31" s="14" t="n">
        <f aca="false">IF(AND(CE31=1,CJ31=1,BT31&lt;&gt;""),BT31,IF(AND(CE31&lt;&gt;0,CE31/RIGHT($CE$1,1)&gt;=0.5,CJ31=CE31),MAX(BV31:CC31),IF(AND(CF31&lt;&gt;0,CF31/RIGHT($CF$1,1)&gt;=0.5,CJ31=CF31),MAX(BV31:CC31),IF(AND(CG31&lt;&gt;0,CG31/RIGHT($CG$1,2)&gt;=0.5,CJ31=CG31),MAX(BV31:CC31),IF(AND(CH31&lt;&gt;0,CH31/RIGHT($CH$1,2)&gt;=0.5,CJ31=CH31),MAX(BV31:CC31),IF(AND(CI31&lt;&gt;0,CI31/RIGHT($CI$1,2)&gt;=0.5,CJ31=CI31),MAX(BV31:CC31),IF(AND(CE31=0,CF31=0,CG31=0,CH31=0),0,IF(CJ31/RIGHT($CJ$1,2)&lt;0.5,ROUND(BU31/RIGHT($CJ$1,2),0),MAX(BV31:CC31)))))))))</f>
        <v>103</v>
      </c>
      <c r="CO31" s="14" t="n">
        <f aca="false">CN31*3</f>
        <v>309</v>
      </c>
      <c r="CP31" s="15" t="n">
        <v>225</v>
      </c>
      <c r="CQ31" s="16" t="n">
        <f aca="false">IF((CO31-CP31)&lt;0,0,(CO31-CP31))</f>
        <v>84</v>
      </c>
      <c r="CR31" s="7"/>
    </row>
    <row r="32" customFormat="false" ht="12.75" hidden="false" customHeight="true" outlineLevel="0" collapsed="false">
      <c r="A32" s="7" t="s">
        <v>95</v>
      </c>
      <c r="B32" s="7" t="s">
        <v>126</v>
      </c>
      <c r="C32" s="8" t="n">
        <v>14001001</v>
      </c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 t="n">
        <v>10</v>
      </c>
      <c r="AZ32" s="9" t="n">
        <v>4</v>
      </c>
      <c r="BA32" s="9" t="n">
        <v>19</v>
      </c>
      <c r="BB32" s="9" t="n">
        <v>8</v>
      </c>
      <c r="BC32" s="9" t="n">
        <v>8</v>
      </c>
      <c r="BD32" s="9" t="n">
        <v>6</v>
      </c>
      <c r="BE32" s="9" t="n">
        <v>4</v>
      </c>
      <c r="BF32" s="9" t="n">
        <v>6</v>
      </c>
      <c r="BG32" s="9" t="n">
        <v>4</v>
      </c>
      <c r="BH32" s="9" t="n">
        <v>6</v>
      </c>
      <c r="BI32" s="9" t="n">
        <v>7</v>
      </c>
      <c r="BJ32" s="9" t="n">
        <v>9</v>
      </c>
      <c r="BK32" s="9" t="n">
        <v>5</v>
      </c>
      <c r="BL32" s="9" t="n">
        <v>5</v>
      </c>
      <c r="BM32" s="9" t="n">
        <v>5</v>
      </c>
      <c r="BN32" s="9" t="n">
        <v>12</v>
      </c>
      <c r="BO32" s="9" t="n">
        <v>6</v>
      </c>
      <c r="BP32" s="9" t="n">
        <v>8</v>
      </c>
      <c r="BQ32" s="9" t="n">
        <v>3</v>
      </c>
      <c r="BR32" s="9" t="n">
        <v>3</v>
      </c>
      <c r="BS32" s="9" t="n">
        <v>1</v>
      </c>
      <c r="BT32" s="9" t="n">
        <v>7</v>
      </c>
      <c r="BU32" s="10" t="n">
        <v>146</v>
      </c>
      <c r="BV32" s="11" t="n">
        <f aca="false">IF(ISERROR(ROUND(MEDIAN(BQ32:BT32),0)),0,ROUND(MEDIAN(BQ32:BT32),0))</f>
        <v>3</v>
      </c>
      <c r="BW32" s="11" t="n">
        <f aca="false">IF(ISERROR(ROUND(MEDIAN(BM32:BT32),0)),0,ROUND(MEDIAN(BM32:BT32),0))</f>
        <v>6</v>
      </c>
      <c r="BX32" s="11" t="n">
        <f aca="false">IF(ISERROR(ROUND(MEDIAN(BI32:BT32),0)),0,ROUND(MEDIAN(BI32:BT32),0))</f>
        <v>6</v>
      </c>
      <c r="BY32" s="11" t="n">
        <f aca="false">IF(ISERROR(ROUND(MEDIAN(BE32:BT32),0)),0,ROUND(MEDIAN(BE32:BT32),0))</f>
        <v>6</v>
      </c>
      <c r="BZ32" s="11" t="n">
        <f aca="false">IF(ISERROR(ROUND(MEDIAN(AU32:BT32),0)),0,ROUND(MEDIAN(AU32:BT32),0))</f>
        <v>6</v>
      </c>
      <c r="CA32" s="12" t="n">
        <f aca="false">IF(ISERROR(ROUND(MEDIAN(U32:BT32),0)),0,ROUND(MEDIAN(U32:BT32),0))</f>
        <v>6</v>
      </c>
      <c r="CB32" s="12" t="n">
        <f aca="false">IF(ISERROR(ROUND(MEDIAN(BT32),0)),0,ROUND(MEDIAN(BT32),0))</f>
        <v>7</v>
      </c>
      <c r="CC32" s="12" t="n">
        <f aca="false">IF(ISERROR(ROUND(MEDIAN(D32:BT32),0)),0,ROUND(MEDIAN(D32:BT32),0))</f>
        <v>6</v>
      </c>
      <c r="CD32" s="12" t="n">
        <f aca="false">MAX(D32:BT32)</f>
        <v>19</v>
      </c>
      <c r="CE32" s="7" t="n">
        <f aca="false">COUNTA(BQ32:BT32)</f>
        <v>4</v>
      </c>
      <c r="CF32" s="7" t="n">
        <f aca="false">COUNTA(BM32:BT32)</f>
        <v>8</v>
      </c>
      <c r="CG32" s="7" t="n">
        <f aca="false">COUNTA(BI32:BT32)</f>
        <v>12</v>
      </c>
      <c r="CH32" s="7" t="n">
        <f aca="false">COUNTA(BE32:BT32)</f>
        <v>16</v>
      </c>
      <c r="CI32" s="7" t="n">
        <f aca="false">COUNTA(AU32:BT32)</f>
        <v>22</v>
      </c>
      <c r="CJ32" s="7" t="n">
        <f aca="false">COUNTA(U32:BT32)</f>
        <v>22</v>
      </c>
      <c r="CK32" s="7" t="n">
        <f aca="false">COUNTA(BT32)</f>
        <v>1</v>
      </c>
      <c r="CL32" s="7" t="n">
        <f aca="false">COUNTA(D32:BT32)</f>
        <v>22</v>
      </c>
      <c r="CM32" s="21" t="str">
        <f aca="false">IF(AND(CE32=1,CJ32=1,BT32&lt;&gt;""),"5.ENTRANTES",IF(AND(CE32&lt;&gt;0,CE32/RIGHT($CE$1,1)&gt;=0.5,CJ32=CE32),"4.RECENTES",IF(AND(CF32&lt;&gt;0,CF32/RIGHT($CF$1,1)&gt;=0.5,CJ32=CF32),"4.RECENTES",IF(AND(CG32&lt;&gt;0,CG32/RIGHT($CG$1,2)&gt;=0.5,CJ32=CG32),"4.RECENTES",IF(AND(CH32&lt;&gt;0,CH32/RIGHT($CH$1,2)&gt;=0.5,CJ32=CH32),"4.RECENTES",IF(AND(CI32&lt;&gt;0,CI32/RIGHT($CI$1,2)&gt;=0.5,CJ32=CI32),"4.RECENTES",IF(AND(CE32=0,CF32=0,CG32=0,CH32=0),"3.INATIVOS",IF(CJ32/RIGHT($CJ$1,2)&lt;0.5,"2.INTERMITENTES","1.ORDINÁRIOS"))))))))</f>
        <v>4.RECENTES</v>
      </c>
      <c r="CN32" s="22" t="n">
        <f aca="false">IF(AND(CE32=1,CJ32=1,BT32&lt;&gt;""),BT32,IF(AND(CE32&lt;&gt;0,CE32/RIGHT($CE$1,1)&gt;=0.5,CJ32=CE32),MAX(BV32:CC32),IF(AND(CF32&lt;&gt;0,CF32/RIGHT($CF$1,1)&gt;=0.5,CJ32=CF32),MAX(BV32:CC32),IF(AND(CG32&lt;&gt;0,CG32/RIGHT($CG$1,2)&gt;=0.5,CJ32=CG32),MAX(BV32:CC32),IF(AND(CH32&lt;&gt;0,CH32/RIGHT($CH$1,2)&gt;=0.5,CJ32=CH32),MAX(BV32:CC32),IF(AND(CI32&lt;&gt;0,CI32/RIGHT($CI$1,2)&gt;=0.5,CJ32=CI32),MAX(BV32:CC32),IF(AND(CE32=0,CF32=0,CG32=0,CH32=0),0,IF(CJ32/RIGHT($CJ$1,2)&lt;0.5,ROUND(BU32/RIGHT($CJ$1,2),0),MAX(BV32:CC32)))))))))</f>
        <v>7</v>
      </c>
      <c r="CO32" s="22" t="n">
        <f aca="false">CN32*3</f>
        <v>21</v>
      </c>
      <c r="CP32" s="15" t="n">
        <v>20</v>
      </c>
      <c r="CQ32" s="16" t="n">
        <f aca="false">IF((CO32-CP32)&lt;0,0,(CO32-CP32))</f>
        <v>1</v>
      </c>
      <c r="CR32" s="7"/>
    </row>
    <row r="33" customFormat="false" ht="12.75" hidden="false" customHeight="true" outlineLevel="0" collapsed="false">
      <c r="A33" s="7" t="s">
        <v>95</v>
      </c>
      <c r="B33" s="7" t="s">
        <v>127</v>
      </c>
      <c r="C33" s="8" t="n">
        <v>1000002</v>
      </c>
      <c r="D33" s="9"/>
      <c r="E33" s="9" t="n">
        <v>120</v>
      </c>
      <c r="F33" s="9" t="n">
        <v>80</v>
      </c>
      <c r="G33" s="9" t="n">
        <v>220</v>
      </c>
      <c r="H33" s="9" t="n">
        <v>140</v>
      </c>
      <c r="I33" s="9" t="n">
        <v>220</v>
      </c>
      <c r="J33" s="9" t="n">
        <v>20</v>
      </c>
      <c r="K33" s="9" t="n">
        <v>120</v>
      </c>
      <c r="L33" s="9" t="n">
        <v>120</v>
      </c>
      <c r="M33" s="9" t="n">
        <v>70</v>
      </c>
      <c r="N33" s="9"/>
      <c r="O33" s="9"/>
      <c r="P33" s="9"/>
      <c r="Q33" s="9"/>
      <c r="R33" s="9" t="n">
        <v>200</v>
      </c>
      <c r="S33" s="9"/>
      <c r="T33" s="9"/>
      <c r="U33" s="9" t="n">
        <v>180</v>
      </c>
      <c r="V33" s="9" t="n">
        <v>120</v>
      </c>
      <c r="W33" s="9" t="n">
        <v>80</v>
      </c>
      <c r="X33" s="9" t="n">
        <v>60</v>
      </c>
      <c r="Y33" s="9" t="n">
        <v>180</v>
      </c>
      <c r="Z33" s="9"/>
      <c r="AA33" s="9" t="n">
        <v>120</v>
      </c>
      <c r="AB33" s="9" t="n">
        <v>120</v>
      </c>
      <c r="AC33" s="9" t="n">
        <v>160</v>
      </c>
      <c r="AD33" s="9"/>
      <c r="AE33" s="9" t="n">
        <v>160</v>
      </c>
      <c r="AF33" s="9" t="n">
        <v>40</v>
      </c>
      <c r="AG33" s="9" t="n">
        <v>180</v>
      </c>
      <c r="AH33" s="9" t="n">
        <v>60</v>
      </c>
      <c r="AI33" s="9"/>
      <c r="AJ33" s="9"/>
      <c r="AK33" s="9" t="n">
        <v>20</v>
      </c>
      <c r="AL33" s="9" t="n">
        <v>60</v>
      </c>
      <c r="AM33" s="9"/>
      <c r="AN33" s="9" t="n">
        <v>80</v>
      </c>
      <c r="AO33" s="9" t="n">
        <v>20</v>
      </c>
      <c r="AP33" s="9" t="n">
        <v>60</v>
      </c>
      <c r="AQ33" s="9" t="n">
        <v>120</v>
      </c>
      <c r="AR33" s="9"/>
      <c r="AS33" s="9"/>
      <c r="AT33" s="9"/>
      <c r="AU33" s="9"/>
      <c r="AV33" s="9" t="n">
        <v>60</v>
      </c>
      <c r="AW33" s="9" t="n">
        <v>220</v>
      </c>
      <c r="AX33" s="9" t="n">
        <v>80</v>
      </c>
      <c r="AY33" s="9"/>
      <c r="AZ33" s="9"/>
      <c r="BA33" s="9" t="n">
        <v>120</v>
      </c>
      <c r="BB33" s="9" t="n">
        <v>120</v>
      </c>
      <c r="BC33" s="9"/>
      <c r="BD33" s="9"/>
      <c r="BE33" s="9"/>
      <c r="BF33" s="9"/>
      <c r="BG33" s="9"/>
      <c r="BH33" s="9"/>
      <c r="BI33" s="9"/>
      <c r="BJ33" s="9"/>
      <c r="BK33" s="9" t="n">
        <v>20</v>
      </c>
      <c r="BL33" s="9"/>
      <c r="BM33" s="9"/>
      <c r="BN33" s="9" t="n">
        <v>100</v>
      </c>
      <c r="BO33" s="9"/>
      <c r="BP33" s="9"/>
      <c r="BQ33" s="9"/>
      <c r="BR33" s="9"/>
      <c r="BS33" s="9"/>
      <c r="BT33" s="9"/>
      <c r="BU33" s="10" t="n">
        <v>3850</v>
      </c>
      <c r="BV33" s="11" t="n">
        <f aca="false">IF(ISERROR(ROUND(MEDIAN(BQ33:BT33),0)),0,ROUND(MEDIAN(BQ33:BT33),0))</f>
        <v>0</v>
      </c>
      <c r="BW33" s="11" t="n">
        <f aca="false">IF(ISERROR(ROUND(MEDIAN(BM33:BT33),0)),0,ROUND(MEDIAN(BM33:BT33),0))</f>
        <v>100</v>
      </c>
      <c r="BX33" s="11" t="n">
        <f aca="false">IF(ISERROR(ROUND(MEDIAN(BI33:BT33),0)),0,ROUND(MEDIAN(BI33:BT33),0))</f>
        <v>60</v>
      </c>
      <c r="BY33" s="11" t="n">
        <f aca="false">IF(ISERROR(ROUND(MEDIAN(BE33:BT33),0)),0,ROUND(MEDIAN(BE33:BT33),0))</f>
        <v>60</v>
      </c>
      <c r="BZ33" s="11" t="n">
        <f aca="false">IF(ISERROR(ROUND(MEDIAN(AU33:BT33),0)),0,ROUND(MEDIAN(AU33:BT33),0))</f>
        <v>100</v>
      </c>
      <c r="CA33" s="12" t="n">
        <f aca="false">IF(ISERROR(ROUND(MEDIAN(U33:BT33),0)),0,ROUND(MEDIAN(U33:BT33),0))</f>
        <v>100</v>
      </c>
      <c r="CB33" s="12" t="n">
        <f aca="false">IF(ISERROR(ROUND(MEDIAN(BT33),0)),0,ROUND(MEDIAN(BT33),0))</f>
        <v>0</v>
      </c>
      <c r="CC33" s="12" t="n">
        <f aca="false">IF(ISERROR(ROUND(MEDIAN(D33:BT33),0)),0,ROUND(MEDIAN(D33:BT33),0))</f>
        <v>120</v>
      </c>
      <c r="CD33" s="12" t="n">
        <f aca="false">MAX(D33:BT33)</f>
        <v>220</v>
      </c>
      <c r="CE33" s="7" t="n">
        <f aca="false">COUNTA(BQ33:BT33)</f>
        <v>0</v>
      </c>
      <c r="CF33" s="7" t="n">
        <f aca="false">COUNTA(BM33:BT33)</f>
        <v>1</v>
      </c>
      <c r="CG33" s="7" t="n">
        <f aca="false">COUNTA(BI33:BT33)</f>
        <v>2</v>
      </c>
      <c r="CH33" s="7" t="n">
        <f aca="false">COUNTA(BE33:BT33)</f>
        <v>2</v>
      </c>
      <c r="CI33" s="7" t="n">
        <f aca="false">COUNTA(AU33:BT33)</f>
        <v>7</v>
      </c>
      <c r="CJ33" s="7" t="n">
        <f aca="false">COUNTA(U33:BT33)</f>
        <v>25</v>
      </c>
      <c r="CK33" s="7" t="n">
        <f aca="false">COUNTA(BT33)</f>
        <v>0</v>
      </c>
      <c r="CL33" s="7" t="n">
        <f aca="false">COUNTA(D33:BT33)</f>
        <v>35</v>
      </c>
      <c r="CM33" s="17" t="str">
        <f aca="false">IF(AND(CE33=1,CJ33=1,BT33&lt;&gt;""),"5.ENTRANTES",IF(AND(CE33&lt;&gt;0,CE33/RIGHT($CE$1,1)&gt;=0.5,CJ33=CE33),"4.RECENTES",IF(AND(CF33&lt;&gt;0,CF33/RIGHT($CF$1,1)&gt;=0.5,CJ33=CF33),"4.RECENTES",IF(AND(CG33&lt;&gt;0,CG33/RIGHT($CG$1,2)&gt;=0.5,CJ33=CG33),"4.RECENTES",IF(AND(CH33&lt;&gt;0,CH33/RIGHT($CH$1,2)&gt;=0.5,CJ33=CH33),"4.RECENTES",IF(AND(CI33&lt;&gt;0,CI33/RIGHT($CI$1,2)&gt;=0.5,CJ33=CI33),"4.RECENTES",IF(AND(CE33=0,CF33=0,CG33=0,CH33=0),"3.INATIVOS",IF(CJ33/RIGHT($CJ$1,2)&lt;0.5,"2.INTERMITENTES","1.ORDINÁRIOS"))))))))</f>
        <v>2.INTERMITENTES</v>
      </c>
      <c r="CN33" s="18" t="n">
        <f aca="false">IF(AND(CE33=1,CJ33=1,BT33&lt;&gt;""),BT33,IF(AND(CE33&lt;&gt;0,CE33/RIGHT($CE$1,1)&gt;=0.5,CJ33=CE33),MAX(BV33:CC33),IF(AND(CF33&lt;&gt;0,CF33/RIGHT($CF$1,1)&gt;=0.5,CJ33=CF33),MAX(BV33:CC33),IF(AND(CG33&lt;&gt;0,CG33/RIGHT($CG$1,2)&gt;=0.5,CJ33=CG33),MAX(BV33:CC33),IF(AND(CH33&lt;&gt;0,CH33/RIGHT($CH$1,2)&gt;=0.5,CJ33=CH33),MAX(BV33:CC33),IF(AND(CI33&lt;&gt;0,CI33/RIGHT($CI$1,2)&gt;=0.5,CJ33=CI33),MAX(BV33:CC33),IF(AND(CE33=0,CF33=0,CG33=0,CH33=0),0,IF(CJ33/RIGHT($CJ$1,2)&lt;0.5,ROUND(BU33/RIGHT($CJ$1,2),0),MAX(BV33:CC33)))))))))</f>
        <v>74</v>
      </c>
      <c r="CO33" s="18" t="n">
        <f aca="false">CD33</f>
        <v>220</v>
      </c>
      <c r="CP33" s="15" t="n">
        <v>300</v>
      </c>
      <c r="CQ33" s="16" t="n">
        <f aca="false">IF((CO33-CP33)&lt;0,0,(CO33-CP33))</f>
        <v>0</v>
      </c>
      <c r="CR33" s="7"/>
    </row>
    <row r="34" customFormat="false" ht="12.75" hidden="false" customHeight="true" outlineLevel="0" collapsed="false">
      <c r="A34" s="7" t="s">
        <v>95</v>
      </c>
      <c r="B34" s="7" t="s">
        <v>128</v>
      </c>
      <c r="C34" s="8" t="n">
        <v>5000010</v>
      </c>
      <c r="D34" s="9" t="n">
        <v>240</v>
      </c>
      <c r="E34" s="9" t="n">
        <v>1020</v>
      </c>
      <c r="F34" s="9" t="n">
        <v>720</v>
      </c>
      <c r="G34" s="9" t="n">
        <v>1090</v>
      </c>
      <c r="H34" s="9" t="n">
        <v>540</v>
      </c>
      <c r="I34" s="9" t="n">
        <v>1440</v>
      </c>
      <c r="J34" s="9" t="n">
        <v>600</v>
      </c>
      <c r="K34" s="9" t="n">
        <v>360</v>
      </c>
      <c r="L34" s="9" t="n">
        <v>940</v>
      </c>
      <c r="M34" s="9" t="n">
        <v>930</v>
      </c>
      <c r="N34" s="9" t="n">
        <v>720</v>
      </c>
      <c r="O34" s="9" t="n">
        <v>660</v>
      </c>
      <c r="P34" s="9" t="n">
        <v>1080</v>
      </c>
      <c r="Q34" s="9" t="n">
        <v>870</v>
      </c>
      <c r="R34" s="9" t="n">
        <v>610</v>
      </c>
      <c r="S34" s="9" t="n">
        <v>1080</v>
      </c>
      <c r="T34" s="9" t="n">
        <v>540</v>
      </c>
      <c r="U34" s="9" t="n">
        <v>840</v>
      </c>
      <c r="V34" s="9" t="n">
        <v>930</v>
      </c>
      <c r="W34" s="9" t="n">
        <v>660</v>
      </c>
      <c r="X34" s="9" t="n">
        <v>780</v>
      </c>
      <c r="Y34" s="9" t="n">
        <v>1260</v>
      </c>
      <c r="Z34" s="9" t="n">
        <v>960</v>
      </c>
      <c r="AA34" s="9" t="n">
        <v>510</v>
      </c>
      <c r="AB34" s="9" t="n">
        <v>930</v>
      </c>
      <c r="AC34" s="9" t="n">
        <v>1020</v>
      </c>
      <c r="AD34" s="9" t="n">
        <v>970</v>
      </c>
      <c r="AE34" s="9" t="n">
        <v>630</v>
      </c>
      <c r="AF34" s="9" t="n">
        <v>630</v>
      </c>
      <c r="AG34" s="9" t="n">
        <v>1320</v>
      </c>
      <c r="AH34" s="9" t="n">
        <v>870</v>
      </c>
      <c r="AI34" s="9" t="n">
        <v>750</v>
      </c>
      <c r="AJ34" s="9" t="n">
        <v>870</v>
      </c>
      <c r="AK34" s="9" t="n">
        <v>720</v>
      </c>
      <c r="AL34" s="9" t="n">
        <v>720</v>
      </c>
      <c r="AM34" s="9" t="n">
        <v>900</v>
      </c>
      <c r="AN34" s="9" t="n">
        <v>930</v>
      </c>
      <c r="AO34" s="9" t="n">
        <v>1260</v>
      </c>
      <c r="AP34" s="9" t="n">
        <v>1290</v>
      </c>
      <c r="AQ34" s="9" t="n">
        <v>750</v>
      </c>
      <c r="AR34" s="9" t="n">
        <v>430</v>
      </c>
      <c r="AS34" s="9" t="n">
        <v>962</v>
      </c>
      <c r="AT34" s="9" t="n">
        <v>630</v>
      </c>
      <c r="AU34" s="9" t="n">
        <v>930</v>
      </c>
      <c r="AV34" s="9" t="n">
        <v>240</v>
      </c>
      <c r="AW34" s="9" t="n">
        <v>780</v>
      </c>
      <c r="AX34" s="9" t="n">
        <v>600</v>
      </c>
      <c r="AY34" s="9" t="n">
        <v>658</v>
      </c>
      <c r="AZ34" s="9" t="n">
        <v>570</v>
      </c>
      <c r="BA34" s="9" t="n">
        <v>810</v>
      </c>
      <c r="BB34" s="9" t="n">
        <v>510</v>
      </c>
      <c r="BC34" s="9" t="n">
        <v>510</v>
      </c>
      <c r="BD34" s="9" t="n">
        <v>270</v>
      </c>
      <c r="BE34" s="9" t="n">
        <v>810</v>
      </c>
      <c r="BF34" s="9" t="n">
        <v>330</v>
      </c>
      <c r="BG34" s="9" t="n">
        <v>570</v>
      </c>
      <c r="BH34" s="9" t="n">
        <v>330</v>
      </c>
      <c r="BI34" s="9" t="n">
        <v>630</v>
      </c>
      <c r="BJ34" s="9" t="n">
        <v>300</v>
      </c>
      <c r="BK34" s="9" t="n">
        <v>660</v>
      </c>
      <c r="BL34" s="9" t="n">
        <v>540</v>
      </c>
      <c r="BM34" s="9" t="n">
        <v>420</v>
      </c>
      <c r="BN34" s="9" t="n">
        <v>840</v>
      </c>
      <c r="BO34" s="9" t="n">
        <v>480</v>
      </c>
      <c r="BP34" s="9" t="n">
        <v>270</v>
      </c>
      <c r="BQ34" s="9" t="n">
        <v>780</v>
      </c>
      <c r="BR34" s="9" t="n">
        <v>760</v>
      </c>
      <c r="BS34" s="9" t="n">
        <v>150</v>
      </c>
      <c r="BT34" s="9" t="n">
        <v>240</v>
      </c>
      <c r="BU34" s="10" t="n">
        <v>49950</v>
      </c>
      <c r="BV34" s="11" t="n">
        <f aca="false">IF(ISERROR(ROUND(MEDIAN(BQ34:BT34),0)),0,ROUND(MEDIAN(BQ34:BT34),0))</f>
        <v>500</v>
      </c>
      <c r="BW34" s="11" t="n">
        <f aca="false">IF(ISERROR(ROUND(MEDIAN(BM34:BT34),0)),0,ROUND(MEDIAN(BM34:BT34),0))</f>
        <v>450</v>
      </c>
      <c r="BX34" s="11" t="n">
        <f aca="false">IF(ISERROR(ROUND(MEDIAN(BI34:BT34),0)),0,ROUND(MEDIAN(BI34:BT34),0))</f>
        <v>510</v>
      </c>
      <c r="BY34" s="11" t="n">
        <f aca="false">IF(ISERROR(ROUND(MEDIAN(BE34:BT34),0)),0,ROUND(MEDIAN(BE34:BT34),0))</f>
        <v>510</v>
      </c>
      <c r="BZ34" s="11" t="n">
        <f aca="false">IF(ISERROR(ROUND(MEDIAN(AU34:BT34),0)),0,ROUND(MEDIAN(AU34:BT34),0))</f>
        <v>555</v>
      </c>
      <c r="CA34" s="12" t="n">
        <f aca="false">IF(ISERROR(ROUND(MEDIAN(U34:BT34),0)),0,ROUND(MEDIAN(U34:BT34),0))</f>
        <v>720</v>
      </c>
      <c r="CB34" s="12" t="n">
        <f aca="false">IF(ISERROR(ROUND(MEDIAN(BT34),0)),0,ROUND(MEDIAN(BT34),0))</f>
        <v>240</v>
      </c>
      <c r="CC34" s="12" t="n">
        <f aca="false">IF(ISERROR(ROUND(MEDIAN(D34:BT34),0)),0,ROUND(MEDIAN(D34:BT34),0))</f>
        <v>720</v>
      </c>
      <c r="CD34" s="12" t="n">
        <f aca="false">MAX(D34:BT34)</f>
        <v>1440</v>
      </c>
      <c r="CE34" s="7" t="n">
        <f aca="false">COUNTA(BQ34:BT34)</f>
        <v>4</v>
      </c>
      <c r="CF34" s="7" t="n">
        <f aca="false">COUNTA(BM34:BT34)</f>
        <v>8</v>
      </c>
      <c r="CG34" s="7" t="n">
        <f aca="false">COUNTA(BI34:BT34)</f>
        <v>12</v>
      </c>
      <c r="CH34" s="7" t="n">
        <f aca="false">COUNTA(BE34:BT34)</f>
        <v>16</v>
      </c>
      <c r="CI34" s="7" t="n">
        <f aca="false">COUNTA(AU34:BT34)</f>
        <v>26</v>
      </c>
      <c r="CJ34" s="7" t="n">
        <f aca="false">COUNTA(U34:BT34)</f>
        <v>52</v>
      </c>
      <c r="CK34" s="7" t="n">
        <f aca="false">COUNTA(BT34)</f>
        <v>1</v>
      </c>
      <c r="CL34" s="7" t="n">
        <f aca="false">COUNTA(D34:BT34)</f>
        <v>69</v>
      </c>
      <c r="CM34" s="13" t="str">
        <f aca="false">IF(AND(CE34=1,CJ34=1,BT34&lt;&gt;""),"5.ENTRANTES",IF(AND(CE34&lt;&gt;0,CE34/RIGHT($CE$1,1)&gt;=0.5,CJ34=CE34),"4.RECENTES",IF(AND(CF34&lt;&gt;0,CF34/RIGHT($CF$1,1)&gt;=0.5,CJ34=CF34),"4.RECENTES",IF(AND(CG34&lt;&gt;0,CG34/RIGHT($CG$1,2)&gt;=0.5,CJ34=CG34),"4.RECENTES",IF(AND(CH34&lt;&gt;0,CH34/RIGHT($CH$1,2)&gt;=0.5,CJ34=CH34),"4.RECENTES",IF(AND(CI34&lt;&gt;0,CI34/RIGHT($CI$1,2)&gt;=0.5,CJ34=CI34),"4.RECENTES",IF(AND(CE34=0,CF34=0,CG34=0,CH34=0),"3.INATIVOS",IF(CJ34/RIGHT($CJ$1,2)&lt;0.5,"2.INTERMITENTES","1.ORDINÁRIOS"))))))))</f>
        <v>1.ORDINÁRIOS</v>
      </c>
      <c r="CN34" s="14" t="n">
        <f aca="false">IF(AND(CE34=1,CJ34=1,BT34&lt;&gt;""),BT34,IF(AND(CE34&lt;&gt;0,CE34/RIGHT($CE$1,1)&gt;=0.5,CJ34=CE34),MAX(BV34:CC34),IF(AND(CF34&lt;&gt;0,CF34/RIGHT($CF$1,1)&gt;=0.5,CJ34=CF34),MAX(BV34:CC34),IF(AND(CG34&lt;&gt;0,CG34/RIGHT($CG$1,2)&gt;=0.5,CJ34=CG34),MAX(BV34:CC34),IF(AND(CH34&lt;&gt;0,CH34/RIGHT($CH$1,2)&gt;=0.5,CJ34=CH34),MAX(BV34:CC34),IF(AND(CI34&lt;&gt;0,CI34/RIGHT($CI$1,2)&gt;=0.5,CJ34=CI34),MAX(BV34:CC34),IF(AND(CE34=0,CF34=0,CG34=0,CH34=0),0,IF(CJ34/RIGHT($CJ$1,2)&lt;0.5,ROUND(BU34/RIGHT($CJ$1,2),0),MAX(BV34:CC34)))))))))</f>
        <v>720</v>
      </c>
      <c r="CO34" s="14" t="n">
        <f aca="false">CN34*3</f>
        <v>2160</v>
      </c>
      <c r="CP34" s="15" t="n">
        <v>1690</v>
      </c>
      <c r="CQ34" s="16" t="n">
        <f aca="false">IF((CO34-CP34)&lt;0,0,(CO34-CP34))</f>
        <v>470</v>
      </c>
      <c r="CR34" s="7"/>
    </row>
    <row r="35" customFormat="false" ht="12.75" hidden="false" customHeight="true" outlineLevel="0" collapsed="false">
      <c r="A35" s="7" t="s">
        <v>95</v>
      </c>
      <c r="B35" s="7" t="s">
        <v>129</v>
      </c>
      <c r="C35" s="8" t="n">
        <v>5000066</v>
      </c>
      <c r="D35" s="9"/>
      <c r="E35" s="9"/>
      <c r="F35" s="9" t="n">
        <v>3</v>
      </c>
      <c r="G35" s="9"/>
      <c r="H35" s="9"/>
      <c r="I35" s="9"/>
      <c r="J35" s="9"/>
      <c r="K35" s="9"/>
      <c r="L35" s="9"/>
      <c r="M35" s="9" t="n">
        <v>5</v>
      </c>
      <c r="N35" s="9"/>
      <c r="O35" s="9"/>
      <c r="P35" s="9"/>
      <c r="Q35" s="9" t="n">
        <v>8</v>
      </c>
      <c r="R35" s="9"/>
      <c r="S35" s="9"/>
      <c r="T35" s="9"/>
      <c r="U35" s="9" t="n">
        <v>6</v>
      </c>
      <c r="V35" s="9"/>
      <c r="W35" s="9"/>
      <c r="X35" s="9"/>
      <c r="Y35" s="9"/>
      <c r="Z35" s="9" t="n">
        <v>6</v>
      </c>
      <c r="AA35" s="9"/>
      <c r="AB35" s="9"/>
      <c r="AC35" s="9"/>
      <c r="AD35" s="9" t="n">
        <v>6</v>
      </c>
      <c r="AE35" s="9"/>
      <c r="AF35" s="9"/>
      <c r="AG35" s="9"/>
      <c r="AH35" s="9" t="n">
        <v>6</v>
      </c>
      <c r="AI35" s="9"/>
      <c r="AJ35" s="9"/>
      <c r="AK35" s="9"/>
      <c r="AL35" s="9"/>
      <c r="AM35" s="9" t="n">
        <v>6</v>
      </c>
      <c r="AN35" s="9"/>
      <c r="AO35" s="9"/>
      <c r="AP35" s="9"/>
      <c r="AQ35" s="9"/>
      <c r="AR35" s="9"/>
      <c r="AS35" s="9"/>
      <c r="AT35" s="9"/>
      <c r="AU35" s="9"/>
      <c r="AV35" s="9" t="n">
        <v>6</v>
      </c>
      <c r="AW35" s="9"/>
      <c r="AX35" s="9"/>
      <c r="AY35" s="9"/>
      <c r="AZ35" s="9"/>
      <c r="BA35" s="9" t="n">
        <v>6</v>
      </c>
      <c r="BB35" s="9"/>
      <c r="BC35" s="9"/>
      <c r="BD35" s="9"/>
      <c r="BE35" s="9"/>
      <c r="BF35" s="9" t="n">
        <v>6</v>
      </c>
      <c r="BG35" s="9"/>
      <c r="BH35" s="9"/>
      <c r="BI35" s="9" t="n">
        <v>6</v>
      </c>
      <c r="BJ35" s="9"/>
      <c r="BK35" s="9"/>
      <c r="BL35" s="9"/>
      <c r="BM35" s="9"/>
      <c r="BN35" s="9" t="n">
        <v>6</v>
      </c>
      <c r="BO35" s="9"/>
      <c r="BP35" s="9"/>
      <c r="BQ35" s="9"/>
      <c r="BR35" s="9" t="n">
        <v>7</v>
      </c>
      <c r="BS35" s="9"/>
      <c r="BT35" s="9"/>
      <c r="BU35" s="10" t="n">
        <v>83</v>
      </c>
      <c r="BV35" s="11" t="n">
        <f aca="false">IF(ISERROR(ROUND(MEDIAN(BQ35:BT35),0)),0,ROUND(MEDIAN(BQ35:BT35),0))</f>
        <v>7</v>
      </c>
      <c r="BW35" s="11" t="n">
        <f aca="false">IF(ISERROR(ROUND(MEDIAN(BM35:BT35),0)),0,ROUND(MEDIAN(BM35:BT35),0))</f>
        <v>7</v>
      </c>
      <c r="BX35" s="11" t="n">
        <f aca="false">IF(ISERROR(ROUND(MEDIAN(BI35:BT35),0)),0,ROUND(MEDIAN(BI35:BT35),0))</f>
        <v>6</v>
      </c>
      <c r="BY35" s="11" t="n">
        <f aca="false">IF(ISERROR(ROUND(MEDIAN(BE35:BT35),0)),0,ROUND(MEDIAN(BE35:BT35),0))</f>
        <v>6</v>
      </c>
      <c r="BZ35" s="11" t="n">
        <f aca="false">IF(ISERROR(ROUND(MEDIAN(AU35:BT35),0)),0,ROUND(MEDIAN(AU35:BT35),0))</f>
        <v>6</v>
      </c>
      <c r="CA35" s="12" t="n">
        <f aca="false">IF(ISERROR(ROUND(MEDIAN(U35:BT35),0)),0,ROUND(MEDIAN(U35:BT35),0))</f>
        <v>6</v>
      </c>
      <c r="CB35" s="12" t="n">
        <f aca="false">IF(ISERROR(ROUND(MEDIAN(BT35),0)),0,ROUND(MEDIAN(BT35),0))</f>
        <v>0</v>
      </c>
      <c r="CC35" s="12" t="n">
        <f aca="false">IF(ISERROR(ROUND(MEDIAN(D35:BT35),0)),0,ROUND(MEDIAN(D35:BT35),0))</f>
        <v>6</v>
      </c>
      <c r="CD35" s="12" t="n">
        <f aca="false">MAX(D35:BT35)</f>
        <v>8</v>
      </c>
      <c r="CE35" s="7" t="n">
        <f aca="false">COUNTA(BQ35:BT35)</f>
        <v>1</v>
      </c>
      <c r="CF35" s="7" t="n">
        <f aca="false">COUNTA(BM35:BT35)</f>
        <v>2</v>
      </c>
      <c r="CG35" s="7" t="n">
        <f aca="false">COUNTA(BI35:BT35)</f>
        <v>3</v>
      </c>
      <c r="CH35" s="7" t="n">
        <f aca="false">COUNTA(BE35:BT35)</f>
        <v>4</v>
      </c>
      <c r="CI35" s="7" t="n">
        <f aca="false">COUNTA(AU35:BT35)</f>
        <v>6</v>
      </c>
      <c r="CJ35" s="7" t="n">
        <f aca="false">COUNTA(U35:BT35)</f>
        <v>11</v>
      </c>
      <c r="CK35" s="7" t="n">
        <f aca="false">COUNTA(BT35)</f>
        <v>0</v>
      </c>
      <c r="CL35" s="7" t="n">
        <f aca="false">COUNTA(D35:BT35)</f>
        <v>14</v>
      </c>
      <c r="CM35" s="17" t="str">
        <f aca="false">IF(AND(CE35=1,CJ35=1,BT35&lt;&gt;""),"5.ENTRANTES",IF(AND(CE35&lt;&gt;0,CE35/RIGHT($CE$1,1)&gt;=0.5,CJ35=CE35),"4.RECENTES",IF(AND(CF35&lt;&gt;0,CF35/RIGHT($CF$1,1)&gt;=0.5,CJ35=CF35),"4.RECENTES",IF(AND(CG35&lt;&gt;0,CG35/RIGHT($CG$1,2)&gt;=0.5,CJ35=CG35),"4.RECENTES",IF(AND(CH35&lt;&gt;0,CH35/RIGHT($CH$1,2)&gt;=0.5,CJ35=CH35),"4.RECENTES",IF(AND(CI35&lt;&gt;0,CI35/RIGHT($CI$1,2)&gt;=0.5,CJ35=CI35),"4.RECENTES",IF(AND(CE35=0,CF35=0,CG35=0,CH35=0),"3.INATIVOS",IF(CJ35/RIGHT($CJ$1,2)&lt;0.5,"2.INTERMITENTES","1.ORDINÁRIOS"))))))))</f>
        <v>2.INTERMITENTES</v>
      </c>
      <c r="CN35" s="18" t="n">
        <f aca="false">IF(AND(CE35=1,CJ35=1,BT35&lt;&gt;""),BT35,IF(AND(CE35&lt;&gt;0,CE35/RIGHT($CE$1,1)&gt;=0.5,CJ35=CE35),MAX(BV35:CC35),IF(AND(CF35&lt;&gt;0,CF35/RIGHT($CF$1,1)&gt;=0.5,CJ35=CF35),MAX(BV35:CC35),IF(AND(CG35&lt;&gt;0,CG35/RIGHT($CG$1,2)&gt;=0.5,CJ35=CG35),MAX(BV35:CC35),IF(AND(CH35&lt;&gt;0,CH35/RIGHT($CH$1,2)&gt;=0.5,CJ35=CH35),MAX(BV35:CC35),IF(AND(CI35&lt;&gt;0,CI35/RIGHT($CI$1,2)&gt;=0.5,CJ35=CI35),MAX(BV35:CC35),IF(AND(CE35=0,CF35=0,CG35=0,CH35=0),0,IF(CJ35/RIGHT($CJ$1,2)&lt;0.5,ROUND(BU35/RIGHT($CJ$1,2),0),MAX(BV35:CC35)))))))))</f>
        <v>2</v>
      </c>
      <c r="CO35" s="18" t="n">
        <f aca="false">CD35</f>
        <v>8</v>
      </c>
      <c r="CP35" s="15" t="n">
        <v>11</v>
      </c>
      <c r="CQ35" s="16" t="n">
        <f aca="false">IF((CO35-CP35)&lt;0,0,(CO35-CP35))</f>
        <v>0</v>
      </c>
      <c r="CR35" s="7"/>
    </row>
    <row r="36" customFormat="false" ht="12.75" hidden="false" customHeight="true" outlineLevel="0" collapsed="false">
      <c r="A36" s="7" t="s">
        <v>95</v>
      </c>
      <c r="B36" s="7" t="s">
        <v>130</v>
      </c>
      <c r="C36" s="8" t="n">
        <v>2000068</v>
      </c>
      <c r="D36" s="9"/>
      <c r="E36" s="9"/>
      <c r="F36" s="9" t="n">
        <v>30</v>
      </c>
      <c r="G36" s="9"/>
      <c r="H36" s="9"/>
      <c r="I36" s="9"/>
      <c r="J36" s="9" t="n">
        <v>60</v>
      </c>
      <c r="K36" s="9"/>
      <c r="L36" s="9" t="n">
        <v>60</v>
      </c>
      <c r="M36" s="9" t="n">
        <v>30</v>
      </c>
      <c r="N36" s="9" t="n">
        <v>120</v>
      </c>
      <c r="O36" s="9"/>
      <c r="P36" s="9" t="n">
        <v>30</v>
      </c>
      <c r="Q36" s="9"/>
      <c r="R36" s="9"/>
      <c r="S36" s="9" t="n">
        <v>30</v>
      </c>
      <c r="T36" s="9" t="n">
        <v>30</v>
      </c>
      <c r="U36" s="9" t="n">
        <v>30</v>
      </c>
      <c r="V36" s="9" t="n">
        <v>90</v>
      </c>
      <c r="W36" s="9" t="n">
        <v>60</v>
      </c>
      <c r="X36" s="9"/>
      <c r="Y36" s="9" t="n">
        <v>30</v>
      </c>
      <c r="Z36" s="9"/>
      <c r="AA36" s="9"/>
      <c r="AB36" s="9" t="n">
        <v>30</v>
      </c>
      <c r="AC36" s="9"/>
      <c r="AD36" s="9" t="n">
        <v>60</v>
      </c>
      <c r="AE36" s="9" t="n">
        <v>30</v>
      </c>
      <c r="AF36" s="9"/>
      <c r="AG36" s="9"/>
      <c r="AH36" s="9"/>
      <c r="AI36" s="9"/>
      <c r="AJ36" s="9" t="n">
        <v>60</v>
      </c>
      <c r="AK36" s="9"/>
      <c r="AL36" s="9"/>
      <c r="AM36" s="9"/>
      <c r="AN36" s="9" t="n">
        <v>30</v>
      </c>
      <c r="AO36" s="9"/>
      <c r="AP36" s="9"/>
      <c r="AQ36" s="9"/>
      <c r="AR36" s="9"/>
      <c r="AS36" s="9" t="n">
        <v>30</v>
      </c>
      <c r="AT36" s="9"/>
      <c r="AU36" s="9"/>
      <c r="AV36" s="9"/>
      <c r="AW36" s="9"/>
      <c r="AX36" s="9" t="n">
        <v>60</v>
      </c>
      <c r="AY36" s="9" t="n">
        <v>60</v>
      </c>
      <c r="AZ36" s="9"/>
      <c r="BA36" s="9"/>
      <c r="BB36" s="9"/>
      <c r="BC36" s="9"/>
      <c r="BD36" s="9"/>
      <c r="BE36" s="9"/>
      <c r="BF36" s="9"/>
      <c r="BG36" s="9"/>
      <c r="BH36" s="9" t="n">
        <v>30</v>
      </c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 t="n">
        <v>30</v>
      </c>
      <c r="BU36" s="10" t="n">
        <v>1020</v>
      </c>
      <c r="BV36" s="11" t="n">
        <f aca="false">IF(ISERROR(ROUND(MEDIAN(BQ36:BT36),0)),0,ROUND(MEDIAN(BQ36:BT36),0))</f>
        <v>30</v>
      </c>
      <c r="BW36" s="11" t="n">
        <f aca="false">IF(ISERROR(ROUND(MEDIAN(BM36:BT36),0)),0,ROUND(MEDIAN(BM36:BT36),0))</f>
        <v>30</v>
      </c>
      <c r="BX36" s="11" t="n">
        <f aca="false">IF(ISERROR(ROUND(MEDIAN(BI36:BT36),0)),0,ROUND(MEDIAN(BI36:BT36),0))</f>
        <v>30</v>
      </c>
      <c r="BY36" s="11" t="n">
        <f aca="false">IF(ISERROR(ROUND(MEDIAN(BE36:BT36),0)),0,ROUND(MEDIAN(BE36:BT36),0))</f>
        <v>30</v>
      </c>
      <c r="BZ36" s="11" t="n">
        <f aca="false">IF(ISERROR(ROUND(MEDIAN(AU36:BT36),0)),0,ROUND(MEDIAN(AU36:BT36),0))</f>
        <v>45</v>
      </c>
      <c r="CA36" s="12" t="n">
        <f aca="false">IF(ISERROR(ROUND(MEDIAN(U36:BT36),0)),0,ROUND(MEDIAN(U36:BT36),0))</f>
        <v>30</v>
      </c>
      <c r="CB36" s="12" t="n">
        <f aca="false">IF(ISERROR(ROUND(MEDIAN(BT36),0)),0,ROUND(MEDIAN(BT36),0))</f>
        <v>30</v>
      </c>
      <c r="CC36" s="12" t="n">
        <f aca="false">IF(ISERROR(ROUND(MEDIAN(D36:BT36),0)),0,ROUND(MEDIAN(D36:BT36),0))</f>
        <v>30</v>
      </c>
      <c r="CD36" s="12" t="n">
        <f aca="false">MAX(D36:BT36)</f>
        <v>120</v>
      </c>
      <c r="CE36" s="7" t="n">
        <f aca="false">COUNTA(BQ36:BT36)</f>
        <v>1</v>
      </c>
      <c r="CF36" s="7" t="n">
        <f aca="false">COUNTA(BM36:BT36)</f>
        <v>1</v>
      </c>
      <c r="CG36" s="7" t="n">
        <f aca="false">COUNTA(BI36:BT36)</f>
        <v>1</v>
      </c>
      <c r="CH36" s="7" t="n">
        <f aca="false">COUNTA(BE36:BT36)</f>
        <v>2</v>
      </c>
      <c r="CI36" s="7" t="n">
        <f aca="false">COUNTA(AU36:BT36)</f>
        <v>4</v>
      </c>
      <c r="CJ36" s="7" t="n">
        <f aca="false">COUNTA(U36:BT36)</f>
        <v>14</v>
      </c>
      <c r="CK36" s="7" t="n">
        <f aca="false">COUNTA(BT36)</f>
        <v>1</v>
      </c>
      <c r="CL36" s="7" t="n">
        <f aca="false">COUNTA(D36:BT36)</f>
        <v>22</v>
      </c>
      <c r="CM36" s="17" t="str">
        <f aca="false">IF(AND(CE36=1,CJ36=1,BT36&lt;&gt;""),"5.ENTRANTES",IF(AND(CE36&lt;&gt;0,CE36/RIGHT($CE$1,1)&gt;=0.5,CJ36=CE36),"4.RECENTES",IF(AND(CF36&lt;&gt;0,CF36/RIGHT($CF$1,1)&gt;=0.5,CJ36=CF36),"4.RECENTES",IF(AND(CG36&lt;&gt;0,CG36/RIGHT($CG$1,2)&gt;=0.5,CJ36=CG36),"4.RECENTES",IF(AND(CH36&lt;&gt;0,CH36/RIGHT($CH$1,2)&gt;=0.5,CJ36=CH36),"4.RECENTES",IF(AND(CI36&lt;&gt;0,CI36/RIGHT($CI$1,2)&gt;=0.5,CJ36=CI36),"4.RECENTES",IF(AND(CE36=0,CF36=0,CG36=0,CH36=0),"3.INATIVOS",IF(CJ36/RIGHT($CJ$1,2)&lt;0.5,"2.INTERMITENTES","1.ORDINÁRIOS"))))))))</f>
        <v>2.INTERMITENTES</v>
      </c>
      <c r="CN36" s="18" t="n">
        <f aca="false">IF(AND(CE36=1,CJ36=1,BT36&lt;&gt;""),BT36,IF(AND(CE36&lt;&gt;0,CE36/RIGHT($CE$1,1)&gt;=0.5,CJ36=CE36),MAX(BV36:CC36),IF(AND(CF36&lt;&gt;0,CF36/RIGHT($CF$1,1)&gt;=0.5,CJ36=CF36),MAX(BV36:CC36),IF(AND(CG36&lt;&gt;0,CG36/RIGHT($CG$1,2)&gt;=0.5,CJ36=CG36),MAX(BV36:CC36),IF(AND(CH36&lt;&gt;0,CH36/RIGHT($CH$1,2)&gt;=0.5,CJ36=CH36),MAX(BV36:CC36),IF(AND(CI36&lt;&gt;0,CI36/RIGHT($CI$1,2)&gt;=0.5,CJ36=CI36),MAX(BV36:CC36),IF(AND(CE36=0,CF36=0,CG36=0,CH36=0),0,IF(CJ36/RIGHT($CJ$1,2)&lt;0.5,ROUND(BU36/RIGHT($CJ$1,2),0),MAX(BV36:CC36)))))))))</f>
        <v>20</v>
      </c>
      <c r="CO36" s="18" t="n">
        <f aca="false">CD36</f>
        <v>120</v>
      </c>
      <c r="CP36" s="15" t="n">
        <v>250</v>
      </c>
      <c r="CQ36" s="16" t="n">
        <f aca="false">IF((CO36-CP36)&lt;0,0,(CO36-CP36))</f>
        <v>0</v>
      </c>
      <c r="CR36" s="7"/>
    </row>
    <row r="37" customFormat="false" ht="12.75" hidden="false" customHeight="true" outlineLevel="0" collapsed="false">
      <c r="A37" s="7" t="s">
        <v>95</v>
      </c>
      <c r="B37" s="7" t="s">
        <v>131</v>
      </c>
      <c r="C37" s="8" t="n">
        <v>230001019</v>
      </c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 t="n">
        <v>60</v>
      </c>
      <c r="BA37" s="9"/>
      <c r="BB37" s="9" t="n">
        <v>50</v>
      </c>
      <c r="BC37" s="9" t="n">
        <v>120</v>
      </c>
      <c r="BD37" s="9" t="n">
        <v>30</v>
      </c>
      <c r="BE37" s="9" t="n">
        <v>60</v>
      </c>
      <c r="BF37" s="9" t="n">
        <v>90</v>
      </c>
      <c r="BG37" s="9" t="n">
        <v>120</v>
      </c>
      <c r="BH37" s="9" t="n">
        <v>60</v>
      </c>
      <c r="BI37" s="9"/>
      <c r="BJ37" s="9" t="n">
        <v>120</v>
      </c>
      <c r="BK37" s="9" t="n">
        <v>60</v>
      </c>
      <c r="BL37" s="9" t="n">
        <v>60</v>
      </c>
      <c r="BM37" s="9" t="n">
        <v>30</v>
      </c>
      <c r="BN37" s="9" t="n">
        <v>210</v>
      </c>
      <c r="BO37" s="9" t="n">
        <v>30</v>
      </c>
      <c r="BP37" s="9" t="n">
        <v>150</v>
      </c>
      <c r="BQ37" s="9" t="n">
        <v>60</v>
      </c>
      <c r="BR37" s="9" t="n">
        <v>60</v>
      </c>
      <c r="BS37" s="9" t="n">
        <v>120</v>
      </c>
      <c r="BT37" s="9" t="n">
        <v>60</v>
      </c>
      <c r="BU37" s="10" t="n">
        <v>1550</v>
      </c>
      <c r="BV37" s="11" t="n">
        <f aca="false">IF(ISERROR(ROUND(MEDIAN(BQ37:BT37),0)),0,ROUND(MEDIAN(BQ37:BT37),0))</f>
        <v>60</v>
      </c>
      <c r="BW37" s="11" t="n">
        <f aca="false">IF(ISERROR(ROUND(MEDIAN(BM37:BT37),0)),0,ROUND(MEDIAN(BM37:BT37),0))</f>
        <v>60</v>
      </c>
      <c r="BX37" s="11" t="n">
        <f aca="false">IF(ISERROR(ROUND(MEDIAN(BI37:BT37),0)),0,ROUND(MEDIAN(BI37:BT37),0))</f>
        <v>60</v>
      </c>
      <c r="BY37" s="11" t="n">
        <f aca="false">IF(ISERROR(ROUND(MEDIAN(BE37:BT37),0)),0,ROUND(MEDIAN(BE37:BT37),0))</f>
        <v>60</v>
      </c>
      <c r="BZ37" s="11" t="n">
        <f aca="false">IF(ISERROR(ROUND(MEDIAN(AU37:BT37),0)),0,ROUND(MEDIAN(AU37:BT37),0))</f>
        <v>60</v>
      </c>
      <c r="CA37" s="12" t="n">
        <f aca="false">IF(ISERROR(ROUND(MEDIAN(U37:BT37),0)),0,ROUND(MEDIAN(U37:BT37),0))</f>
        <v>60</v>
      </c>
      <c r="CB37" s="12" t="n">
        <f aca="false">IF(ISERROR(ROUND(MEDIAN(BT37),0)),0,ROUND(MEDIAN(BT37),0))</f>
        <v>60</v>
      </c>
      <c r="CC37" s="12" t="n">
        <f aca="false">IF(ISERROR(ROUND(MEDIAN(D37:BT37),0)),0,ROUND(MEDIAN(D37:BT37),0))</f>
        <v>60</v>
      </c>
      <c r="CD37" s="12" t="n">
        <f aca="false">MAX(D37:BT37)</f>
        <v>210</v>
      </c>
      <c r="CE37" s="7" t="n">
        <f aca="false">COUNTA(BQ37:BT37)</f>
        <v>4</v>
      </c>
      <c r="CF37" s="7" t="n">
        <f aca="false">COUNTA(BM37:BT37)</f>
        <v>8</v>
      </c>
      <c r="CG37" s="7" t="n">
        <f aca="false">COUNTA(BI37:BT37)</f>
        <v>11</v>
      </c>
      <c r="CH37" s="7" t="n">
        <f aca="false">COUNTA(BE37:BT37)</f>
        <v>15</v>
      </c>
      <c r="CI37" s="7" t="n">
        <f aca="false">COUNTA(AU37:BT37)</f>
        <v>19</v>
      </c>
      <c r="CJ37" s="7" t="n">
        <f aca="false">COUNTA(U37:BT37)</f>
        <v>19</v>
      </c>
      <c r="CK37" s="7" t="n">
        <f aca="false">COUNTA(BT37)</f>
        <v>1</v>
      </c>
      <c r="CL37" s="7" t="n">
        <f aca="false">COUNTA(D37:BT37)</f>
        <v>19</v>
      </c>
      <c r="CM37" s="21" t="str">
        <f aca="false">IF(AND(CE37=1,CJ37=1,BT37&lt;&gt;""),"5.ENTRANTES",IF(AND(CE37&lt;&gt;0,CE37/RIGHT($CE$1,1)&gt;=0.5,CJ37=CE37),"4.RECENTES",IF(AND(CF37&lt;&gt;0,CF37/RIGHT($CF$1,1)&gt;=0.5,CJ37=CF37),"4.RECENTES",IF(AND(CG37&lt;&gt;0,CG37/RIGHT($CG$1,2)&gt;=0.5,CJ37=CG37),"4.RECENTES",IF(AND(CH37&lt;&gt;0,CH37/RIGHT($CH$1,2)&gt;=0.5,CJ37=CH37),"4.RECENTES",IF(AND(CI37&lt;&gt;0,CI37/RIGHT($CI$1,2)&gt;=0.5,CJ37=CI37),"4.RECENTES",IF(AND(CE37=0,CF37=0,CG37=0,CH37=0),"3.INATIVOS",IF(CJ37/RIGHT($CJ$1,2)&lt;0.5,"2.INTERMITENTES","1.ORDINÁRIOS"))))))))</f>
        <v>4.RECENTES</v>
      </c>
      <c r="CN37" s="22" t="n">
        <f aca="false">IF(AND(CE37=1,CJ37=1,BT37&lt;&gt;""),BT37,IF(AND(CE37&lt;&gt;0,CE37/RIGHT($CE$1,1)&gt;=0.5,CJ37=CE37),MAX(BV37:CC37),IF(AND(CF37&lt;&gt;0,CF37/RIGHT($CF$1,1)&gt;=0.5,CJ37=CF37),MAX(BV37:CC37),IF(AND(CG37&lt;&gt;0,CG37/RIGHT($CG$1,2)&gt;=0.5,CJ37=CG37),MAX(BV37:CC37),IF(AND(CH37&lt;&gt;0,CH37/RIGHT($CH$1,2)&gt;=0.5,CJ37=CH37),MAX(BV37:CC37),IF(AND(CI37&lt;&gt;0,CI37/RIGHT($CI$1,2)&gt;=0.5,CJ37=CI37),MAX(BV37:CC37),IF(AND(CE37=0,CF37=0,CG37=0,CH37=0),0,IF(CJ37/RIGHT($CJ$1,2)&lt;0.5,ROUND(BU37/RIGHT($CJ$1,2),0),MAX(BV37:CC37)))))))))</f>
        <v>60</v>
      </c>
      <c r="CO37" s="22" t="n">
        <f aca="false">CN37*3</f>
        <v>180</v>
      </c>
      <c r="CP37" s="15" t="n">
        <v>220</v>
      </c>
      <c r="CQ37" s="16" t="n">
        <f aca="false">IF((CO37-CP37)&lt;0,0,(CO37-CP37))</f>
        <v>0</v>
      </c>
      <c r="CR37" s="7"/>
    </row>
    <row r="38" customFormat="false" ht="12.75" hidden="false" customHeight="true" outlineLevel="0" collapsed="false">
      <c r="A38" s="7" t="s">
        <v>95</v>
      </c>
      <c r="B38" s="7" t="s">
        <v>132</v>
      </c>
      <c r="C38" s="8" t="n">
        <v>5000024</v>
      </c>
      <c r="D38" s="9"/>
      <c r="E38" s="9" t="n">
        <v>300</v>
      </c>
      <c r="F38" s="9" t="n">
        <v>210</v>
      </c>
      <c r="G38" s="9" t="n">
        <v>300</v>
      </c>
      <c r="H38" s="9" t="n">
        <v>330</v>
      </c>
      <c r="I38" s="9" t="n">
        <v>180</v>
      </c>
      <c r="J38" s="9" t="n">
        <v>540</v>
      </c>
      <c r="K38" s="9" t="n">
        <v>75</v>
      </c>
      <c r="L38" s="9" t="n">
        <v>330</v>
      </c>
      <c r="M38" s="9" t="n">
        <v>225</v>
      </c>
      <c r="N38" s="9" t="n">
        <v>300</v>
      </c>
      <c r="O38" s="9" t="n">
        <v>330</v>
      </c>
      <c r="P38" s="9" t="n">
        <v>190</v>
      </c>
      <c r="Q38" s="9" t="n">
        <v>390</v>
      </c>
      <c r="R38" s="9" t="n">
        <v>570</v>
      </c>
      <c r="S38" s="9"/>
      <c r="T38" s="9" t="n">
        <v>120</v>
      </c>
      <c r="U38" s="9" t="n">
        <v>150</v>
      </c>
      <c r="V38" s="9" t="n">
        <v>540</v>
      </c>
      <c r="W38" s="9" t="n">
        <v>300</v>
      </c>
      <c r="X38" s="9" t="n">
        <v>360</v>
      </c>
      <c r="Y38" s="9" t="n">
        <v>210</v>
      </c>
      <c r="Z38" s="9" t="n">
        <v>360</v>
      </c>
      <c r="AA38" s="9" t="n">
        <v>60</v>
      </c>
      <c r="AB38" s="9" t="n">
        <v>270</v>
      </c>
      <c r="AC38" s="9" t="n">
        <v>330</v>
      </c>
      <c r="AD38" s="9" t="n">
        <v>180</v>
      </c>
      <c r="AE38" s="9" t="n">
        <v>240</v>
      </c>
      <c r="AF38" s="9" t="n">
        <v>150</v>
      </c>
      <c r="AG38" s="9" t="n">
        <v>180</v>
      </c>
      <c r="AH38" s="9" t="n">
        <v>330</v>
      </c>
      <c r="AI38" s="9"/>
      <c r="AJ38" s="9" t="n">
        <v>510</v>
      </c>
      <c r="AK38" s="9" t="n">
        <v>180</v>
      </c>
      <c r="AL38" s="9" t="n">
        <v>120</v>
      </c>
      <c r="AM38" s="9" t="n">
        <v>180</v>
      </c>
      <c r="AN38" s="9" t="n">
        <v>150</v>
      </c>
      <c r="AO38" s="9" t="n">
        <v>570</v>
      </c>
      <c r="AP38" s="9" t="n">
        <v>150</v>
      </c>
      <c r="AQ38" s="9" t="n">
        <v>150</v>
      </c>
      <c r="AR38" s="9" t="n">
        <v>180</v>
      </c>
      <c r="AS38" s="9" t="n">
        <v>360</v>
      </c>
      <c r="AT38" s="9" t="n">
        <v>240</v>
      </c>
      <c r="AU38" s="9" t="n">
        <v>260</v>
      </c>
      <c r="AV38" s="9" t="n">
        <v>120</v>
      </c>
      <c r="AW38" s="9" t="n">
        <v>150</v>
      </c>
      <c r="AX38" s="9" t="n">
        <v>240</v>
      </c>
      <c r="AY38" s="9" t="n">
        <v>150</v>
      </c>
      <c r="AZ38" s="9" t="n">
        <v>180</v>
      </c>
      <c r="BA38" s="9" t="n">
        <v>240</v>
      </c>
      <c r="BB38" s="9" t="n">
        <v>60</v>
      </c>
      <c r="BC38" s="9" t="n">
        <v>480</v>
      </c>
      <c r="BD38" s="9" t="n">
        <v>330</v>
      </c>
      <c r="BE38" s="9" t="n">
        <v>30</v>
      </c>
      <c r="BF38" s="9" t="n">
        <v>240</v>
      </c>
      <c r="BG38" s="9" t="n">
        <v>360</v>
      </c>
      <c r="BH38" s="9" t="n">
        <v>240</v>
      </c>
      <c r="BI38" s="9" t="n">
        <v>270</v>
      </c>
      <c r="BJ38" s="9" t="n">
        <v>210</v>
      </c>
      <c r="BK38" s="9" t="n">
        <v>270</v>
      </c>
      <c r="BL38" s="9" t="n">
        <v>330</v>
      </c>
      <c r="BM38" s="9" t="n">
        <v>60</v>
      </c>
      <c r="BN38" s="9"/>
      <c r="BO38" s="9" t="n">
        <v>510</v>
      </c>
      <c r="BP38" s="9" t="n">
        <v>240</v>
      </c>
      <c r="BQ38" s="9" t="n">
        <v>300</v>
      </c>
      <c r="BR38" s="9" t="n">
        <v>210</v>
      </c>
      <c r="BS38" s="9" t="n">
        <v>120</v>
      </c>
      <c r="BT38" s="9" t="n">
        <v>360</v>
      </c>
      <c r="BU38" s="10" t="n">
        <v>16800</v>
      </c>
      <c r="BV38" s="11" t="n">
        <f aca="false">IF(ISERROR(ROUND(MEDIAN(BQ38:BT38),0)),0,ROUND(MEDIAN(BQ38:BT38),0))</f>
        <v>255</v>
      </c>
      <c r="BW38" s="11" t="n">
        <f aca="false">IF(ISERROR(ROUND(MEDIAN(BM38:BT38),0)),0,ROUND(MEDIAN(BM38:BT38),0))</f>
        <v>240</v>
      </c>
      <c r="BX38" s="11" t="n">
        <f aca="false">IF(ISERROR(ROUND(MEDIAN(BI38:BT38),0)),0,ROUND(MEDIAN(BI38:BT38),0))</f>
        <v>270</v>
      </c>
      <c r="BY38" s="11" t="n">
        <f aca="false">IF(ISERROR(ROUND(MEDIAN(BE38:BT38),0)),0,ROUND(MEDIAN(BE38:BT38),0))</f>
        <v>240</v>
      </c>
      <c r="BZ38" s="11" t="n">
        <f aca="false">IF(ISERROR(ROUND(MEDIAN(AU38:BT38),0)),0,ROUND(MEDIAN(AU38:BT38),0))</f>
        <v>240</v>
      </c>
      <c r="CA38" s="12" t="n">
        <f aca="false">IF(ISERROR(ROUND(MEDIAN(U38:BT38),0)),0,ROUND(MEDIAN(U38:BT38),0))</f>
        <v>240</v>
      </c>
      <c r="CB38" s="12" t="n">
        <f aca="false">IF(ISERROR(ROUND(MEDIAN(BT38),0)),0,ROUND(MEDIAN(BT38),0))</f>
        <v>360</v>
      </c>
      <c r="CC38" s="12" t="n">
        <f aca="false">IF(ISERROR(ROUND(MEDIAN(D38:BT38),0)),0,ROUND(MEDIAN(D38:BT38),0))</f>
        <v>240</v>
      </c>
      <c r="CD38" s="12" t="n">
        <f aca="false">MAX(D38:BT38)</f>
        <v>570</v>
      </c>
      <c r="CE38" s="7" t="n">
        <f aca="false">COUNTA(BQ38:BT38)</f>
        <v>4</v>
      </c>
      <c r="CF38" s="7" t="n">
        <f aca="false">COUNTA(BM38:BT38)</f>
        <v>7</v>
      </c>
      <c r="CG38" s="7" t="n">
        <f aca="false">COUNTA(BI38:BT38)</f>
        <v>11</v>
      </c>
      <c r="CH38" s="7" t="n">
        <f aca="false">COUNTA(BE38:BT38)</f>
        <v>15</v>
      </c>
      <c r="CI38" s="7" t="n">
        <f aca="false">COUNTA(AU38:BT38)</f>
        <v>25</v>
      </c>
      <c r="CJ38" s="7" t="n">
        <f aca="false">COUNTA(U38:BT38)</f>
        <v>50</v>
      </c>
      <c r="CK38" s="7" t="n">
        <f aca="false">COUNTA(BT38)</f>
        <v>1</v>
      </c>
      <c r="CL38" s="7" t="n">
        <f aca="false">COUNTA(D38:BT38)</f>
        <v>65</v>
      </c>
      <c r="CM38" s="13" t="str">
        <f aca="false">IF(AND(CE38=1,CJ38=1,BT38&lt;&gt;""),"5.ENTRANTES",IF(AND(CE38&lt;&gt;0,CE38/RIGHT($CE$1,1)&gt;=0.5,CJ38=CE38),"4.RECENTES",IF(AND(CF38&lt;&gt;0,CF38/RIGHT($CF$1,1)&gt;=0.5,CJ38=CF38),"4.RECENTES",IF(AND(CG38&lt;&gt;0,CG38/RIGHT($CG$1,2)&gt;=0.5,CJ38=CG38),"4.RECENTES",IF(AND(CH38&lt;&gt;0,CH38/RIGHT($CH$1,2)&gt;=0.5,CJ38=CH38),"4.RECENTES",IF(AND(CI38&lt;&gt;0,CI38/RIGHT($CI$1,2)&gt;=0.5,CJ38=CI38),"4.RECENTES",IF(AND(CE38=0,CF38=0,CG38=0,CH38=0),"3.INATIVOS",IF(CJ38/RIGHT($CJ$1,2)&lt;0.5,"2.INTERMITENTES","1.ORDINÁRIOS"))))))))</f>
        <v>1.ORDINÁRIOS</v>
      </c>
      <c r="CN38" s="14" t="n">
        <f aca="false">IF(AND(CE38=1,CJ38=1,BT38&lt;&gt;""),BT38,IF(AND(CE38&lt;&gt;0,CE38/RIGHT($CE$1,1)&gt;=0.5,CJ38=CE38),MAX(BV38:CC38),IF(AND(CF38&lt;&gt;0,CF38/RIGHT($CF$1,1)&gt;=0.5,CJ38=CF38),MAX(BV38:CC38),IF(AND(CG38&lt;&gt;0,CG38/RIGHT($CG$1,2)&gt;=0.5,CJ38=CG38),MAX(BV38:CC38),IF(AND(CH38&lt;&gt;0,CH38/RIGHT($CH$1,2)&gt;=0.5,CJ38=CH38),MAX(BV38:CC38),IF(AND(CI38&lt;&gt;0,CI38/RIGHT($CI$1,2)&gt;=0.5,CJ38=CI38),MAX(BV38:CC38),IF(AND(CE38=0,CF38=0,CG38=0,CH38=0),0,IF(CJ38/RIGHT($CJ$1,2)&lt;0.5,ROUND(BU38/RIGHT($CJ$1,2),0),MAX(BV38:CC38)))))))))</f>
        <v>360</v>
      </c>
      <c r="CO38" s="14" t="n">
        <f aca="false">CN38*3</f>
        <v>1080</v>
      </c>
      <c r="CP38" s="15" t="n">
        <v>510</v>
      </c>
      <c r="CQ38" s="16" t="n">
        <f aca="false">IF((CO38-CP38)&lt;0,0,(CO38-CP38))</f>
        <v>570</v>
      </c>
      <c r="CR38" s="7"/>
    </row>
    <row r="39" customFormat="false" ht="12.75" hidden="false" customHeight="true" outlineLevel="0" collapsed="false">
      <c r="A39" s="7" t="s">
        <v>95</v>
      </c>
      <c r="B39" s="7" t="s">
        <v>133</v>
      </c>
      <c r="C39" s="8" t="n">
        <v>21001024</v>
      </c>
      <c r="D39" s="9"/>
      <c r="E39" s="9" t="n">
        <v>120</v>
      </c>
      <c r="F39" s="9" t="n">
        <v>240</v>
      </c>
      <c r="G39" s="9"/>
      <c r="H39" s="9"/>
      <c r="I39" s="9" t="n">
        <v>180</v>
      </c>
      <c r="J39" s="9" t="n">
        <v>90</v>
      </c>
      <c r="K39" s="9" t="n">
        <v>60</v>
      </c>
      <c r="L39" s="9" t="n">
        <v>60</v>
      </c>
      <c r="M39" s="9" t="n">
        <v>180</v>
      </c>
      <c r="N39" s="9"/>
      <c r="O39" s="9" t="n">
        <v>150</v>
      </c>
      <c r="P39" s="9"/>
      <c r="Q39" s="9" t="n">
        <v>300</v>
      </c>
      <c r="R39" s="9"/>
      <c r="S39" s="9" t="n">
        <v>210</v>
      </c>
      <c r="T39" s="9"/>
      <c r="U39" s="9"/>
      <c r="V39" s="9" t="n">
        <v>240</v>
      </c>
      <c r="W39" s="9"/>
      <c r="X39" s="9" t="n">
        <v>210</v>
      </c>
      <c r="Y39" s="9" t="n">
        <v>180</v>
      </c>
      <c r="Z39" s="9" t="n">
        <v>60</v>
      </c>
      <c r="AA39" s="9" t="n">
        <v>60</v>
      </c>
      <c r="AB39" s="9" t="n">
        <v>150</v>
      </c>
      <c r="AC39" s="9" t="n">
        <v>135</v>
      </c>
      <c r="AD39" s="9" t="n">
        <v>60</v>
      </c>
      <c r="AE39" s="9"/>
      <c r="AF39" s="9" t="n">
        <v>120</v>
      </c>
      <c r="AG39" s="9" t="n">
        <v>90</v>
      </c>
      <c r="AH39" s="9" t="n">
        <v>120</v>
      </c>
      <c r="AI39" s="9" t="n">
        <v>60</v>
      </c>
      <c r="AJ39" s="9"/>
      <c r="AK39" s="9" t="n">
        <v>210</v>
      </c>
      <c r="AL39" s="9" t="n">
        <v>180</v>
      </c>
      <c r="AM39" s="9" t="n">
        <v>60</v>
      </c>
      <c r="AN39" s="9" t="n">
        <v>60</v>
      </c>
      <c r="AO39" s="9" t="n">
        <v>120</v>
      </c>
      <c r="AP39" s="9" t="n">
        <v>60</v>
      </c>
      <c r="AQ39" s="9" t="n">
        <v>180</v>
      </c>
      <c r="AR39" s="9" t="n">
        <v>180</v>
      </c>
      <c r="AS39" s="9"/>
      <c r="AT39" s="9" t="n">
        <v>120</v>
      </c>
      <c r="AU39" s="9" t="n">
        <v>150</v>
      </c>
      <c r="AV39" s="9" t="n">
        <v>60</v>
      </c>
      <c r="AW39" s="9" t="n">
        <v>60</v>
      </c>
      <c r="AX39" s="9" t="n">
        <v>180</v>
      </c>
      <c r="AY39" s="9" t="n">
        <v>30</v>
      </c>
      <c r="AZ39" s="9" t="n">
        <v>120</v>
      </c>
      <c r="BA39" s="9"/>
      <c r="BB39" s="9" t="n">
        <v>60</v>
      </c>
      <c r="BC39" s="9" t="n">
        <v>120</v>
      </c>
      <c r="BD39" s="9" t="n">
        <v>120</v>
      </c>
      <c r="BE39" s="9"/>
      <c r="BF39" s="9"/>
      <c r="BG39" s="9" t="n">
        <v>60</v>
      </c>
      <c r="BH39" s="9" t="n">
        <v>240</v>
      </c>
      <c r="BI39" s="9"/>
      <c r="BJ39" s="9"/>
      <c r="BK39" s="9"/>
      <c r="BL39" s="9" t="n">
        <v>120</v>
      </c>
      <c r="BM39" s="9" t="n">
        <v>120</v>
      </c>
      <c r="BN39" s="9" t="n">
        <v>60</v>
      </c>
      <c r="BO39" s="9"/>
      <c r="BP39" s="9" t="n">
        <v>60</v>
      </c>
      <c r="BQ39" s="9" t="n">
        <v>120</v>
      </c>
      <c r="BR39" s="9" t="n">
        <v>60</v>
      </c>
      <c r="BS39" s="9"/>
      <c r="BT39" s="9" t="n">
        <v>60</v>
      </c>
      <c r="BU39" s="10" t="n">
        <v>6045</v>
      </c>
      <c r="BV39" s="11" t="n">
        <f aca="false">IF(ISERROR(ROUND(MEDIAN(BQ39:BT39),0)),0,ROUND(MEDIAN(BQ39:BT39),0))</f>
        <v>60</v>
      </c>
      <c r="BW39" s="11" t="n">
        <f aca="false">IF(ISERROR(ROUND(MEDIAN(BM39:BT39),0)),0,ROUND(MEDIAN(BM39:BT39),0))</f>
        <v>60</v>
      </c>
      <c r="BX39" s="11" t="n">
        <f aca="false">IF(ISERROR(ROUND(MEDIAN(BI39:BT39),0)),0,ROUND(MEDIAN(BI39:BT39),0))</f>
        <v>60</v>
      </c>
      <c r="BY39" s="11" t="n">
        <f aca="false">IF(ISERROR(ROUND(MEDIAN(BE39:BT39),0)),0,ROUND(MEDIAN(BE39:BT39),0))</f>
        <v>60</v>
      </c>
      <c r="BZ39" s="11" t="n">
        <f aca="false">IF(ISERROR(ROUND(MEDIAN(AU39:BT39),0)),0,ROUND(MEDIAN(AU39:BT39),0))</f>
        <v>90</v>
      </c>
      <c r="CA39" s="12" t="n">
        <f aca="false">IF(ISERROR(ROUND(MEDIAN(U39:BT39),0)),0,ROUND(MEDIAN(U39:BT39),0))</f>
        <v>120</v>
      </c>
      <c r="CB39" s="12" t="n">
        <f aca="false">IF(ISERROR(ROUND(MEDIAN(BT39),0)),0,ROUND(MEDIAN(BT39),0))</f>
        <v>60</v>
      </c>
      <c r="CC39" s="12" t="n">
        <f aca="false">IF(ISERROR(ROUND(MEDIAN(D39:BT39),0)),0,ROUND(MEDIAN(D39:BT39),0))</f>
        <v>120</v>
      </c>
      <c r="CD39" s="12" t="n">
        <f aca="false">MAX(D39:BT39)</f>
        <v>300</v>
      </c>
      <c r="CE39" s="7" t="n">
        <f aca="false">COUNTA(BQ39:BT39)</f>
        <v>3</v>
      </c>
      <c r="CF39" s="7" t="n">
        <f aca="false">COUNTA(BM39:BT39)</f>
        <v>6</v>
      </c>
      <c r="CG39" s="7" t="n">
        <f aca="false">COUNTA(BI39:BT39)</f>
        <v>7</v>
      </c>
      <c r="CH39" s="7" t="n">
        <f aca="false">COUNTA(BE39:BT39)</f>
        <v>9</v>
      </c>
      <c r="CI39" s="7" t="n">
        <f aca="false">COUNTA(AU39:BT39)</f>
        <v>18</v>
      </c>
      <c r="CJ39" s="7" t="n">
        <f aca="false">COUNTA(U39:BT39)</f>
        <v>39</v>
      </c>
      <c r="CK39" s="7" t="n">
        <f aca="false">COUNTA(BT39)</f>
        <v>1</v>
      </c>
      <c r="CL39" s="7" t="n">
        <f aca="false">COUNTA(D39:BT39)</f>
        <v>49</v>
      </c>
      <c r="CM39" s="13" t="str">
        <f aca="false">IF(AND(CE39=1,CJ39=1,BT39&lt;&gt;""),"5.ENTRANTES",IF(AND(CE39&lt;&gt;0,CE39/RIGHT($CE$1,1)&gt;=0.5,CJ39=CE39),"4.RECENTES",IF(AND(CF39&lt;&gt;0,CF39/RIGHT($CF$1,1)&gt;=0.5,CJ39=CF39),"4.RECENTES",IF(AND(CG39&lt;&gt;0,CG39/RIGHT($CG$1,2)&gt;=0.5,CJ39=CG39),"4.RECENTES",IF(AND(CH39&lt;&gt;0,CH39/RIGHT($CH$1,2)&gt;=0.5,CJ39=CH39),"4.RECENTES",IF(AND(CI39&lt;&gt;0,CI39/RIGHT($CI$1,2)&gt;=0.5,CJ39=CI39),"4.RECENTES",IF(AND(CE39=0,CF39=0,CG39=0,CH39=0),"3.INATIVOS",IF(CJ39/RIGHT($CJ$1,2)&lt;0.5,"2.INTERMITENTES","1.ORDINÁRIOS"))))))))</f>
        <v>1.ORDINÁRIOS</v>
      </c>
      <c r="CN39" s="14" t="n">
        <f aca="false">IF(AND(CE39=1,CJ39=1,BT39&lt;&gt;""),BT39,IF(AND(CE39&lt;&gt;0,CE39/RIGHT($CE$1,1)&gt;=0.5,CJ39=CE39),MAX(BV39:CC39),IF(AND(CF39&lt;&gt;0,CF39/RIGHT($CF$1,1)&gt;=0.5,CJ39=CF39),MAX(BV39:CC39),IF(AND(CG39&lt;&gt;0,CG39/RIGHT($CG$1,2)&gt;=0.5,CJ39=CG39),MAX(BV39:CC39),IF(AND(CH39&lt;&gt;0,CH39/RIGHT($CH$1,2)&gt;=0.5,CJ39=CH39),MAX(BV39:CC39),IF(AND(CI39&lt;&gt;0,CI39/RIGHT($CI$1,2)&gt;=0.5,CJ39=CI39),MAX(BV39:CC39),IF(AND(CE39=0,CF39=0,CG39=0,CH39=0),0,IF(CJ39/RIGHT($CJ$1,2)&lt;0.5,ROUND(BU39/RIGHT($CJ$1,2),0),MAX(BV39:CC39)))))))))</f>
        <v>120</v>
      </c>
      <c r="CO39" s="14" t="n">
        <f aca="false">CN39*3</f>
        <v>360</v>
      </c>
      <c r="CP39" s="15" t="n">
        <v>300</v>
      </c>
      <c r="CQ39" s="16" t="n">
        <f aca="false">IF((CO39-CP39)&lt;0,0,(CO39-CP39))</f>
        <v>60</v>
      </c>
      <c r="CR39" s="7"/>
    </row>
    <row r="40" customFormat="false" ht="12.75" hidden="false" customHeight="true" outlineLevel="0" collapsed="false">
      <c r="A40" s="7" t="s">
        <v>95</v>
      </c>
      <c r="B40" s="7" t="s">
        <v>134</v>
      </c>
      <c r="C40" s="8" t="n">
        <v>303007002</v>
      </c>
      <c r="D40" s="9" t="n">
        <v>180</v>
      </c>
      <c r="E40" s="9" t="n">
        <v>180</v>
      </c>
      <c r="F40" s="9" t="n">
        <v>135</v>
      </c>
      <c r="G40" s="9" t="n">
        <v>60</v>
      </c>
      <c r="H40" s="9" t="n">
        <v>60</v>
      </c>
      <c r="I40" s="9" t="n">
        <v>345</v>
      </c>
      <c r="J40" s="9" t="n">
        <v>105</v>
      </c>
      <c r="K40" s="9" t="n">
        <v>210</v>
      </c>
      <c r="L40" s="9"/>
      <c r="M40" s="9" t="n">
        <v>240</v>
      </c>
      <c r="N40" s="9" t="n">
        <v>270</v>
      </c>
      <c r="O40" s="9" t="n">
        <v>90</v>
      </c>
      <c r="P40" s="9" t="n">
        <v>120</v>
      </c>
      <c r="Q40" s="9" t="n">
        <v>120</v>
      </c>
      <c r="R40" s="9" t="n">
        <v>240</v>
      </c>
      <c r="S40" s="9" t="n">
        <v>60</v>
      </c>
      <c r="T40" s="9" t="n">
        <v>240</v>
      </c>
      <c r="U40" s="9"/>
      <c r="V40" s="9" t="n">
        <v>210</v>
      </c>
      <c r="W40" s="9" t="n">
        <v>240</v>
      </c>
      <c r="X40" s="9" t="n">
        <v>120</v>
      </c>
      <c r="Y40" s="9" t="n">
        <v>240</v>
      </c>
      <c r="Z40" s="9" t="n">
        <v>120</v>
      </c>
      <c r="AA40" s="9" t="n">
        <v>240</v>
      </c>
      <c r="AB40" s="9" t="n">
        <v>180</v>
      </c>
      <c r="AC40" s="9" t="n">
        <v>300</v>
      </c>
      <c r="AD40" s="9" t="n">
        <v>180</v>
      </c>
      <c r="AE40" s="9" t="n">
        <v>120</v>
      </c>
      <c r="AF40" s="9" t="n">
        <v>150</v>
      </c>
      <c r="AG40" s="9" t="n">
        <v>180</v>
      </c>
      <c r="AH40" s="9" t="n">
        <v>210</v>
      </c>
      <c r="AI40" s="9" t="n">
        <v>90</v>
      </c>
      <c r="AJ40" s="9" t="n">
        <v>270</v>
      </c>
      <c r="AK40" s="9" t="n">
        <v>180</v>
      </c>
      <c r="AL40" s="9" t="n">
        <v>330</v>
      </c>
      <c r="AM40" s="9" t="n">
        <v>150</v>
      </c>
      <c r="AN40" s="9" t="n">
        <v>150</v>
      </c>
      <c r="AO40" s="9" t="n">
        <v>270</v>
      </c>
      <c r="AP40" s="9" t="n">
        <v>90</v>
      </c>
      <c r="AQ40" s="9" t="n">
        <v>180</v>
      </c>
      <c r="AR40" s="9" t="n">
        <v>180</v>
      </c>
      <c r="AS40" s="9" t="n">
        <v>150</v>
      </c>
      <c r="AT40" s="9" t="n">
        <v>60</v>
      </c>
      <c r="AU40" s="9" t="n">
        <v>180</v>
      </c>
      <c r="AV40" s="9" t="n">
        <v>180</v>
      </c>
      <c r="AW40" s="9" t="n">
        <v>120</v>
      </c>
      <c r="AX40" s="9" t="n">
        <v>60</v>
      </c>
      <c r="AY40" s="9" t="n">
        <v>120</v>
      </c>
      <c r="AZ40" s="9" t="n">
        <v>210</v>
      </c>
      <c r="BA40" s="9" t="n">
        <v>240</v>
      </c>
      <c r="BB40" s="9" t="n">
        <v>120</v>
      </c>
      <c r="BC40" s="9" t="n">
        <v>150</v>
      </c>
      <c r="BD40" s="9" t="n">
        <v>120</v>
      </c>
      <c r="BE40" s="9" t="n">
        <v>90</v>
      </c>
      <c r="BF40" s="9" t="n">
        <v>150</v>
      </c>
      <c r="BG40" s="9" t="n">
        <v>180</v>
      </c>
      <c r="BH40" s="9" t="n">
        <v>180</v>
      </c>
      <c r="BI40" s="9" t="n">
        <v>150</v>
      </c>
      <c r="BJ40" s="9" t="n">
        <v>90</v>
      </c>
      <c r="BK40" s="9" t="n">
        <v>120</v>
      </c>
      <c r="BL40" s="9" t="n">
        <v>240</v>
      </c>
      <c r="BM40" s="9" t="n">
        <v>60</v>
      </c>
      <c r="BN40" s="9" t="n">
        <v>60</v>
      </c>
      <c r="BO40" s="9" t="n">
        <v>120</v>
      </c>
      <c r="BP40" s="9" t="n">
        <v>120</v>
      </c>
      <c r="BQ40" s="9" t="n">
        <v>180</v>
      </c>
      <c r="BR40" s="9" t="n">
        <v>60</v>
      </c>
      <c r="BS40" s="9" t="n">
        <v>90</v>
      </c>
      <c r="BT40" s="9" t="n">
        <v>120</v>
      </c>
      <c r="BU40" s="10" t="n">
        <v>10755</v>
      </c>
      <c r="BV40" s="11" t="n">
        <f aca="false">IF(ISERROR(ROUND(MEDIAN(BQ40:BT40),0)),0,ROUND(MEDIAN(BQ40:BT40),0))</f>
        <v>105</v>
      </c>
      <c r="BW40" s="11" t="n">
        <f aca="false">IF(ISERROR(ROUND(MEDIAN(BM40:BT40),0)),0,ROUND(MEDIAN(BM40:BT40),0))</f>
        <v>105</v>
      </c>
      <c r="BX40" s="11" t="n">
        <f aca="false">IF(ISERROR(ROUND(MEDIAN(BI40:BT40),0)),0,ROUND(MEDIAN(BI40:BT40),0))</f>
        <v>120</v>
      </c>
      <c r="BY40" s="11" t="n">
        <f aca="false">IF(ISERROR(ROUND(MEDIAN(BE40:BT40),0)),0,ROUND(MEDIAN(BE40:BT40),0))</f>
        <v>120</v>
      </c>
      <c r="BZ40" s="11" t="n">
        <f aca="false">IF(ISERROR(ROUND(MEDIAN(AU40:BT40),0)),0,ROUND(MEDIAN(AU40:BT40),0))</f>
        <v>120</v>
      </c>
      <c r="CA40" s="12" t="n">
        <f aca="false">IF(ISERROR(ROUND(MEDIAN(U40:BT40),0)),0,ROUND(MEDIAN(U40:BT40),0))</f>
        <v>150</v>
      </c>
      <c r="CB40" s="12" t="n">
        <f aca="false">IF(ISERROR(ROUND(MEDIAN(BT40),0)),0,ROUND(MEDIAN(BT40),0))</f>
        <v>120</v>
      </c>
      <c r="CC40" s="12" t="n">
        <f aca="false">IF(ISERROR(ROUND(MEDIAN(D40:BT40),0)),0,ROUND(MEDIAN(D40:BT40),0))</f>
        <v>150</v>
      </c>
      <c r="CD40" s="12" t="n">
        <f aca="false">MAX(D40:BT40)</f>
        <v>345</v>
      </c>
      <c r="CE40" s="7" t="n">
        <f aca="false">COUNTA(BQ40:BT40)</f>
        <v>4</v>
      </c>
      <c r="CF40" s="7" t="n">
        <f aca="false">COUNTA(BM40:BT40)</f>
        <v>8</v>
      </c>
      <c r="CG40" s="7" t="n">
        <f aca="false">COUNTA(BI40:BT40)</f>
        <v>12</v>
      </c>
      <c r="CH40" s="7" t="n">
        <f aca="false">COUNTA(BE40:BT40)</f>
        <v>16</v>
      </c>
      <c r="CI40" s="7" t="n">
        <f aca="false">COUNTA(AU40:BT40)</f>
        <v>26</v>
      </c>
      <c r="CJ40" s="7" t="n">
        <f aca="false">COUNTA(U40:BT40)</f>
        <v>51</v>
      </c>
      <c r="CK40" s="7" t="n">
        <f aca="false">COUNTA(BT40)</f>
        <v>1</v>
      </c>
      <c r="CL40" s="7" t="n">
        <f aca="false">COUNTA(D40:BT40)</f>
        <v>67</v>
      </c>
      <c r="CM40" s="13" t="str">
        <f aca="false">IF(AND(CE40=1,CJ40=1,BT40&lt;&gt;""),"5.ENTRANTES",IF(AND(CE40&lt;&gt;0,CE40/RIGHT($CE$1,1)&gt;=0.5,CJ40=CE40),"4.RECENTES",IF(AND(CF40&lt;&gt;0,CF40/RIGHT($CF$1,1)&gt;=0.5,CJ40=CF40),"4.RECENTES",IF(AND(CG40&lt;&gt;0,CG40/RIGHT($CG$1,2)&gt;=0.5,CJ40=CG40),"4.RECENTES",IF(AND(CH40&lt;&gt;0,CH40/RIGHT($CH$1,2)&gt;=0.5,CJ40=CH40),"4.RECENTES",IF(AND(CI40&lt;&gt;0,CI40/RIGHT($CI$1,2)&gt;=0.5,CJ40=CI40),"4.RECENTES",IF(AND(CE40=0,CF40=0,CG40=0,CH40=0),"3.INATIVOS",IF(CJ40/RIGHT($CJ$1,2)&lt;0.5,"2.INTERMITENTES","1.ORDINÁRIOS"))))))))</f>
        <v>1.ORDINÁRIOS</v>
      </c>
      <c r="CN40" s="14" t="n">
        <f aca="false">IF(AND(CE40=1,CJ40=1,BT40&lt;&gt;""),BT40,IF(AND(CE40&lt;&gt;0,CE40/RIGHT($CE$1,1)&gt;=0.5,CJ40=CE40),MAX(BV40:CC40),IF(AND(CF40&lt;&gt;0,CF40/RIGHT($CF$1,1)&gt;=0.5,CJ40=CF40),MAX(BV40:CC40),IF(AND(CG40&lt;&gt;0,CG40/RIGHT($CG$1,2)&gt;=0.5,CJ40=CG40),MAX(BV40:CC40),IF(AND(CH40&lt;&gt;0,CH40/RIGHT($CH$1,2)&gt;=0.5,CJ40=CH40),MAX(BV40:CC40),IF(AND(CI40&lt;&gt;0,CI40/RIGHT($CI$1,2)&gt;=0.5,CJ40=CI40),MAX(BV40:CC40),IF(AND(CE40=0,CF40=0,CG40=0,CH40=0),0,IF(CJ40/RIGHT($CJ$1,2)&lt;0.5,ROUND(BU40/RIGHT($CJ$1,2),0),MAX(BV40:CC40)))))))))</f>
        <v>150</v>
      </c>
      <c r="CO40" s="14" t="n">
        <f aca="false">CN40*3</f>
        <v>450</v>
      </c>
      <c r="CP40" s="15" t="n">
        <v>330</v>
      </c>
      <c r="CQ40" s="16" t="n">
        <f aca="false">IF((CO40-CP40)&lt;0,0,(CO40-CP40))</f>
        <v>120</v>
      </c>
      <c r="CR40" s="7"/>
    </row>
    <row r="41" customFormat="false" ht="12.75" hidden="false" customHeight="true" outlineLevel="0" collapsed="false">
      <c r="A41" s="7" t="s">
        <v>95</v>
      </c>
      <c r="B41" s="7" t="s">
        <v>135</v>
      </c>
      <c r="C41" s="8" t="n">
        <v>303002004</v>
      </c>
      <c r="D41" s="9"/>
      <c r="E41" s="9" t="n">
        <v>240</v>
      </c>
      <c r="F41" s="9" t="n">
        <v>120</v>
      </c>
      <c r="G41" s="9" t="n">
        <v>60</v>
      </c>
      <c r="H41" s="9"/>
      <c r="I41" s="9" t="n">
        <v>120</v>
      </c>
      <c r="J41" s="9" t="n">
        <v>210</v>
      </c>
      <c r="K41" s="9" t="n">
        <v>120</v>
      </c>
      <c r="L41" s="9" t="n">
        <v>90</v>
      </c>
      <c r="M41" s="9" t="n">
        <v>90</v>
      </c>
      <c r="N41" s="9" t="n">
        <v>150</v>
      </c>
      <c r="O41" s="9"/>
      <c r="P41" s="9" t="n">
        <v>150</v>
      </c>
      <c r="Q41" s="9"/>
      <c r="R41" s="9" t="n">
        <v>30</v>
      </c>
      <c r="S41" s="9" t="n">
        <v>210</v>
      </c>
      <c r="T41" s="9"/>
      <c r="U41" s="9" t="n">
        <v>90</v>
      </c>
      <c r="V41" s="9" t="n">
        <v>30</v>
      </c>
      <c r="W41" s="9" t="n">
        <v>120</v>
      </c>
      <c r="X41" s="9" t="n">
        <v>90</v>
      </c>
      <c r="Y41" s="9" t="n">
        <v>180</v>
      </c>
      <c r="Z41" s="9" t="n">
        <v>60</v>
      </c>
      <c r="AA41" s="9" t="n">
        <v>60</v>
      </c>
      <c r="AB41" s="9" t="n">
        <v>60</v>
      </c>
      <c r="AC41" s="9" t="n">
        <v>150</v>
      </c>
      <c r="AD41" s="9" t="n">
        <v>90</v>
      </c>
      <c r="AE41" s="9" t="n">
        <v>60</v>
      </c>
      <c r="AF41" s="9" t="n">
        <v>120</v>
      </c>
      <c r="AG41" s="9" t="n">
        <v>60</v>
      </c>
      <c r="AH41" s="9" t="n">
        <v>180</v>
      </c>
      <c r="AI41" s="9"/>
      <c r="AJ41" s="9" t="n">
        <v>210</v>
      </c>
      <c r="AK41" s="9"/>
      <c r="AL41" s="9" t="n">
        <v>60</v>
      </c>
      <c r="AM41" s="9" t="n">
        <v>90</v>
      </c>
      <c r="AN41" s="9" t="n">
        <v>90</v>
      </c>
      <c r="AO41" s="9" t="n">
        <v>180</v>
      </c>
      <c r="AP41" s="9" t="n">
        <v>60</v>
      </c>
      <c r="AQ41" s="9" t="n">
        <v>150</v>
      </c>
      <c r="AR41" s="9" t="n">
        <v>60</v>
      </c>
      <c r="AS41" s="9" t="n">
        <v>180</v>
      </c>
      <c r="AT41" s="9" t="n">
        <v>120</v>
      </c>
      <c r="AU41" s="9" t="n">
        <v>30</v>
      </c>
      <c r="AV41" s="9" t="n">
        <v>30</v>
      </c>
      <c r="AW41" s="9" t="n">
        <v>60</v>
      </c>
      <c r="AX41" s="9" t="n">
        <v>270</v>
      </c>
      <c r="AY41" s="9" t="n">
        <v>30</v>
      </c>
      <c r="AZ41" s="9" t="n">
        <v>60</v>
      </c>
      <c r="BA41" s="9" t="n">
        <v>60</v>
      </c>
      <c r="BB41" s="9" t="n">
        <v>240</v>
      </c>
      <c r="BC41" s="9" t="n">
        <v>180</v>
      </c>
      <c r="BD41" s="9"/>
      <c r="BE41" s="9" t="n">
        <v>150</v>
      </c>
      <c r="BF41" s="9" t="n">
        <v>120</v>
      </c>
      <c r="BG41" s="9" t="n">
        <v>60</v>
      </c>
      <c r="BH41" s="9" t="n">
        <v>120</v>
      </c>
      <c r="BI41" s="9" t="n">
        <v>90</v>
      </c>
      <c r="BJ41" s="9" t="n">
        <v>300</v>
      </c>
      <c r="BK41" s="9" t="n">
        <v>120</v>
      </c>
      <c r="BL41" s="9" t="n">
        <v>270</v>
      </c>
      <c r="BM41" s="9" t="n">
        <v>60</v>
      </c>
      <c r="BN41" s="9" t="n">
        <v>120</v>
      </c>
      <c r="BO41" s="9" t="n">
        <v>150</v>
      </c>
      <c r="BP41" s="9" t="n">
        <v>240</v>
      </c>
      <c r="BQ41" s="9" t="n">
        <v>150</v>
      </c>
      <c r="BR41" s="9" t="n">
        <v>30</v>
      </c>
      <c r="BS41" s="9" t="n">
        <v>180</v>
      </c>
      <c r="BT41" s="9" t="n">
        <v>240</v>
      </c>
      <c r="BU41" s="10" t="n">
        <v>7500</v>
      </c>
      <c r="BV41" s="11" t="n">
        <f aca="false">IF(ISERROR(ROUND(MEDIAN(BQ41:BT41),0)),0,ROUND(MEDIAN(BQ41:BT41),0))</f>
        <v>165</v>
      </c>
      <c r="BW41" s="11" t="n">
        <f aca="false">IF(ISERROR(ROUND(MEDIAN(BM41:BT41),0)),0,ROUND(MEDIAN(BM41:BT41),0))</f>
        <v>150</v>
      </c>
      <c r="BX41" s="11" t="n">
        <f aca="false">IF(ISERROR(ROUND(MEDIAN(BI41:BT41),0)),0,ROUND(MEDIAN(BI41:BT41),0))</f>
        <v>150</v>
      </c>
      <c r="BY41" s="11" t="n">
        <f aca="false">IF(ISERROR(ROUND(MEDIAN(BE41:BT41),0)),0,ROUND(MEDIAN(BE41:BT41),0))</f>
        <v>135</v>
      </c>
      <c r="BZ41" s="11" t="n">
        <f aca="false">IF(ISERROR(ROUND(MEDIAN(AU41:BT41),0)),0,ROUND(MEDIAN(AU41:BT41),0))</f>
        <v>120</v>
      </c>
      <c r="CA41" s="12" t="n">
        <f aca="false">IF(ISERROR(ROUND(MEDIAN(U41:BT41),0)),0,ROUND(MEDIAN(U41:BT41),0))</f>
        <v>120</v>
      </c>
      <c r="CB41" s="12" t="n">
        <f aca="false">IF(ISERROR(ROUND(MEDIAN(BT41),0)),0,ROUND(MEDIAN(BT41),0))</f>
        <v>240</v>
      </c>
      <c r="CC41" s="12" t="n">
        <f aca="false">IF(ISERROR(ROUND(MEDIAN(D41:BT41),0)),0,ROUND(MEDIAN(D41:BT41),0))</f>
        <v>120</v>
      </c>
      <c r="CD41" s="12" t="n">
        <f aca="false">MAX(D41:BT41)</f>
        <v>300</v>
      </c>
      <c r="CE41" s="7" t="n">
        <f aca="false">COUNTA(BQ41:BT41)</f>
        <v>4</v>
      </c>
      <c r="CF41" s="7" t="n">
        <f aca="false">COUNTA(BM41:BT41)</f>
        <v>8</v>
      </c>
      <c r="CG41" s="7" t="n">
        <f aca="false">COUNTA(BI41:BT41)</f>
        <v>12</v>
      </c>
      <c r="CH41" s="7" t="n">
        <f aca="false">COUNTA(BE41:BT41)</f>
        <v>16</v>
      </c>
      <c r="CI41" s="7" t="n">
        <f aca="false">COUNTA(AU41:BT41)</f>
        <v>25</v>
      </c>
      <c r="CJ41" s="7" t="n">
        <f aca="false">COUNTA(U41:BT41)</f>
        <v>49</v>
      </c>
      <c r="CK41" s="7" t="n">
        <f aca="false">COUNTA(BT41)</f>
        <v>1</v>
      </c>
      <c r="CL41" s="7" t="n">
        <f aca="false">COUNTA(D41:BT41)</f>
        <v>61</v>
      </c>
      <c r="CM41" s="13" t="str">
        <f aca="false">IF(AND(CE41=1,CJ41=1,BT41&lt;&gt;""),"5.ENTRANTES",IF(AND(CE41&lt;&gt;0,CE41/RIGHT($CE$1,1)&gt;=0.5,CJ41=CE41),"4.RECENTES",IF(AND(CF41&lt;&gt;0,CF41/RIGHT($CF$1,1)&gt;=0.5,CJ41=CF41),"4.RECENTES",IF(AND(CG41&lt;&gt;0,CG41/RIGHT($CG$1,2)&gt;=0.5,CJ41=CG41),"4.RECENTES",IF(AND(CH41&lt;&gt;0,CH41/RIGHT($CH$1,2)&gt;=0.5,CJ41=CH41),"4.RECENTES",IF(AND(CI41&lt;&gt;0,CI41/RIGHT($CI$1,2)&gt;=0.5,CJ41=CI41),"4.RECENTES",IF(AND(CE41=0,CF41=0,CG41=0,CH41=0),"3.INATIVOS",IF(CJ41/RIGHT($CJ$1,2)&lt;0.5,"2.INTERMITENTES","1.ORDINÁRIOS"))))))))</f>
        <v>1.ORDINÁRIOS</v>
      </c>
      <c r="CN41" s="14" t="n">
        <f aca="false">IF(AND(CE41=1,CJ41=1,BT41&lt;&gt;""),BT41,IF(AND(CE41&lt;&gt;0,CE41/RIGHT($CE$1,1)&gt;=0.5,CJ41=CE41),MAX(BV41:CC41),IF(AND(CF41&lt;&gt;0,CF41/RIGHT($CF$1,1)&gt;=0.5,CJ41=CF41),MAX(BV41:CC41),IF(AND(CG41&lt;&gt;0,CG41/RIGHT($CG$1,2)&gt;=0.5,CJ41=CG41),MAX(BV41:CC41),IF(AND(CH41&lt;&gt;0,CH41/RIGHT($CH$1,2)&gt;=0.5,CJ41=CH41),MAX(BV41:CC41),IF(AND(CI41&lt;&gt;0,CI41/RIGHT($CI$1,2)&gt;=0.5,CJ41=CI41),MAX(BV41:CC41),IF(AND(CE41=0,CF41=0,CG41=0,CH41=0),0,IF(CJ41/RIGHT($CJ$1,2)&lt;0.5,ROUND(BU41/RIGHT($CJ$1,2),0),MAX(BV41:CC41)))))))))</f>
        <v>240</v>
      </c>
      <c r="CO41" s="14" t="n">
        <f aca="false">CN41*3</f>
        <v>720</v>
      </c>
      <c r="CP41" s="15" t="n">
        <v>390</v>
      </c>
      <c r="CQ41" s="16" t="n">
        <f aca="false">IF((CO41-CP41)&lt;0,0,(CO41-CP41))</f>
        <v>330</v>
      </c>
      <c r="CR41" s="7"/>
    </row>
    <row r="42" customFormat="false" ht="12.75" hidden="false" customHeight="true" outlineLevel="0" collapsed="false">
      <c r="A42" s="7" t="s">
        <v>95</v>
      </c>
      <c r="B42" s="7" t="s">
        <v>136</v>
      </c>
      <c r="C42" s="8" t="n">
        <v>2000010</v>
      </c>
      <c r="D42" s="9" t="n">
        <v>57</v>
      </c>
      <c r="E42" s="9"/>
      <c r="F42" s="9"/>
      <c r="G42" s="9"/>
      <c r="H42" s="9"/>
      <c r="I42" s="9"/>
      <c r="J42" s="9"/>
      <c r="K42" s="9"/>
      <c r="L42" s="9" t="n">
        <v>168</v>
      </c>
      <c r="M42" s="9" t="n">
        <v>396</v>
      </c>
      <c r="N42" s="9" t="n">
        <v>352</v>
      </c>
      <c r="O42" s="9" t="n">
        <v>470</v>
      </c>
      <c r="P42" s="9" t="n">
        <v>208</v>
      </c>
      <c r="Q42" s="9" t="n">
        <v>424</v>
      </c>
      <c r="R42" s="9" t="n">
        <v>256</v>
      </c>
      <c r="S42" s="9" t="n">
        <v>480</v>
      </c>
      <c r="T42" s="9" t="n">
        <v>344</v>
      </c>
      <c r="U42" s="9" t="n">
        <v>440</v>
      </c>
      <c r="V42" s="9" t="n">
        <v>248</v>
      </c>
      <c r="W42" s="9" t="n">
        <v>368</v>
      </c>
      <c r="X42" s="9" t="n">
        <v>364</v>
      </c>
      <c r="Y42" s="9" t="n">
        <v>616</v>
      </c>
      <c r="Z42" s="9" t="n">
        <v>328</v>
      </c>
      <c r="AA42" s="9" t="n">
        <v>672</v>
      </c>
      <c r="AB42" s="9" t="n">
        <v>552</v>
      </c>
      <c r="AC42" s="9" t="n">
        <v>552</v>
      </c>
      <c r="AD42" s="9" t="n">
        <v>536</v>
      </c>
      <c r="AE42" s="9" t="n">
        <v>496</v>
      </c>
      <c r="AF42" s="9" t="n">
        <v>256</v>
      </c>
      <c r="AG42" s="9" t="n">
        <v>692</v>
      </c>
      <c r="AH42" s="9" t="n">
        <v>392</v>
      </c>
      <c r="AI42" s="9" t="n">
        <v>699</v>
      </c>
      <c r="AJ42" s="9" t="n">
        <v>472</v>
      </c>
      <c r="AK42" s="9" t="n">
        <v>594</v>
      </c>
      <c r="AL42" s="9" t="n">
        <v>290</v>
      </c>
      <c r="AM42" s="9" t="n">
        <v>690</v>
      </c>
      <c r="AN42" s="9" t="n">
        <v>580</v>
      </c>
      <c r="AO42" s="9" t="n">
        <v>330</v>
      </c>
      <c r="AP42" s="9" t="n">
        <v>360</v>
      </c>
      <c r="AQ42" s="9" t="n">
        <v>456</v>
      </c>
      <c r="AR42" s="9" t="n">
        <v>510</v>
      </c>
      <c r="AS42" s="9" t="n">
        <v>501</v>
      </c>
      <c r="AT42" s="9" t="n">
        <v>380</v>
      </c>
      <c r="AU42" s="9" t="n">
        <v>160</v>
      </c>
      <c r="AV42" s="9" t="n">
        <v>282</v>
      </c>
      <c r="AW42" s="9" t="n">
        <v>410</v>
      </c>
      <c r="AX42" s="9" t="n">
        <v>350</v>
      </c>
      <c r="AY42" s="9" t="n">
        <v>408</v>
      </c>
      <c r="AZ42" s="9" t="n">
        <v>250</v>
      </c>
      <c r="BA42" s="9" t="n">
        <v>224</v>
      </c>
      <c r="BB42" s="9" t="n">
        <v>390</v>
      </c>
      <c r="BC42" s="9" t="n">
        <v>410</v>
      </c>
      <c r="BD42" s="9" t="n">
        <v>290</v>
      </c>
      <c r="BE42" s="9" t="n">
        <v>420</v>
      </c>
      <c r="BF42" s="9" t="n">
        <v>530</v>
      </c>
      <c r="BG42" s="9" t="n">
        <v>304</v>
      </c>
      <c r="BH42" s="9" t="n">
        <v>310</v>
      </c>
      <c r="BI42" s="9" t="n">
        <v>390</v>
      </c>
      <c r="BJ42" s="9" t="n">
        <v>322</v>
      </c>
      <c r="BK42" s="9" t="n">
        <v>390</v>
      </c>
      <c r="BL42" s="9" t="n">
        <v>436</v>
      </c>
      <c r="BM42" s="9" t="n">
        <v>234</v>
      </c>
      <c r="BN42" s="9" t="n">
        <v>350</v>
      </c>
      <c r="BO42" s="9" t="n">
        <v>386</v>
      </c>
      <c r="BP42" s="9" t="n">
        <v>478</v>
      </c>
      <c r="BQ42" s="9" t="n">
        <v>260</v>
      </c>
      <c r="BR42" s="9" t="n">
        <v>370</v>
      </c>
      <c r="BS42" s="9" t="n">
        <v>420</v>
      </c>
      <c r="BT42" s="9" t="n">
        <v>210</v>
      </c>
      <c r="BU42" s="10" t="n">
        <v>24513</v>
      </c>
      <c r="BV42" s="11" t="n">
        <f aca="false">IF(ISERROR(ROUND(MEDIAN(BQ42:BT42),0)),0,ROUND(MEDIAN(BQ42:BT42),0))</f>
        <v>315</v>
      </c>
      <c r="BW42" s="11" t="n">
        <f aca="false">IF(ISERROR(ROUND(MEDIAN(BM42:BT42),0)),0,ROUND(MEDIAN(BM42:BT42),0))</f>
        <v>360</v>
      </c>
      <c r="BX42" s="11" t="n">
        <f aca="false">IF(ISERROR(ROUND(MEDIAN(BI42:BT42),0)),0,ROUND(MEDIAN(BI42:BT42),0))</f>
        <v>378</v>
      </c>
      <c r="BY42" s="11" t="n">
        <f aca="false">IF(ISERROR(ROUND(MEDIAN(BE42:BT42),0)),0,ROUND(MEDIAN(BE42:BT42),0))</f>
        <v>378</v>
      </c>
      <c r="BZ42" s="11" t="n">
        <f aca="false">IF(ISERROR(ROUND(MEDIAN(AU42:BT42),0)),0,ROUND(MEDIAN(AU42:BT42),0))</f>
        <v>360</v>
      </c>
      <c r="CA42" s="12" t="n">
        <f aca="false">IF(ISERROR(ROUND(MEDIAN(U42:BT42),0)),0,ROUND(MEDIAN(U42:BT42),0))</f>
        <v>390</v>
      </c>
      <c r="CB42" s="12" t="n">
        <f aca="false">IF(ISERROR(ROUND(MEDIAN(BT42),0)),0,ROUND(MEDIAN(BT42),0))</f>
        <v>210</v>
      </c>
      <c r="CC42" s="12" t="n">
        <f aca="false">IF(ISERROR(ROUND(MEDIAN(D42:BT42),0)),0,ROUND(MEDIAN(D42:BT42),0))</f>
        <v>390</v>
      </c>
      <c r="CD42" s="12" t="n">
        <f aca="false">MAX(D42:BT42)</f>
        <v>699</v>
      </c>
      <c r="CE42" s="7" t="n">
        <f aca="false">COUNTA(BQ42:BT42)</f>
        <v>4</v>
      </c>
      <c r="CF42" s="7" t="n">
        <f aca="false">COUNTA(BM42:BT42)</f>
        <v>8</v>
      </c>
      <c r="CG42" s="7" t="n">
        <f aca="false">COUNTA(BI42:BT42)</f>
        <v>12</v>
      </c>
      <c r="CH42" s="7" t="n">
        <f aca="false">COUNTA(BE42:BT42)</f>
        <v>16</v>
      </c>
      <c r="CI42" s="7" t="n">
        <f aca="false">COUNTA(AU42:BT42)</f>
        <v>26</v>
      </c>
      <c r="CJ42" s="7" t="n">
        <f aca="false">COUNTA(U42:BT42)</f>
        <v>52</v>
      </c>
      <c r="CK42" s="7" t="n">
        <f aca="false">COUNTA(BT42)</f>
        <v>1</v>
      </c>
      <c r="CL42" s="7" t="n">
        <f aca="false">COUNTA(D42:BT42)</f>
        <v>62</v>
      </c>
      <c r="CM42" s="13" t="str">
        <f aca="false">IF(AND(CE42=1,CJ42=1,BT42&lt;&gt;""),"5.ENTRANTES",IF(AND(CE42&lt;&gt;0,CE42/RIGHT($CE$1,1)&gt;=0.5,CJ42=CE42),"4.RECENTES",IF(AND(CF42&lt;&gt;0,CF42/RIGHT($CF$1,1)&gt;=0.5,CJ42=CF42),"4.RECENTES",IF(AND(CG42&lt;&gt;0,CG42/RIGHT($CG$1,2)&gt;=0.5,CJ42=CG42),"4.RECENTES",IF(AND(CH42&lt;&gt;0,CH42/RIGHT($CH$1,2)&gt;=0.5,CJ42=CH42),"4.RECENTES",IF(AND(CI42&lt;&gt;0,CI42/RIGHT($CI$1,2)&gt;=0.5,CJ42=CI42),"4.RECENTES",IF(AND(CE42=0,CF42=0,CG42=0,CH42=0),"3.INATIVOS",IF(CJ42/RIGHT($CJ$1,2)&lt;0.5,"2.INTERMITENTES","1.ORDINÁRIOS"))))))))</f>
        <v>1.ORDINÁRIOS</v>
      </c>
      <c r="CN42" s="14" t="n">
        <f aca="false">IF(AND(CE42=1,CJ42=1,BT42&lt;&gt;""),BT42,IF(AND(CE42&lt;&gt;0,CE42/RIGHT($CE$1,1)&gt;=0.5,CJ42=CE42),MAX(BV42:CC42),IF(AND(CF42&lt;&gt;0,CF42/RIGHT($CF$1,1)&gt;=0.5,CJ42=CF42),MAX(BV42:CC42),IF(AND(CG42&lt;&gt;0,CG42/RIGHT($CG$1,2)&gt;=0.5,CJ42=CG42),MAX(BV42:CC42),IF(AND(CH42&lt;&gt;0,CH42/RIGHT($CH$1,2)&gt;=0.5,CJ42=CH42),MAX(BV42:CC42),IF(AND(CI42&lt;&gt;0,CI42/RIGHT($CI$1,2)&gt;=0.5,CJ42=CI42),MAX(BV42:CC42),IF(AND(CE42=0,CF42=0,CG42=0,CH42=0),0,IF(CJ42/RIGHT($CJ$1,2)&lt;0.5,ROUND(BU42/RIGHT($CJ$1,2),0),MAX(BV42:CC42)))))))))</f>
        <v>390</v>
      </c>
      <c r="CO42" s="14" t="n">
        <f aca="false">CN42*3</f>
        <v>1170</v>
      </c>
      <c r="CP42" s="15" t="n">
        <v>682</v>
      </c>
      <c r="CQ42" s="16" t="n">
        <f aca="false">IF((CO42-CP42)&lt;0,0,(CO42-CP42))</f>
        <v>488</v>
      </c>
      <c r="CR42" s="7"/>
    </row>
    <row r="43" customFormat="false" ht="12.75" hidden="false" customHeight="true" outlineLevel="0" collapsed="false">
      <c r="A43" s="7" t="s">
        <v>95</v>
      </c>
      <c r="B43" s="7" t="s">
        <v>137</v>
      </c>
      <c r="C43" s="8" t="n">
        <v>2000011</v>
      </c>
      <c r="D43" s="9"/>
      <c r="E43" s="9" t="n">
        <v>7</v>
      </c>
      <c r="F43" s="9" t="n">
        <v>6</v>
      </c>
      <c r="G43" s="9" t="n">
        <v>19</v>
      </c>
      <c r="H43" s="9" t="n">
        <v>10</v>
      </c>
      <c r="I43" s="9" t="n">
        <v>3</v>
      </c>
      <c r="J43" s="9" t="n">
        <v>19</v>
      </c>
      <c r="K43" s="9" t="n">
        <v>20</v>
      </c>
      <c r="L43" s="9" t="n">
        <v>8</v>
      </c>
      <c r="M43" s="9" t="n">
        <v>2</v>
      </c>
      <c r="N43" s="9" t="n">
        <v>2</v>
      </c>
      <c r="O43" s="9" t="n">
        <v>6</v>
      </c>
      <c r="P43" s="9" t="n">
        <v>2</v>
      </c>
      <c r="Q43" s="9"/>
      <c r="R43" s="9" t="n">
        <v>5</v>
      </c>
      <c r="S43" s="9" t="n">
        <v>6</v>
      </c>
      <c r="T43" s="9" t="n">
        <v>4</v>
      </c>
      <c r="U43" s="9" t="n">
        <v>5</v>
      </c>
      <c r="V43" s="9" t="n">
        <v>4</v>
      </c>
      <c r="W43" s="9" t="n">
        <v>6</v>
      </c>
      <c r="X43" s="9"/>
      <c r="Y43" s="9" t="n">
        <v>4</v>
      </c>
      <c r="Z43" s="9" t="n">
        <v>1</v>
      </c>
      <c r="AA43" s="9" t="n">
        <v>2</v>
      </c>
      <c r="AB43" s="9" t="n">
        <v>8</v>
      </c>
      <c r="AC43" s="9" t="n">
        <v>7</v>
      </c>
      <c r="AD43" s="9" t="n">
        <v>3</v>
      </c>
      <c r="AE43" s="9" t="n">
        <v>4</v>
      </c>
      <c r="AF43" s="9" t="n">
        <v>4</v>
      </c>
      <c r="AG43" s="9" t="n">
        <v>11</v>
      </c>
      <c r="AH43" s="9" t="n">
        <v>5</v>
      </c>
      <c r="AI43" s="9" t="n">
        <v>2</v>
      </c>
      <c r="AJ43" s="9" t="n">
        <v>6</v>
      </c>
      <c r="AK43" s="9" t="n">
        <v>2</v>
      </c>
      <c r="AL43" s="9" t="n">
        <v>5</v>
      </c>
      <c r="AM43" s="9" t="n">
        <v>2</v>
      </c>
      <c r="AN43" s="9" t="n">
        <v>8</v>
      </c>
      <c r="AO43" s="9"/>
      <c r="AP43" s="9" t="n">
        <v>4</v>
      </c>
      <c r="AQ43" s="9" t="n">
        <v>2</v>
      </c>
      <c r="AR43" s="9" t="n">
        <v>3</v>
      </c>
      <c r="AS43" s="9" t="n">
        <v>4</v>
      </c>
      <c r="AT43" s="9" t="n">
        <v>3</v>
      </c>
      <c r="AU43" s="9" t="n">
        <v>3</v>
      </c>
      <c r="AV43" s="9"/>
      <c r="AW43" s="9" t="n">
        <v>5</v>
      </c>
      <c r="AX43" s="9" t="n">
        <v>3</v>
      </c>
      <c r="AY43" s="9" t="n">
        <v>2</v>
      </c>
      <c r="AZ43" s="9" t="n">
        <v>4</v>
      </c>
      <c r="BA43" s="9" t="n">
        <v>7</v>
      </c>
      <c r="BB43" s="9"/>
      <c r="BC43" s="9" t="n">
        <v>2</v>
      </c>
      <c r="BD43" s="9" t="n">
        <v>5</v>
      </c>
      <c r="BE43" s="9" t="n">
        <v>7</v>
      </c>
      <c r="BF43" s="9"/>
      <c r="BG43" s="9" t="n">
        <v>11</v>
      </c>
      <c r="BH43" s="9" t="n">
        <v>4</v>
      </c>
      <c r="BI43" s="9" t="n">
        <v>30</v>
      </c>
      <c r="BJ43" s="9" t="n">
        <v>8</v>
      </c>
      <c r="BK43" s="9" t="n">
        <v>1</v>
      </c>
      <c r="BL43" s="9" t="n">
        <v>3</v>
      </c>
      <c r="BM43" s="9" t="n">
        <v>5</v>
      </c>
      <c r="BN43" s="9" t="n">
        <v>4</v>
      </c>
      <c r="BO43" s="9" t="n">
        <v>12</v>
      </c>
      <c r="BP43" s="9" t="n">
        <v>3</v>
      </c>
      <c r="BQ43" s="9" t="n">
        <v>7</v>
      </c>
      <c r="BR43" s="9" t="n">
        <v>9</v>
      </c>
      <c r="BS43" s="9"/>
      <c r="BT43" s="9" t="n">
        <v>6</v>
      </c>
      <c r="BU43" s="10" t="n">
        <v>365</v>
      </c>
      <c r="BV43" s="11" t="n">
        <f aca="false">IF(ISERROR(ROUND(MEDIAN(BQ43:BT43),0)),0,ROUND(MEDIAN(BQ43:BT43),0))</f>
        <v>7</v>
      </c>
      <c r="BW43" s="11" t="n">
        <f aca="false">IF(ISERROR(ROUND(MEDIAN(BM43:BT43),0)),0,ROUND(MEDIAN(BM43:BT43),0))</f>
        <v>6</v>
      </c>
      <c r="BX43" s="11" t="n">
        <f aca="false">IF(ISERROR(ROUND(MEDIAN(BI43:BT43),0)),0,ROUND(MEDIAN(BI43:BT43),0))</f>
        <v>6</v>
      </c>
      <c r="BY43" s="11" t="n">
        <f aca="false">IF(ISERROR(ROUND(MEDIAN(BE43:BT43),0)),0,ROUND(MEDIAN(BE43:BT43),0))</f>
        <v>7</v>
      </c>
      <c r="BZ43" s="11" t="n">
        <f aca="false">IF(ISERROR(ROUND(MEDIAN(AU43:BT43),0)),0,ROUND(MEDIAN(AU43:BT43),0))</f>
        <v>5</v>
      </c>
      <c r="CA43" s="12" t="n">
        <f aca="false">IF(ISERROR(ROUND(MEDIAN(U43:BT43),0)),0,ROUND(MEDIAN(U43:BT43),0))</f>
        <v>4</v>
      </c>
      <c r="CB43" s="12" t="n">
        <f aca="false">IF(ISERROR(ROUND(MEDIAN(BT43),0)),0,ROUND(MEDIAN(BT43),0))</f>
        <v>6</v>
      </c>
      <c r="CC43" s="12" t="n">
        <f aca="false">IF(ISERROR(ROUND(MEDIAN(D43:BT43),0)),0,ROUND(MEDIAN(D43:BT43),0))</f>
        <v>5</v>
      </c>
      <c r="CD43" s="12" t="n">
        <f aca="false">MAX(D43:BT43)</f>
        <v>30</v>
      </c>
      <c r="CE43" s="7" t="n">
        <f aca="false">COUNTA(BQ43:BT43)</f>
        <v>3</v>
      </c>
      <c r="CF43" s="7" t="n">
        <f aca="false">COUNTA(BM43:BT43)</f>
        <v>7</v>
      </c>
      <c r="CG43" s="7" t="n">
        <f aca="false">COUNTA(BI43:BT43)</f>
        <v>11</v>
      </c>
      <c r="CH43" s="7" t="n">
        <f aca="false">COUNTA(BE43:BT43)</f>
        <v>14</v>
      </c>
      <c r="CI43" s="7" t="n">
        <f aca="false">COUNTA(AU43:BT43)</f>
        <v>22</v>
      </c>
      <c r="CJ43" s="7" t="n">
        <f aca="false">COUNTA(U43:BT43)</f>
        <v>46</v>
      </c>
      <c r="CK43" s="7" t="n">
        <f aca="false">COUNTA(BT43)</f>
        <v>1</v>
      </c>
      <c r="CL43" s="7" t="n">
        <f aca="false">COUNTA(D43:BT43)</f>
        <v>61</v>
      </c>
      <c r="CM43" s="13" t="str">
        <f aca="false">IF(AND(CE43=1,CJ43=1,BT43&lt;&gt;""),"5.ENTRANTES",IF(AND(CE43&lt;&gt;0,CE43/RIGHT($CE$1,1)&gt;=0.5,CJ43=CE43),"4.RECENTES",IF(AND(CF43&lt;&gt;0,CF43/RIGHT($CF$1,1)&gt;=0.5,CJ43=CF43),"4.RECENTES",IF(AND(CG43&lt;&gt;0,CG43/RIGHT($CG$1,2)&gt;=0.5,CJ43=CG43),"4.RECENTES",IF(AND(CH43&lt;&gt;0,CH43/RIGHT($CH$1,2)&gt;=0.5,CJ43=CH43),"4.RECENTES",IF(AND(CI43&lt;&gt;0,CI43/RIGHT($CI$1,2)&gt;=0.5,CJ43=CI43),"4.RECENTES",IF(AND(CE43=0,CF43=0,CG43=0,CH43=0),"3.INATIVOS",IF(CJ43/RIGHT($CJ$1,2)&lt;0.5,"2.INTERMITENTES","1.ORDINÁRIOS"))))))))</f>
        <v>1.ORDINÁRIOS</v>
      </c>
      <c r="CN43" s="14" t="n">
        <f aca="false">IF(AND(CE43=1,CJ43=1,BT43&lt;&gt;""),BT43,IF(AND(CE43&lt;&gt;0,CE43/RIGHT($CE$1,1)&gt;=0.5,CJ43=CE43),MAX(BV43:CC43),IF(AND(CF43&lt;&gt;0,CF43/RIGHT($CF$1,1)&gt;=0.5,CJ43=CF43),MAX(BV43:CC43),IF(AND(CG43&lt;&gt;0,CG43/RIGHT($CG$1,2)&gt;=0.5,CJ43=CG43),MAX(BV43:CC43),IF(AND(CH43&lt;&gt;0,CH43/RIGHT($CH$1,2)&gt;=0.5,CJ43=CH43),MAX(BV43:CC43),IF(AND(CI43&lt;&gt;0,CI43/RIGHT($CI$1,2)&gt;=0.5,CJ43=CI43),MAX(BV43:CC43),IF(AND(CE43=0,CF43=0,CG43=0,CH43=0),0,IF(CJ43/RIGHT($CJ$1,2)&lt;0.5,ROUND(BU43/RIGHT($CJ$1,2),0),MAX(BV43:CC43)))))))))</f>
        <v>7</v>
      </c>
      <c r="CO43" s="14" t="n">
        <f aca="false">CN43*3</f>
        <v>21</v>
      </c>
      <c r="CP43" s="15" t="n">
        <v>14</v>
      </c>
      <c r="CQ43" s="16" t="n">
        <f aca="false">IF((CO43-CP43)&lt;0,0,(CO43-CP43))</f>
        <v>7</v>
      </c>
      <c r="CR43" s="7"/>
    </row>
    <row r="44" customFormat="false" ht="12.75" hidden="false" customHeight="true" outlineLevel="0" collapsed="false">
      <c r="A44" s="7" t="s">
        <v>95</v>
      </c>
      <c r="B44" s="7" t="s">
        <v>138</v>
      </c>
      <c r="C44" s="8" t="n">
        <v>22001012</v>
      </c>
      <c r="D44" s="9" t="n">
        <v>20</v>
      </c>
      <c r="E44" s="9" t="n">
        <v>85</v>
      </c>
      <c r="F44" s="9" t="n">
        <v>53</v>
      </c>
      <c r="G44" s="9" t="n">
        <v>63</v>
      </c>
      <c r="H44" s="9" t="n">
        <v>44</v>
      </c>
      <c r="I44" s="9" t="n">
        <v>107</v>
      </c>
      <c r="J44" s="9" t="n">
        <v>80</v>
      </c>
      <c r="K44" s="9" t="n">
        <v>23</v>
      </c>
      <c r="L44" s="9" t="n">
        <v>154</v>
      </c>
      <c r="M44" s="9" t="n">
        <v>1</v>
      </c>
      <c r="N44" s="9" t="n">
        <v>53</v>
      </c>
      <c r="O44" s="9" t="n">
        <v>67</v>
      </c>
      <c r="P44" s="9" t="n">
        <v>65</v>
      </c>
      <c r="Q44" s="9" t="n">
        <v>45</v>
      </c>
      <c r="R44" s="9" t="n">
        <v>43</v>
      </c>
      <c r="S44" s="9" t="n">
        <v>65</v>
      </c>
      <c r="T44" s="9" t="n">
        <v>67</v>
      </c>
      <c r="U44" s="9" t="n">
        <v>65</v>
      </c>
      <c r="V44" s="9" t="n">
        <v>41</v>
      </c>
      <c r="W44" s="9" t="n">
        <v>146</v>
      </c>
      <c r="X44" s="9" t="n">
        <v>71</v>
      </c>
      <c r="Y44" s="9" t="n">
        <v>38</v>
      </c>
      <c r="Z44" s="9" t="n">
        <v>56</v>
      </c>
      <c r="AA44" s="9" t="n">
        <v>40</v>
      </c>
      <c r="AB44" s="9" t="n">
        <v>84</v>
      </c>
      <c r="AC44" s="9" t="n">
        <v>19</v>
      </c>
      <c r="AD44" s="9" t="n">
        <v>56</v>
      </c>
      <c r="AE44" s="9" t="n">
        <v>17</v>
      </c>
      <c r="AF44" s="9" t="n">
        <v>14</v>
      </c>
      <c r="AG44" s="9" t="n">
        <v>152</v>
      </c>
      <c r="AH44" s="9" t="n">
        <v>101</v>
      </c>
      <c r="AI44" s="9" t="n">
        <v>144</v>
      </c>
      <c r="AJ44" s="9" t="n">
        <v>69</v>
      </c>
      <c r="AK44" s="9" t="n">
        <v>106</v>
      </c>
      <c r="AL44" s="9" t="n">
        <v>125</v>
      </c>
      <c r="AM44" s="9" t="n">
        <v>128</v>
      </c>
      <c r="AN44" s="9" t="n">
        <v>126</v>
      </c>
      <c r="AO44" s="9" t="n">
        <v>45</v>
      </c>
      <c r="AP44" s="9" t="n">
        <v>147</v>
      </c>
      <c r="AQ44" s="9" t="n">
        <v>82</v>
      </c>
      <c r="AR44" s="9" t="n">
        <v>148</v>
      </c>
      <c r="AS44" s="9" t="n">
        <v>127</v>
      </c>
      <c r="AT44" s="9" t="n">
        <v>88</v>
      </c>
      <c r="AU44" s="9" t="n">
        <v>84</v>
      </c>
      <c r="AV44" s="9" t="n">
        <v>83</v>
      </c>
      <c r="AW44" s="9" t="n">
        <v>28</v>
      </c>
      <c r="AX44" s="9" t="n">
        <v>26</v>
      </c>
      <c r="AY44" s="9" t="n">
        <v>30</v>
      </c>
      <c r="AZ44" s="9" t="n">
        <v>68</v>
      </c>
      <c r="BA44" s="9" t="n">
        <v>137</v>
      </c>
      <c r="BB44" s="9" t="n">
        <v>79</v>
      </c>
      <c r="BC44" s="9" t="n">
        <v>77</v>
      </c>
      <c r="BD44" s="9" t="n">
        <v>75</v>
      </c>
      <c r="BE44" s="9" t="n">
        <v>117</v>
      </c>
      <c r="BF44" s="9" t="n">
        <v>52</v>
      </c>
      <c r="BG44" s="9" t="n">
        <v>59</v>
      </c>
      <c r="BH44" s="9" t="n">
        <v>60</v>
      </c>
      <c r="BI44" s="9" t="n">
        <v>89</v>
      </c>
      <c r="BJ44" s="9" t="n">
        <v>62</v>
      </c>
      <c r="BK44" s="9" t="n">
        <v>116</v>
      </c>
      <c r="BL44" s="9" t="n">
        <v>83</v>
      </c>
      <c r="BM44" s="9" t="n">
        <v>38</v>
      </c>
      <c r="BN44" s="9" t="n">
        <v>35</v>
      </c>
      <c r="BO44" s="9" t="n">
        <v>124</v>
      </c>
      <c r="BP44" s="9" t="n">
        <v>92</v>
      </c>
      <c r="BQ44" s="9" t="n">
        <v>75</v>
      </c>
      <c r="BR44" s="9" t="n">
        <v>98</v>
      </c>
      <c r="BS44" s="9" t="n">
        <v>66</v>
      </c>
      <c r="BT44" s="9" t="n">
        <v>51</v>
      </c>
      <c r="BU44" s="10" t="n">
        <v>5174</v>
      </c>
      <c r="BV44" s="11" t="n">
        <f aca="false">IF(ISERROR(ROUND(MEDIAN(BQ44:BT44),0)),0,ROUND(MEDIAN(BQ44:BT44),0))</f>
        <v>71</v>
      </c>
      <c r="BW44" s="11" t="n">
        <f aca="false">IF(ISERROR(ROUND(MEDIAN(BM44:BT44),0)),0,ROUND(MEDIAN(BM44:BT44),0))</f>
        <v>71</v>
      </c>
      <c r="BX44" s="11" t="n">
        <f aca="false">IF(ISERROR(ROUND(MEDIAN(BI44:BT44),0)),0,ROUND(MEDIAN(BI44:BT44),0))</f>
        <v>79</v>
      </c>
      <c r="BY44" s="11" t="n">
        <f aca="false">IF(ISERROR(ROUND(MEDIAN(BE44:BT44),0)),0,ROUND(MEDIAN(BE44:BT44),0))</f>
        <v>71</v>
      </c>
      <c r="BZ44" s="11" t="n">
        <f aca="false">IF(ISERROR(ROUND(MEDIAN(AU44:BT44),0)),0,ROUND(MEDIAN(AU44:BT44),0))</f>
        <v>75</v>
      </c>
      <c r="CA44" s="12" t="n">
        <f aca="false">IF(ISERROR(ROUND(MEDIAN(U44:BT44),0)),0,ROUND(MEDIAN(U44:BT44),0))</f>
        <v>76</v>
      </c>
      <c r="CB44" s="12" t="n">
        <f aca="false">IF(ISERROR(ROUND(MEDIAN(BT44),0)),0,ROUND(MEDIAN(BT44),0))</f>
        <v>51</v>
      </c>
      <c r="CC44" s="12" t="n">
        <f aca="false">IF(ISERROR(ROUND(MEDIAN(D44:BT44),0)),0,ROUND(MEDIAN(D44:BT44),0))</f>
        <v>68</v>
      </c>
      <c r="CD44" s="12" t="n">
        <f aca="false">MAX(D44:BT44)</f>
        <v>154</v>
      </c>
      <c r="CE44" s="7" t="n">
        <f aca="false">COUNTA(BQ44:BT44)</f>
        <v>4</v>
      </c>
      <c r="CF44" s="7" t="n">
        <f aca="false">COUNTA(BM44:BT44)</f>
        <v>8</v>
      </c>
      <c r="CG44" s="7" t="n">
        <f aca="false">COUNTA(BI44:BT44)</f>
        <v>12</v>
      </c>
      <c r="CH44" s="7" t="n">
        <f aca="false">COUNTA(BE44:BT44)</f>
        <v>16</v>
      </c>
      <c r="CI44" s="7" t="n">
        <f aca="false">COUNTA(AU44:BT44)</f>
        <v>26</v>
      </c>
      <c r="CJ44" s="7" t="n">
        <f aca="false">COUNTA(U44:BT44)</f>
        <v>52</v>
      </c>
      <c r="CK44" s="7" t="n">
        <f aca="false">COUNTA(BT44)</f>
        <v>1</v>
      </c>
      <c r="CL44" s="7" t="n">
        <f aca="false">COUNTA(D44:BT44)</f>
        <v>69</v>
      </c>
      <c r="CM44" s="13" t="str">
        <f aca="false">IF(AND(CE44=1,CJ44=1,BT44&lt;&gt;""),"5.ENTRANTES",IF(AND(CE44&lt;&gt;0,CE44/RIGHT($CE$1,1)&gt;=0.5,CJ44=CE44),"4.RECENTES",IF(AND(CF44&lt;&gt;0,CF44/RIGHT($CF$1,1)&gt;=0.5,CJ44=CF44),"4.RECENTES",IF(AND(CG44&lt;&gt;0,CG44/RIGHT($CG$1,2)&gt;=0.5,CJ44=CG44),"4.RECENTES",IF(AND(CH44&lt;&gt;0,CH44/RIGHT($CH$1,2)&gt;=0.5,CJ44=CH44),"4.RECENTES",IF(AND(CI44&lt;&gt;0,CI44/RIGHT($CI$1,2)&gt;=0.5,CJ44=CI44),"4.RECENTES",IF(AND(CE44=0,CF44=0,CG44=0,CH44=0),"3.INATIVOS",IF(CJ44/RIGHT($CJ$1,2)&lt;0.5,"2.INTERMITENTES","1.ORDINÁRIOS"))))))))</f>
        <v>1.ORDINÁRIOS</v>
      </c>
      <c r="CN44" s="14" t="n">
        <f aca="false">IF(AND(CE44=1,CJ44=1,BT44&lt;&gt;""),BT44,IF(AND(CE44&lt;&gt;0,CE44/RIGHT($CE$1,1)&gt;=0.5,CJ44=CE44),MAX(BV44:CC44),IF(AND(CF44&lt;&gt;0,CF44/RIGHT($CF$1,1)&gt;=0.5,CJ44=CF44),MAX(BV44:CC44),IF(AND(CG44&lt;&gt;0,CG44/RIGHT($CG$1,2)&gt;=0.5,CJ44=CG44),MAX(BV44:CC44),IF(AND(CH44&lt;&gt;0,CH44/RIGHT($CH$1,2)&gt;=0.5,CJ44=CH44),MAX(BV44:CC44),IF(AND(CI44&lt;&gt;0,CI44/RIGHT($CI$1,2)&gt;=0.5,CJ44=CI44),MAX(BV44:CC44),IF(AND(CE44=0,CF44=0,CG44=0,CH44=0),0,IF(CJ44/RIGHT($CJ$1,2)&lt;0.5,ROUND(BU44/RIGHT($CJ$1,2),0),MAX(BV44:CC44)))))))))</f>
        <v>79</v>
      </c>
      <c r="CO44" s="14" t="n">
        <f aca="false">CN44*3</f>
        <v>237</v>
      </c>
      <c r="CP44" s="15" t="n">
        <v>90</v>
      </c>
      <c r="CQ44" s="16" t="n">
        <f aca="false">IF((CO44-CP44)&lt;0,0,(CO44-CP44))</f>
        <v>147</v>
      </c>
      <c r="CR44" s="7"/>
    </row>
    <row r="45" customFormat="false" ht="12.75" hidden="false" customHeight="true" outlineLevel="0" collapsed="false">
      <c r="A45" s="7" t="s">
        <v>95</v>
      </c>
      <c r="B45" s="7" t="s">
        <v>139</v>
      </c>
      <c r="C45" s="8" t="n">
        <v>21004006</v>
      </c>
      <c r="D45" s="9"/>
      <c r="E45" s="9"/>
      <c r="F45" s="9"/>
      <c r="G45" s="9"/>
      <c r="H45" s="9"/>
      <c r="I45" s="9" t="n">
        <v>1</v>
      </c>
      <c r="J45" s="9" t="n">
        <v>5</v>
      </c>
      <c r="K45" s="9" t="n">
        <v>1</v>
      </c>
      <c r="L45" s="9" t="n">
        <v>2</v>
      </c>
      <c r="M45" s="9" t="n">
        <v>2</v>
      </c>
      <c r="N45" s="9" t="n">
        <v>1</v>
      </c>
      <c r="O45" s="9" t="n">
        <v>1</v>
      </c>
      <c r="P45" s="9" t="n">
        <v>3</v>
      </c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 t="n">
        <v>1</v>
      </c>
      <c r="AK45" s="9" t="n">
        <v>1</v>
      </c>
      <c r="AL45" s="9" t="n">
        <v>5</v>
      </c>
      <c r="AM45" s="9"/>
      <c r="AN45" s="9" t="n">
        <v>2</v>
      </c>
      <c r="AO45" s="9"/>
      <c r="AP45" s="9" t="n">
        <v>1</v>
      </c>
      <c r="AQ45" s="9"/>
      <c r="AR45" s="9"/>
      <c r="AS45" s="9"/>
      <c r="AT45" s="9"/>
      <c r="AU45" s="9"/>
      <c r="AV45" s="9"/>
      <c r="AW45" s="9" t="n">
        <v>3</v>
      </c>
      <c r="AX45" s="9" t="n">
        <v>2</v>
      </c>
      <c r="AY45" s="9"/>
      <c r="AZ45" s="9" t="n">
        <v>1</v>
      </c>
      <c r="BA45" s="9"/>
      <c r="BB45" s="9"/>
      <c r="BC45" s="9"/>
      <c r="BD45" s="9"/>
      <c r="BE45" s="9" t="n">
        <v>1</v>
      </c>
      <c r="BF45" s="9" t="n">
        <v>1</v>
      </c>
      <c r="BG45" s="9" t="n">
        <v>1</v>
      </c>
      <c r="BH45" s="9"/>
      <c r="BI45" s="9"/>
      <c r="BJ45" s="9"/>
      <c r="BK45" s="9" t="n">
        <v>1</v>
      </c>
      <c r="BL45" s="9"/>
      <c r="BM45" s="9" t="n">
        <v>2</v>
      </c>
      <c r="BN45" s="9"/>
      <c r="BO45" s="9"/>
      <c r="BP45" s="9" t="n">
        <v>1</v>
      </c>
      <c r="BQ45" s="9" t="n">
        <v>1</v>
      </c>
      <c r="BR45" s="9"/>
      <c r="BS45" s="9"/>
      <c r="BT45" s="9"/>
      <c r="BU45" s="10" t="n">
        <v>40</v>
      </c>
      <c r="BV45" s="11" t="n">
        <f aca="false">IF(ISERROR(ROUND(MEDIAN(BQ45:BT45),0)),0,ROUND(MEDIAN(BQ45:BT45),0))</f>
        <v>1</v>
      </c>
      <c r="BW45" s="11" t="n">
        <f aca="false">IF(ISERROR(ROUND(MEDIAN(BM45:BT45),0)),0,ROUND(MEDIAN(BM45:BT45),0))</f>
        <v>1</v>
      </c>
      <c r="BX45" s="11" t="n">
        <f aca="false">IF(ISERROR(ROUND(MEDIAN(BI45:BT45),0)),0,ROUND(MEDIAN(BI45:BT45),0))</f>
        <v>1</v>
      </c>
      <c r="BY45" s="11" t="n">
        <f aca="false">IF(ISERROR(ROUND(MEDIAN(BE45:BT45),0)),0,ROUND(MEDIAN(BE45:BT45),0))</f>
        <v>1</v>
      </c>
      <c r="BZ45" s="11" t="n">
        <f aca="false">IF(ISERROR(ROUND(MEDIAN(AU45:BT45),0)),0,ROUND(MEDIAN(AU45:BT45),0))</f>
        <v>1</v>
      </c>
      <c r="CA45" s="12" t="n">
        <f aca="false">IF(ISERROR(ROUND(MEDIAN(U45:BT45),0)),0,ROUND(MEDIAN(U45:BT45),0))</f>
        <v>1</v>
      </c>
      <c r="CB45" s="12" t="n">
        <f aca="false">IF(ISERROR(ROUND(MEDIAN(BT45),0)),0,ROUND(MEDIAN(BT45),0))</f>
        <v>0</v>
      </c>
      <c r="CC45" s="12" t="n">
        <f aca="false">IF(ISERROR(ROUND(MEDIAN(D45:BT45),0)),0,ROUND(MEDIAN(D45:BT45),0))</f>
        <v>1</v>
      </c>
      <c r="CD45" s="12" t="n">
        <f aca="false">MAX(D45:BT45)</f>
        <v>5</v>
      </c>
      <c r="CE45" s="7" t="n">
        <f aca="false">COUNTA(BQ45:BT45)</f>
        <v>1</v>
      </c>
      <c r="CF45" s="7" t="n">
        <f aca="false">COUNTA(BM45:BT45)</f>
        <v>3</v>
      </c>
      <c r="CG45" s="7" t="n">
        <f aca="false">COUNTA(BI45:BT45)</f>
        <v>4</v>
      </c>
      <c r="CH45" s="7" t="n">
        <f aca="false">COUNTA(BE45:BT45)</f>
        <v>7</v>
      </c>
      <c r="CI45" s="7" t="n">
        <f aca="false">COUNTA(AU45:BT45)</f>
        <v>10</v>
      </c>
      <c r="CJ45" s="7" t="n">
        <f aca="false">COUNTA(U45:BT45)</f>
        <v>15</v>
      </c>
      <c r="CK45" s="7" t="n">
        <f aca="false">COUNTA(BT45)</f>
        <v>0</v>
      </c>
      <c r="CL45" s="7" t="n">
        <f aca="false">COUNTA(D45:BT45)</f>
        <v>23</v>
      </c>
      <c r="CM45" s="17" t="str">
        <f aca="false">IF(AND(CE45=1,CJ45=1,BT45&lt;&gt;""),"5.ENTRANTES",IF(AND(CE45&lt;&gt;0,CE45/RIGHT($CE$1,1)&gt;=0.5,CJ45=CE45),"4.RECENTES",IF(AND(CF45&lt;&gt;0,CF45/RIGHT($CF$1,1)&gt;=0.5,CJ45=CF45),"4.RECENTES",IF(AND(CG45&lt;&gt;0,CG45/RIGHT($CG$1,2)&gt;=0.5,CJ45=CG45),"4.RECENTES",IF(AND(CH45&lt;&gt;0,CH45/RIGHT($CH$1,2)&gt;=0.5,CJ45=CH45),"4.RECENTES",IF(AND(CI45&lt;&gt;0,CI45/RIGHT($CI$1,2)&gt;=0.5,CJ45=CI45),"4.RECENTES",IF(AND(CE45=0,CF45=0,CG45=0,CH45=0),"3.INATIVOS",IF(CJ45/RIGHT($CJ$1,2)&lt;0.5,"2.INTERMITENTES","1.ORDINÁRIOS"))))))))</f>
        <v>2.INTERMITENTES</v>
      </c>
      <c r="CN45" s="18" t="n">
        <f aca="false">IF(AND(CE45=1,CJ45=1,BT45&lt;&gt;""),BT45,IF(AND(CE45&lt;&gt;0,CE45/RIGHT($CE$1,1)&gt;=0.5,CJ45=CE45),MAX(BV45:CC45),IF(AND(CF45&lt;&gt;0,CF45/RIGHT($CF$1,1)&gt;=0.5,CJ45=CF45),MAX(BV45:CC45),IF(AND(CG45&lt;&gt;0,CG45/RIGHT($CG$1,2)&gt;=0.5,CJ45=CG45),MAX(BV45:CC45),IF(AND(CH45&lt;&gt;0,CH45/RIGHT($CH$1,2)&gt;=0.5,CJ45=CH45),MAX(BV45:CC45),IF(AND(CI45&lt;&gt;0,CI45/RIGHT($CI$1,2)&gt;=0.5,CJ45=CI45),MAX(BV45:CC45),IF(AND(CE45=0,CF45=0,CG45=0,CH45=0),0,IF(CJ45/RIGHT($CJ$1,2)&lt;0.5,ROUND(BU45/RIGHT($CJ$1,2),0),MAX(BV45:CC45)))))))))</f>
        <v>1</v>
      </c>
      <c r="CO45" s="18" t="n">
        <f aca="false">CD45</f>
        <v>5</v>
      </c>
      <c r="CP45" s="15" t="n">
        <v>5</v>
      </c>
      <c r="CQ45" s="16" t="n">
        <f aca="false">IF((CO45-CP45)&lt;0,0,(CO45-CP45))</f>
        <v>0</v>
      </c>
      <c r="CR45" s="7"/>
    </row>
    <row r="46" customFormat="false" ht="12.75" hidden="false" customHeight="true" outlineLevel="0" collapsed="false">
      <c r="A46" s="7" t="s">
        <v>95</v>
      </c>
      <c r="B46" s="7" t="s">
        <v>140</v>
      </c>
      <c r="C46" s="8" t="n">
        <v>2000134</v>
      </c>
      <c r="D46" s="9" t="n">
        <v>4</v>
      </c>
      <c r="E46" s="9" t="n">
        <v>9</v>
      </c>
      <c r="F46" s="9" t="n">
        <v>5</v>
      </c>
      <c r="G46" s="9" t="n">
        <v>13</v>
      </c>
      <c r="H46" s="9"/>
      <c r="I46" s="9" t="n">
        <v>14</v>
      </c>
      <c r="J46" s="9" t="n">
        <v>16</v>
      </c>
      <c r="K46" s="9" t="n">
        <v>8</v>
      </c>
      <c r="L46" s="9" t="n">
        <v>16</v>
      </c>
      <c r="M46" s="9" t="n">
        <v>6</v>
      </c>
      <c r="N46" s="9" t="n">
        <v>12</v>
      </c>
      <c r="O46" s="9" t="n">
        <v>11</v>
      </c>
      <c r="P46" s="9" t="n">
        <v>5</v>
      </c>
      <c r="Q46" s="9" t="n">
        <v>9</v>
      </c>
      <c r="R46" s="9" t="n">
        <v>7</v>
      </c>
      <c r="S46" s="9" t="n">
        <v>3</v>
      </c>
      <c r="T46" s="9" t="n">
        <v>11</v>
      </c>
      <c r="U46" s="9"/>
      <c r="V46" s="9" t="n">
        <v>22</v>
      </c>
      <c r="W46" s="9" t="n">
        <v>13</v>
      </c>
      <c r="X46" s="9" t="n">
        <v>7</v>
      </c>
      <c r="Y46" s="9" t="n">
        <v>17</v>
      </c>
      <c r="Z46" s="9" t="n">
        <v>6</v>
      </c>
      <c r="AA46" s="9" t="n">
        <v>8</v>
      </c>
      <c r="AB46" s="9" t="n">
        <v>7</v>
      </c>
      <c r="AC46" s="9" t="n">
        <v>7</v>
      </c>
      <c r="AD46" s="9" t="n">
        <v>9</v>
      </c>
      <c r="AE46" s="9" t="n">
        <v>22</v>
      </c>
      <c r="AF46" s="9" t="n">
        <v>4</v>
      </c>
      <c r="AG46" s="9" t="n">
        <v>15</v>
      </c>
      <c r="AH46" s="9" t="n">
        <v>30</v>
      </c>
      <c r="AI46" s="9" t="n">
        <v>5</v>
      </c>
      <c r="AJ46" s="9" t="n">
        <v>16</v>
      </c>
      <c r="AK46" s="9" t="n">
        <v>9</v>
      </c>
      <c r="AL46" s="9" t="n">
        <v>8</v>
      </c>
      <c r="AM46" s="9" t="n">
        <v>1</v>
      </c>
      <c r="AN46" s="9" t="n">
        <v>11</v>
      </c>
      <c r="AO46" s="9" t="n">
        <v>2</v>
      </c>
      <c r="AP46" s="9" t="n">
        <v>10</v>
      </c>
      <c r="AQ46" s="9" t="n">
        <v>17</v>
      </c>
      <c r="AR46" s="9" t="n">
        <v>13</v>
      </c>
      <c r="AS46" s="9" t="n">
        <v>5</v>
      </c>
      <c r="AT46" s="9" t="n">
        <v>6</v>
      </c>
      <c r="AU46" s="9" t="n">
        <v>6</v>
      </c>
      <c r="AV46" s="9" t="n">
        <v>4</v>
      </c>
      <c r="AW46" s="9" t="n">
        <v>10</v>
      </c>
      <c r="AX46" s="9" t="n">
        <v>4</v>
      </c>
      <c r="AY46" s="9"/>
      <c r="AZ46" s="9" t="n">
        <v>6</v>
      </c>
      <c r="BA46" s="9" t="n">
        <v>3</v>
      </c>
      <c r="BB46" s="9" t="n">
        <v>2</v>
      </c>
      <c r="BC46" s="9" t="n">
        <v>6</v>
      </c>
      <c r="BD46" s="9" t="n">
        <v>9</v>
      </c>
      <c r="BE46" s="9" t="n">
        <v>10</v>
      </c>
      <c r="BF46" s="9" t="n">
        <v>1</v>
      </c>
      <c r="BG46" s="9" t="n">
        <v>6</v>
      </c>
      <c r="BH46" s="9" t="n">
        <v>2</v>
      </c>
      <c r="BI46" s="9" t="n">
        <v>6</v>
      </c>
      <c r="BJ46" s="9" t="n">
        <v>3</v>
      </c>
      <c r="BK46" s="9" t="n">
        <v>4</v>
      </c>
      <c r="BL46" s="9" t="n">
        <v>2</v>
      </c>
      <c r="BM46" s="9" t="n">
        <v>2</v>
      </c>
      <c r="BN46" s="9" t="n">
        <v>2</v>
      </c>
      <c r="BO46" s="9" t="n">
        <v>4</v>
      </c>
      <c r="BP46" s="9" t="n">
        <v>3</v>
      </c>
      <c r="BQ46" s="9" t="n">
        <v>2</v>
      </c>
      <c r="BR46" s="9" t="n">
        <v>4</v>
      </c>
      <c r="BS46" s="9" t="n">
        <v>4</v>
      </c>
      <c r="BT46" s="9" t="n">
        <v>1</v>
      </c>
      <c r="BU46" s="10" t="n">
        <v>525</v>
      </c>
      <c r="BV46" s="11" t="n">
        <f aca="false">IF(ISERROR(ROUND(MEDIAN(BQ46:BT46),0)),0,ROUND(MEDIAN(BQ46:BT46),0))</f>
        <v>3</v>
      </c>
      <c r="BW46" s="11" t="n">
        <f aca="false">IF(ISERROR(ROUND(MEDIAN(BM46:BT46),0)),0,ROUND(MEDIAN(BM46:BT46),0))</f>
        <v>3</v>
      </c>
      <c r="BX46" s="11" t="n">
        <f aca="false">IF(ISERROR(ROUND(MEDIAN(BI46:BT46),0)),0,ROUND(MEDIAN(BI46:BT46),0))</f>
        <v>3</v>
      </c>
      <c r="BY46" s="11" t="n">
        <f aca="false">IF(ISERROR(ROUND(MEDIAN(BE46:BT46),0)),0,ROUND(MEDIAN(BE46:BT46),0))</f>
        <v>3</v>
      </c>
      <c r="BZ46" s="11" t="n">
        <f aca="false">IF(ISERROR(ROUND(MEDIAN(AU46:BT46),0)),0,ROUND(MEDIAN(AU46:BT46),0))</f>
        <v>4</v>
      </c>
      <c r="CA46" s="12" t="n">
        <f aca="false">IF(ISERROR(ROUND(MEDIAN(U46:BT46),0)),0,ROUND(MEDIAN(U46:BT46),0))</f>
        <v>6</v>
      </c>
      <c r="CB46" s="12" t="n">
        <f aca="false">IF(ISERROR(ROUND(MEDIAN(BT46),0)),0,ROUND(MEDIAN(BT46),0))</f>
        <v>1</v>
      </c>
      <c r="CC46" s="12" t="n">
        <f aca="false">IF(ISERROR(ROUND(MEDIAN(D46:BT46),0)),0,ROUND(MEDIAN(D46:BT46),0))</f>
        <v>6</v>
      </c>
      <c r="CD46" s="12" t="n">
        <f aca="false">MAX(D46:BT46)</f>
        <v>30</v>
      </c>
      <c r="CE46" s="7" t="n">
        <f aca="false">COUNTA(BQ46:BT46)</f>
        <v>4</v>
      </c>
      <c r="CF46" s="7" t="n">
        <f aca="false">COUNTA(BM46:BT46)</f>
        <v>8</v>
      </c>
      <c r="CG46" s="7" t="n">
        <f aca="false">COUNTA(BI46:BT46)</f>
        <v>12</v>
      </c>
      <c r="CH46" s="7" t="n">
        <f aca="false">COUNTA(BE46:BT46)</f>
        <v>16</v>
      </c>
      <c r="CI46" s="7" t="n">
        <f aca="false">COUNTA(AU46:BT46)</f>
        <v>25</v>
      </c>
      <c r="CJ46" s="7" t="n">
        <f aca="false">COUNTA(U46:BT46)</f>
        <v>50</v>
      </c>
      <c r="CK46" s="7" t="n">
        <f aca="false">COUNTA(BT46)</f>
        <v>1</v>
      </c>
      <c r="CL46" s="7" t="n">
        <f aca="false">COUNTA(D46:BT46)</f>
        <v>66</v>
      </c>
      <c r="CM46" s="13" t="str">
        <f aca="false">IF(AND(CE46=1,CJ46=1,BT46&lt;&gt;""),"5.ENTRANTES",IF(AND(CE46&lt;&gt;0,CE46/RIGHT($CE$1,1)&gt;=0.5,CJ46=CE46),"4.RECENTES",IF(AND(CF46&lt;&gt;0,CF46/RIGHT($CF$1,1)&gt;=0.5,CJ46=CF46),"4.RECENTES",IF(AND(CG46&lt;&gt;0,CG46/RIGHT($CG$1,2)&gt;=0.5,CJ46=CG46),"4.RECENTES",IF(AND(CH46&lt;&gt;0,CH46/RIGHT($CH$1,2)&gt;=0.5,CJ46=CH46),"4.RECENTES",IF(AND(CI46&lt;&gt;0,CI46/RIGHT($CI$1,2)&gt;=0.5,CJ46=CI46),"4.RECENTES",IF(AND(CE46=0,CF46=0,CG46=0,CH46=0),"3.INATIVOS",IF(CJ46/RIGHT($CJ$1,2)&lt;0.5,"2.INTERMITENTES","1.ORDINÁRIOS"))))))))</f>
        <v>1.ORDINÁRIOS</v>
      </c>
      <c r="CN46" s="14" t="n">
        <f aca="false">IF(AND(CE46=1,CJ46=1,BT46&lt;&gt;""),BT46,IF(AND(CE46&lt;&gt;0,CE46/RIGHT($CE$1,1)&gt;=0.5,CJ46=CE46),MAX(BV46:CC46),IF(AND(CF46&lt;&gt;0,CF46/RIGHT($CF$1,1)&gt;=0.5,CJ46=CF46),MAX(BV46:CC46),IF(AND(CG46&lt;&gt;0,CG46/RIGHT($CG$1,2)&gt;=0.5,CJ46=CG46),MAX(BV46:CC46),IF(AND(CH46&lt;&gt;0,CH46/RIGHT($CH$1,2)&gt;=0.5,CJ46=CH46),MAX(BV46:CC46),IF(AND(CI46&lt;&gt;0,CI46/RIGHT($CI$1,2)&gt;=0.5,CJ46=CI46),MAX(BV46:CC46),IF(AND(CE46=0,CF46=0,CG46=0,CH46=0),0,IF(CJ46/RIGHT($CJ$1,2)&lt;0.5,ROUND(BU46/RIGHT($CJ$1,2),0),MAX(BV46:CC46)))))))))</f>
        <v>6</v>
      </c>
      <c r="CO46" s="14" t="n">
        <f aca="false">CN46*3</f>
        <v>18</v>
      </c>
      <c r="CP46" s="15" t="n">
        <v>11</v>
      </c>
      <c r="CQ46" s="16" t="n">
        <f aca="false">IF((CO46-CP46)&lt;0,0,(CO46-CP46))</f>
        <v>7</v>
      </c>
      <c r="CR46" s="7"/>
    </row>
    <row r="47" customFormat="false" ht="12.75" hidden="false" customHeight="true" outlineLevel="0" collapsed="false">
      <c r="A47" s="7" t="s">
        <v>95</v>
      </c>
      <c r="B47" s="7" t="s">
        <v>141</v>
      </c>
      <c r="C47" s="8" t="n">
        <v>301004002</v>
      </c>
      <c r="D47" s="9"/>
      <c r="E47" s="9"/>
      <c r="F47" s="9"/>
      <c r="G47" s="9"/>
      <c r="H47" s="9"/>
      <c r="I47" s="9"/>
      <c r="J47" s="9"/>
      <c r="K47" s="9"/>
      <c r="L47" s="9" t="n">
        <v>24</v>
      </c>
      <c r="M47" s="9"/>
      <c r="N47" s="9"/>
      <c r="O47" s="9"/>
      <c r="P47" s="9"/>
      <c r="Q47" s="9"/>
      <c r="R47" s="9"/>
      <c r="S47" s="9"/>
      <c r="T47" s="9" t="n">
        <v>30</v>
      </c>
      <c r="U47" s="9"/>
      <c r="V47" s="9"/>
      <c r="W47" s="9" t="n">
        <v>30</v>
      </c>
      <c r="X47" s="9"/>
      <c r="Y47" s="9"/>
      <c r="Z47" s="9"/>
      <c r="AA47" s="9"/>
      <c r="AB47" s="9"/>
      <c r="AC47" s="9"/>
      <c r="AD47" s="9"/>
      <c r="AE47" s="9" t="n">
        <v>10</v>
      </c>
      <c r="AF47" s="9" t="n">
        <v>24</v>
      </c>
      <c r="AG47" s="9"/>
      <c r="AH47" s="9"/>
      <c r="AI47" s="9" t="n">
        <v>30</v>
      </c>
      <c r="AJ47" s="9" t="n">
        <v>30</v>
      </c>
      <c r="AK47" s="9" t="n">
        <v>54</v>
      </c>
      <c r="AL47" s="9" t="n">
        <v>20</v>
      </c>
      <c r="AM47" s="9"/>
      <c r="AN47" s="9"/>
      <c r="AO47" s="9"/>
      <c r="AP47" s="9" t="n">
        <v>30</v>
      </c>
      <c r="AQ47" s="9"/>
      <c r="AR47" s="9"/>
      <c r="AS47" s="9"/>
      <c r="AT47" s="9" t="n">
        <v>20</v>
      </c>
      <c r="AU47" s="9"/>
      <c r="AV47" s="9"/>
      <c r="AW47" s="9" t="n">
        <v>20</v>
      </c>
      <c r="AX47" s="9"/>
      <c r="AY47" s="9"/>
      <c r="AZ47" s="9"/>
      <c r="BA47" s="9"/>
      <c r="BB47" s="9"/>
      <c r="BC47" s="9"/>
      <c r="BD47" s="9"/>
      <c r="BE47" s="9" t="n">
        <v>30</v>
      </c>
      <c r="BF47" s="9"/>
      <c r="BG47" s="9" t="n">
        <v>30</v>
      </c>
      <c r="BH47" s="9"/>
      <c r="BI47" s="9" t="n">
        <v>30</v>
      </c>
      <c r="BJ47" s="9"/>
      <c r="BK47" s="9"/>
      <c r="BL47" s="9"/>
      <c r="BM47" s="9" t="n">
        <v>10</v>
      </c>
      <c r="BN47" s="9" t="n">
        <v>30</v>
      </c>
      <c r="BO47" s="9"/>
      <c r="BP47" s="9"/>
      <c r="BQ47" s="9"/>
      <c r="BR47" s="9"/>
      <c r="BS47" s="9"/>
      <c r="BT47" s="9"/>
      <c r="BU47" s="10" t="n">
        <v>452</v>
      </c>
      <c r="BV47" s="11" t="n">
        <f aca="false">IF(ISERROR(ROUND(MEDIAN(BQ47:BT47),0)),0,ROUND(MEDIAN(BQ47:BT47),0))</f>
        <v>0</v>
      </c>
      <c r="BW47" s="11" t="n">
        <f aca="false">IF(ISERROR(ROUND(MEDIAN(BM47:BT47),0)),0,ROUND(MEDIAN(BM47:BT47),0))</f>
        <v>20</v>
      </c>
      <c r="BX47" s="11" t="n">
        <f aca="false">IF(ISERROR(ROUND(MEDIAN(BI47:BT47),0)),0,ROUND(MEDIAN(BI47:BT47),0))</f>
        <v>30</v>
      </c>
      <c r="BY47" s="11" t="n">
        <f aca="false">IF(ISERROR(ROUND(MEDIAN(BE47:BT47),0)),0,ROUND(MEDIAN(BE47:BT47),0))</f>
        <v>30</v>
      </c>
      <c r="BZ47" s="11" t="n">
        <f aca="false">IF(ISERROR(ROUND(MEDIAN(AU47:BT47),0)),0,ROUND(MEDIAN(AU47:BT47),0))</f>
        <v>30</v>
      </c>
      <c r="CA47" s="12" t="n">
        <f aca="false">IF(ISERROR(ROUND(MEDIAN(U47:BT47),0)),0,ROUND(MEDIAN(U47:BT47),0))</f>
        <v>30</v>
      </c>
      <c r="CB47" s="12" t="n">
        <f aca="false">IF(ISERROR(ROUND(MEDIAN(BT47),0)),0,ROUND(MEDIAN(BT47),0))</f>
        <v>0</v>
      </c>
      <c r="CC47" s="12" t="n">
        <f aca="false">IF(ISERROR(ROUND(MEDIAN(D47:BT47),0)),0,ROUND(MEDIAN(D47:BT47),0))</f>
        <v>30</v>
      </c>
      <c r="CD47" s="12" t="n">
        <f aca="false">MAX(D47:BT47)</f>
        <v>54</v>
      </c>
      <c r="CE47" s="7" t="n">
        <f aca="false">COUNTA(BQ47:BT47)</f>
        <v>0</v>
      </c>
      <c r="CF47" s="7" t="n">
        <f aca="false">COUNTA(BM47:BT47)</f>
        <v>2</v>
      </c>
      <c r="CG47" s="7" t="n">
        <f aca="false">COUNTA(BI47:BT47)</f>
        <v>3</v>
      </c>
      <c r="CH47" s="7" t="n">
        <f aca="false">COUNTA(BE47:BT47)</f>
        <v>5</v>
      </c>
      <c r="CI47" s="7" t="n">
        <f aca="false">COUNTA(AU47:BT47)</f>
        <v>6</v>
      </c>
      <c r="CJ47" s="7" t="n">
        <f aca="false">COUNTA(U47:BT47)</f>
        <v>15</v>
      </c>
      <c r="CK47" s="7" t="n">
        <f aca="false">COUNTA(BT47)</f>
        <v>0</v>
      </c>
      <c r="CL47" s="7" t="n">
        <f aca="false">COUNTA(D47:BT47)</f>
        <v>17</v>
      </c>
      <c r="CM47" s="17" t="str">
        <f aca="false">IF(AND(CE47=1,CJ47=1,BT47&lt;&gt;""),"5.ENTRANTES",IF(AND(CE47&lt;&gt;0,CE47/RIGHT($CE$1,1)&gt;=0.5,CJ47=CE47),"4.RECENTES",IF(AND(CF47&lt;&gt;0,CF47/RIGHT($CF$1,1)&gt;=0.5,CJ47=CF47),"4.RECENTES",IF(AND(CG47&lt;&gt;0,CG47/RIGHT($CG$1,2)&gt;=0.5,CJ47=CG47),"4.RECENTES",IF(AND(CH47&lt;&gt;0,CH47/RIGHT($CH$1,2)&gt;=0.5,CJ47=CH47),"4.RECENTES",IF(AND(CI47&lt;&gt;0,CI47/RIGHT($CI$1,2)&gt;=0.5,CJ47=CI47),"4.RECENTES",IF(AND(CE47=0,CF47=0,CG47=0,CH47=0),"3.INATIVOS",IF(CJ47/RIGHT($CJ$1,2)&lt;0.5,"2.INTERMITENTES","1.ORDINÁRIOS"))))))))</f>
        <v>2.INTERMITENTES</v>
      </c>
      <c r="CN47" s="18" t="n">
        <f aca="false">IF(AND(CE47=1,CJ47=1,BT47&lt;&gt;""),BT47,IF(AND(CE47&lt;&gt;0,CE47/RIGHT($CE$1,1)&gt;=0.5,CJ47=CE47),MAX(BV47:CC47),IF(AND(CF47&lt;&gt;0,CF47/RIGHT($CF$1,1)&gt;=0.5,CJ47=CF47),MAX(BV47:CC47),IF(AND(CG47&lt;&gt;0,CG47/RIGHT($CG$1,2)&gt;=0.5,CJ47=CG47),MAX(BV47:CC47),IF(AND(CH47&lt;&gt;0,CH47/RIGHT($CH$1,2)&gt;=0.5,CJ47=CH47),MAX(BV47:CC47),IF(AND(CI47&lt;&gt;0,CI47/RIGHT($CI$1,2)&gt;=0.5,CJ47=CI47),MAX(BV47:CC47),IF(AND(CE47=0,CF47=0,CG47=0,CH47=0),0,IF(CJ47/RIGHT($CJ$1,2)&lt;0.5,ROUND(BU47/RIGHT($CJ$1,2),0),MAX(BV47:CC47)))))))))</f>
        <v>9</v>
      </c>
      <c r="CO47" s="18" t="n">
        <f aca="false">CD47</f>
        <v>54</v>
      </c>
      <c r="CP47" s="15" t="n">
        <v>340</v>
      </c>
      <c r="CQ47" s="16" t="n">
        <f aca="false">IF((CO47-CP47)&lt;0,0,(CO47-CP47))</f>
        <v>0</v>
      </c>
      <c r="CR47" s="7"/>
    </row>
    <row r="48" customFormat="false" ht="12.75" hidden="false" customHeight="true" outlineLevel="0" collapsed="false">
      <c r="A48" s="7" t="s">
        <v>95</v>
      </c>
      <c r="B48" s="7" t="s">
        <v>142</v>
      </c>
      <c r="C48" s="8" t="n">
        <v>2000082</v>
      </c>
      <c r="D48" s="9" t="n">
        <v>48</v>
      </c>
      <c r="E48" s="9" t="n">
        <v>758</v>
      </c>
      <c r="F48" s="9" t="n">
        <v>1062</v>
      </c>
      <c r="G48" s="9" t="n">
        <v>1086</v>
      </c>
      <c r="H48" s="9" t="n">
        <v>696</v>
      </c>
      <c r="I48" s="9" t="n">
        <v>1296</v>
      </c>
      <c r="J48" s="9" t="n">
        <v>696</v>
      </c>
      <c r="K48" s="9" t="n">
        <v>864</v>
      </c>
      <c r="L48" s="9" t="n">
        <v>1254</v>
      </c>
      <c r="M48" s="9" t="n">
        <v>768</v>
      </c>
      <c r="N48" s="9" t="n">
        <v>840</v>
      </c>
      <c r="O48" s="9" t="n">
        <v>1387</v>
      </c>
      <c r="P48" s="9" t="n">
        <v>1080</v>
      </c>
      <c r="Q48" s="9" t="n">
        <v>1078</v>
      </c>
      <c r="R48" s="9" t="n">
        <v>552</v>
      </c>
      <c r="S48" s="9" t="n">
        <v>552</v>
      </c>
      <c r="T48" s="9" t="n">
        <v>816</v>
      </c>
      <c r="U48" s="9" t="n">
        <v>1130</v>
      </c>
      <c r="V48" s="9" t="n">
        <v>744</v>
      </c>
      <c r="W48" s="9" t="n">
        <v>1296</v>
      </c>
      <c r="X48" s="9" t="n">
        <v>662</v>
      </c>
      <c r="Y48" s="9" t="n">
        <v>1272</v>
      </c>
      <c r="Z48" s="9" t="n">
        <v>888</v>
      </c>
      <c r="AA48" s="9" t="n">
        <v>1248</v>
      </c>
      <c r="AB48" s="9" t="n">
        <v>936</v>
      </c>
      <c r="AC48" s="9" t="n">
        <v>780</v>
      </c>
      <c r="AD48" s="9" t="n">
        <v>648</v>
      </c>
      <c r="AE48" s="9" t="n">
        <v>840</v>
      </c>
      <c r="AF48" s="9" t="n">
        <v>528</v>
      </c>
      <c r="AG48" s="9" t="n">
        <v>780</v>
      </c>
      <c r="AH48" s="9" t="n">
        <v>672</v>
      </c>
      <c r="AI48" s="9" t="n">
        <v>864</v>
      </c>
      <c r="AJ48" s="9" t="n">
        <v>800</v>
      </c>
      <c r="AK48" s="9" t="n">
        <v>624</v>
      </c>
      <c r="AL48" s="9" t="n">
        <v>960</v>
      </c>
      <c r="AM48" s="9" t="n">
        <v>600</v>
      </c>
      <c r="AN48" s="9" t="n">
        <v>768</v>
      </c>
      <c r="AO48" s="9" t="n">
        <v>648</v>
      </c>
      <c r="AP48" s="9" t="n">
        <v>744</v>
      </c>
      <c r="AQ48" s="9" t="n">
        <v>572</v>
      </c>
      <c r="AR48" s="9" t="n">
        <v>720</v>
      </c>
      <c r="AS48" s="9" t="n">
        <v>984</v>
      </c>
      <c r="AT48" s="9" t="n">
        <v>624</v>
      </c>
      <c r="AU48" s="9" t="n">
        <v>624</v>
      </c>
      <c r="AV48" s="9" t="n">
        <v>504</v>
      </c>
      <c r="AW48" s="9" t="n">
        <v>786</v>
      </c>
      <c r="AX48" s="9" t="n">
        <v>600</v>
      </c>
      <c r="AY48" s="9" t="n">
        <v>624</v>
      </c>
      <c r="AZ48" s="9" t="n">
        <v>578</v>
      </c>
      <c r="BA48" s="9" t="n">
        <v>782</v>
      </c>
      <c r="BB48" s="9" t="n">
        <v>1078</v>
      </c>
      <c r="BC48" s="9" t="n">
        <v>820</v>
      </c>
      <c r="BD48" s="9" t="n">
        <v>792</v>
      </c>
      <c r="BE48" s="9" t="n">
        <v>864</v>
      </c>
      <c r="BF48" s="9" t="n">
        <v>1272</v>
      </c>
      <c r="BG48" s="9" t="n">
        <v>1032</v>
      </c>
      <c r="BH48" s="9" t="n">
        <v>600</v>
      </c>
      <c r="BI48" s="9" t="n">
        <v>888</v>
      </c>
      <c r="BJ48" s="9" t="n">
        <v>552</v>
      </c>
      <c r="BK48" s="9" t="n">
        <v>936</v>
      </c>
      <c r="BL48" s="9" t="n">
        <v>1008</v>
      </c>
      <c r="BM48" s="9" t="n">
        <v>768</v>
      </c>
      <c r="BN48" s="9" t="n">
        <v>1056</v>
      </c>
      <c r="BO48" s="9" t="n">
        <v>1200</v>
      </c>
      <c r="BP48" s="9" t="n">
        <v>648</v>
      </c>
      <c r="BQ48" s="9" t="n">
        <v>600</v>
      </c>
      <c r="BR48" s="9" t="n">
        <v>792</v>
      </c>
      <c r="BS48" s="9" t="n">
        <v>576</v>
      </c>
      <c r="BT48" s="9" t="n">
        <v>882</v>
      </c>
      <c r="BU48" s="10" t="n">
        <v>57027</v>
      </c>
      <c r="BV48" s="11" t="n">
        <f aca="false">IF(ISERROR(ROUND(MEDIAN(BQ48:BT48),0)),0,ROUND(MEDIAN(BQ48:BT48),0))</f>
        <v>696</v>
      </c>
      <c r="BW48" s="11" t="n">
        <f aca="false">IF(ISERROR(ROUND(MEDIAN(BM48:BT48),0)),0,ROUND(MEDIAN(BM48:BT48),0))</f>
        <v>780</v>
      </c>
      <c r="BX48" s="11" t="n">
        <f aca="false">IF(ISERROR(ROUND(MEDIAN(BI48:BT48),0)),0,ROUND(MEDIAN(BI48:BT48),0))</f>
        <v>837</v>
      </c>
      <c r="BY48" s="11" t="n">
        <f aca="false">IF(ISERROR(ROUND(MEDIAN(BE48:BT48),0)),0,ROUND(MEDIAN(BE48:BT48),0))</f>
        <v>873</v>
      </c>
      <c r="BZ48" s="11" t="n">
        <f aca="false">IF(ISERROR(ROUND(MEDIAN(AU48:BT48),0)),0,ROUND(MEDIAN(AU48:BT48),0))</f>
        <v>789</v>
      </c>
      <c r="CA48" s="12" t="n">
        <f aca="false">IF(ISERROR(ROUND(MEDIAN(U48:BT48),0)),0,ROUND(MEDIAN(U48:BT48),0))</f>
        <v>781</v>
      </c>
      <c r="CB48" s="12" t="n">
        <f aca="false">IF(ISERROR(ROUND(MEDIAN(BT48),0)),0,ROUND(MEDIAN(BT48),0))</f>
        <v>882</v>
      </c>
      <c r="CC48" s="12" t="n">
        <f aca="false">IF(ISERROR(ROUND(MEDIAN(D48:BT48),0)),0,ROUND(MEDIAN(D48:BT48),0))</f>
        <v>786</v>
      </c>
      <c r="CD48" s="12" t="n">
        <f aca="false">MAX(D48:BT48)</f>
        <v>1387</v>
      </c>
      <c r="CE48" s="7" t="n">
        <f aca="false">COUNTA(BQ48:BT48)</f>
        <v>4</v>
      </c>
      <c r="CF48" s="7" t="n">
        <f aca="false">COUNTA(BM48:BT48)</f>
        <v>8</v>
      </c>
      <c r="CG48" s="7" t="n">
        <f aca="false">COUNTA(BI48:BT48)</f>
        <v>12</v>
      </c>
      <c r="CH48" s="7" t="n">
        <f aca="false">COUNTA(BE48:BT48)</f>
        <v>16</v>
      </c>
      <c r="CI48" s="7" t="n">
        <f aca="false">COUNTA(AU48:BT48)</f>
        <v>26</v>
      </c>
      <c r="CJ48" s="7" t="n">
        <f aca="false">COUNTA(U48:BT48)</f>
        <v>52</v>
      </c>
      <c r="CK48" s="7" t="n">
        <f aca="false">COUNTA(BT48)</f>
        <v>1</v>
      </c>
      <c r="CL48" s="7" t="n">
        <f aca="false">COUNTA(D48:BT48)</f>
        <v>69</v>
      </c>
      <c r="CM48" s="13" t="str">
        <f aca="false">IF(AND(CE48=1,CJ48=1,BT48&lt;&gt;""),"5.ENTRANTES",IF(AND(CE48&lt;&gt;0,CE48/RIGHT($CE$1,1)&gt;=0.5,CJ48=CE48),"4.RECENTES",IF(AND(CF48&lt;&gt;0,CF48/RIGHT($CF$1,1)&gt;=0.5,CJ48=CF48),"4.RECENTES",IF(AND(CG48&lt;&gt;0,CG48/RIGHT($CG$1,2)&gt;=0.5,CJ48=CG48),"4.RECENTES",IF(AND(CH48&lt;&gt;0,CH48/RIGHT($CH$1,2)&gt;=0.5,CJ48=CH48),"4.RECENTES",IF(AND(CI48&lt;&gt;0,CI48/RIGHT($CI$1,2)&gt;=0.5,CJ48=CI48),"4.RECENTES",IF(AND(CE48=0,CF48=0,CG48=0,CH48=0),"3.INATIVOS",IF(CJ48/RIGHT($CJ$1,2)&lt;0.5,"2.INTERMITENTES","1.ORDINÁRIOS"))))))))</f>
        <v>1.ORDINÁRIOS</v>
      </c>
      <c r="CN48" s="14" t="n">
        <f aca="false">IF(AND(CE48=1,CJ48=1,BT48&lt;&gt;""),BT48,IF(AND(CE48&lt;&gt;0,CE48/RIGHT($CE$1,1)&gt;=0.5,CJ48=CE48),MAX(BV48:CC48),IF(AND(CF48&lt;&gt;0,CF48/RIGHT($CF$1,1)&gt;=0.5,CJ48=CF48),MAX(BV48:CC48),IF(AND(CG48&lt;&gt;0,CG48/RIGHT($CG$1,2)&gt;=0.5,CJ48=CG48),MAX(BV48:CC48),IF(AND(CH48&lt;&gt;0,CH48/RIGHT($CH$1,2)&gt;=0.5,CJ48=CH48),MAX(BV48:CC48),IF(AND(CI48&lt;&gt;0,CI48/RIGHT($CI$1,2)&gt;=0.5,CJ48=CI48),MAX(BV48:CC48),IF(AND(CE48=0,CF48=0,CG48=0,CH48=0),0,IF(CJ48/RIGHT($CJ$1,2)&lt;0.5,ROUND(BU48/RIGHT($CJ$1,2),0),MAX(BV48:CC48)))))))))</f>
        <v>882</v>
      </c>
      <c r="CO48" s="14" t="n">
        <f aca="false">CN48*3</f>
        <v>2646</v>
      </c>
      <c r="CP48" s="15" t="n">
        <v>2118</v>
      </c>
      <c r="CQ48" s="16" t="n">
        <f aca="false">IF((CO48-CP48)&lt;0,0,(CO48-CP48))</f>
        <v>528</v>
      </c>
      <c r="CR48" s="7"/>
    </row>
    <row r="49" customFormat="false" ht="12.75" hidden="false" customHeight="true" outlineLevel="0" collapsed="false">
      <c r="A49" s="7" t="s">
        <v>95</v>
      </c>
      <c r="B49" s="7" t="s">
        <v>143</v>
      </c>
      <c r="C49" s="8" t="n">
        <v>302008001</v>
      </c>
      <c r="D49" s="9" t="n">
        <v>120</v>
      </c>
      <c r="E49" s="9" t="n">
        <v>1080</v>
      </c>
      <c r="F49" s="9" t="n">
        <v>930</v>
      </c>
      <c r="G49" s="9" t="n">
        <v>1260</v>
      </c>
      <c r="H49" s="9" t="n">
        <v>810</v>
      </c>
      <c r="I49" s="9" t="n">
        <v>1170</v>
      </c>
      <c r="J49" s="9" t="n">
        <v>960</v>
      </c>
      <c r="K49" s="9" t="n">
        <v>854</v>
      </c>
      <c r="L49" s="9" t="n">
        <v>1380</v>
      </c>
      <c r="M49" s="9" t="n">
        <v>930</v>
      </c>
      <c r="N49" s="9" t="n">
        <v>1260</v>
      </c>
      <c r="O49" s="9" t="n">
        <v>1200</v>
      </c>
      <c r="P49" s="9" t="n">
        <v>1140</v>
      </c>
      <c r="Q49" s="9" t="n">
        <v>1380</v>
      </c>
      <c r="R49" s="9" t="n">
        <v>1320</v>
      </c>
      <c r="S49" s="9" t="n">
        <v>1110</v>
      </c>
      <c r="T49" s="9" t="n">
        <v>1140</v>
      </c>
      <c r="U49" s="9" t="n">
        <v>1380</v>
      </c>
      <c r="V49" s="9" t="n">
        <v>1110</v>
      </c>
      <c r="W49" s="9" t="n">
        <v>1410</v>
      </c>
      <c r="X49" s="9" t="n">
        <v>1320</v>
      </c>
      <c r="Y49" s="9" t="n">
        <v>1440</v>
      </c>
      <c r="Z49" s="9" t="n">
        <v>1030</v>
      </c>
      <c r="AA49" s="9" t="n">
        <v>1710</v>
      </c>
      <c r="AB49" s="9" t="n">
        <v>1380</v>
      </c>
      <c r="AC49" s="9" t="n">
        <v>1140</v>
      </c>
      <c r="AD49" s="9" t="n">
        <v>1120</v>
      </c>
      <c r="AE49" s="9" t="n">
        <v>960</v>
      </c>
      <c r="AF49" s="9" t="n">
        <v>900</v>
      </c>
      <c r="AG49" s="9" t="n">
        <v>1380</v>
      </c>
      <c r="AH49" s="9" t="n">
        <v>1440</v>
      </c>
      <c r="AI49" s="9" t="n">
        <v>1080</v>
      </c>
      <c r="AJ49" s="9" t="n">
        <v>1440</v>
      </c>
      <c r="AK49" s="9" t="n">
        <v>1094</v>
      </c>
      <c r="AL49" s="9" t="n">
        <v>810</v>
      </c>
      <c r="AM49" s="9" t="n">
        <v>1080</v>
      </c>
      <c r="AN49" s="9" t="n">
        <v>1530</v>
      </c>
      <c r="AO49" s="9" t="n">
        <v>960</v>
      </c>
      <c r="AP49" s="9" t="n">
        <v>1635</v>
      </c>
      <c r="AQ49" s="9" t="n">
        <v>1455</v>
      </c>
      <c r="AR49" s="9" t="n">
        <v>1560</v>
      </c>
      <c r="AS49" s="9" t="n">
        <v>1310</v>
      </c>
      <c r="AT49" s="9" t="n">
        <v>930</v>
      </c>
      <c r="AU49" s="9" t="n">
        <v>990</v>
      </c>
      <c r="AV49" s="9" t="n">
        <v>1500</v>
      </c>
      <c r="AW49" s="9" t="n">
        <v>840</v>
      </c>
      <c r="AX49" s="9" t="n">
        <v>1350</v>
      </c>
      <c r="AY49" s="9" t="n">
        <v>1072</v>
      </c>
      <c r="AZ49" s="9" t="n">
        <v>1080</v>
      </c>
      <c r="BA49" s="9" t="n">
        <v>1680</v>
      </c>
      <c r="BB49" s="9" t="n">
        <v>1318</v>
      </c>
      <c r="BC49" s="9" t="n">
        <v>1590</v>
      </c>
      <c r="BD49" s="9" t="n">
        <v>750</v>
      </c>
      <c r="BE49" s="9" t="n">
        <v>1020</v>
      </c>
      <c r="BF49" s="9" t="n">
        <v>1454</v>
      </c>
      <c r="BG49" s="9" t="n">
        <v>1140</v>
      </c>
      <c r="BH49" s="9" t="n">
        <v>750</v>
      </c>
      <c r="BI49" s="9" t="n">
        <v>1406</v>
      </c>
      <c r="BJ49" s="9" t="n">
        <v>1830</v>
      </c>
      <c r="BK49" s="9" t="n">
        <v>840</v>
      </c>
      <c r="BL49" s="9" t="n">
        <v>1170</v>
      </c>
      <c r="BM49" s="9" t="n">
        <v>901</v>
      </c>
      <c r="BN49" s="9" t="n">
        <v>1380</v>
      </c>
      <c r="BO49" s="9" t="n">
        <v>1230</v>
      </c>
      <c r="BP49" s="9" t="n">
        <v>1080</v>
      </c>
      <c r="BQ49" s="9" t="n">
        <v>960</v>
      </c>
      <c r="BR49" s="9" t="n">
        <v>1080</v>
      </c>
      <c r="BS49" s="9" t="n">
        <v>630</v>
      </c>
      <c r="BT49" s="9" t="n">
        <v>630</v>
      </c>
      <c r="BU49" s="10" t="n">
        <v>80319</v>
      </c>
      <c r="BV49" s="11" t="n">
        <f aca="false">IF(ISERROR(ROUND(MEDIAN(BQ49:BT49),0)),0,ROUND(MEDIAN(BQ49:BT49),0))</f>
        <v>795</v>
      </c>
      <c r="BW49" s="11" t="n">
        <f aca="false">IF(ISERROR(ROUND(MEDIAN(BM49:BT49),0)),0,ROUND(MEDIAN(BM49:BT49),0))</f>
        <v>1020</v>
      </c>
      <c r="BX49" s="11" t="n">
        <f aca="false">IF(ISERROR(ROUND(MEDIAN(BI49:BT49),0)),0,ROUND(MEDIAN(BI49:BT49),0))</f>
        <v>1080</v>
      </c>
      <c r="BY49" s="11" t="n">
        <f aca="false">IF(ISERROR(ROUND(MEDIAN(BE49:BT49),0)),0,ROUND(MEDIAN(BE49:BT49),0))</f>
        <v>1080</v>
      </c>
      <c r="BZ49" s="11" t="n">
        <f aca="false">IF(ISERROR(ROUND(MEDIAN(AU49:BT49),0)),0,ROUND(MEDIAN(AU49:BT49),0))</f>
        <v>1080</v>
      </c>
      <c r="CA49" s="12" t="n">
        <f aca="false">IF(ISERROR(ROUND(MEDIAN(U49:BT49),0)),0,ROUND(MEDIAN(U49:BT49),0))</f>
        <v>1140</v>
      </c>
      <c r="CB49" s="12" t="n">
        <f aca="false">IF(ISERROR(ROUND(MEDIAN(BT49),0)),0,ROUND(MEDIAN(BT49),0))</f>
        <v>630</v>
      </c>
      <c r="CC49" s="12" t="n">
        <f aca="false">IF(ISERROR(ROUND(MEDIAN(D49:BT49),0)),0,ROUND(MEDIAN(D49:BT49),0))</f>
        <v>1140</v>
      </c>
      <c r="CD49" s="12" t="n">
        <f aca="false">MAX(D49:BT49)</f>
        <v>1830</v>
      </c>
      <c r="CE49" s="7" t="n">
        <f aca="false">COUNTA(BQ49:BT49)</f>
        <v>4</v>
      </c>
      <c r="CF49" s="7" t="n">
        <f aca="false">COUNTA(BM49:BT49)</f>
        <v>8</v>
      </c>
      <c r="CG49" s="7" t="n">
        <f aca="false">COUNTA(BI49:BT49)</f>
        <v>12</v>
      </c>
      <c r="CH49" s="7" t="n">
        <f aca="false">COUNTA(BE49:BT49)</f>
        <v>16</v>
      </c>
      <c r="CI49" s="7" t="n">
        <f aca="false">COUNTA(AU49:BT49)</f>
        <v>26</v>
      </c>
      <c r="CJ49" s="7" t="n">
        <f aca="false">COUNTA(U49:BT49)</f>
        <v>52</v>
      </c>
      <c r="CK49" s="7" t="n">
        <f aca="false">COUNTA(BT49)</f>
        <v>1</v>
      </c>
      <c r="CL49" s="7" t="n">
        <f aca="false">COUNTA(D49:BT49)</f>
        <v>69</v>
      </c>
      <c r="CM49" s="13" t="str">
        <f aca="false">IF(AND(CE49=1,CJ49=1,BT49&lt;&gt;""),"5.ENTRANTES",IF(AND(CE49&lt;&gt;0,CE49/RIGHT($CE$1,1)&gt;=0.5,CJ49=CE49),"4.RECENTES",IF(AND(CF49&lt;&gt;0,CF49/RIGHT($CF$1,1)&gt;=0.5,CJ49=CF49),"4.RECENTES",IF(AND(CG49&lt;&gt;0,CG49/RIGHT($CG$1,2)&gt;=0.5,CJ49=CG49),"4.RECENTES",IF(AND(CH49&lt;&gt;0,CH49/RIGHT($CH$1,2)&gt;=0.5,CJ49=CH49),"4.RECENTES",IF(AND(CI49&lt;&gt;0,CI49/RIGHT($CI$1,2)&gt;=0.5,CJ49=CI49),"4.RECENTES",IF(AND(CE49=0,CF49=0,CG49=0,CH49=0),"3.INATIVOS",IF(CJ49/RIGHT($CJ$1,2)&lt;0.5,"2.INTERMITENTES","1.ORDINÁRIOS"))))))))</f>
        <v>1.ORDINÁRIOS</v>
      </c>
      <c r="CN49" s="14" t="n">
        <f aca="false">IF(AND(CE49=1,CJ49=1,BT49&lt;&gt;""),BT49,IF(AND(CE49&lt;&gt;0,CE49/RIGHT($CE$1,1)&gt;=0.5,CJ49=CE49),MAX(BV49:CC49),IF(AND(CF49&lt;&gt;0,CF49/RIGHT($CF$1,1)&gt;=0.5,CJ49=CF49),MAX(BV49:CC49),IF(AND(CG49&lt;&gt;0,CG49/RIGHT($CG$1,2)&gt;=0.5,CJ49=CG49),MAX(BV49:CC49),IF(AND(CH49&lt;&gt;0,CH49/RIGHT($CH$1,2)&gt;=0.5,CJ49=CH49),MAX(BV49:CC49),IF(AND(CI49&lt;&gt;0,CI49/RIGHT($CI$1,2)&gt;=0.5,CJ49=CI49),MAX(BV49:CC49),IF(AND(CE49=0,CF49=0,CG49=0,CH49=0),0,IF(CJ49/RIGHT($CJ$1,2)&lt;0.5,ROUND(BU49/RIGHT($CJ$1,2),0),MAX(BV49:CC49)))))))))</f>
        <v>1140</v>
      </c>
      <c r="CO49" s="14" t="n">
        <f aca="false">CN49*3</f>
        <v>3420</v>
      </c>
      <c r="CP49" s="15" t="n">
        <v>2459</v>
      </c>
      <c r="CQ49" s="16" t="n">
        <f aca="false">IF((CO49-CP49)&lt;0,0,(CO49-CP49))</f>
        <v>961</v>
      </c>
      <c r="CR49" s="7"/>
    </row>
    <row r="50" customFormat="false" ht="12.75" hidden="false" customHeight="true" outlineLevel="0" collapsed="false">
      <c r="A50" s="7" t="s">
        <v>95</v>
      </c>
      <c r="B50" s="7" t="s">
        <v>144</v>
      </c>
      <c r="C50" s="8" t="n">
        <v>8001001</v>
      </c>
      <c r="D50" s="9"/>
      <c r="E50" s="9" t="n">
        <v>50</v>
      </c>
      <c r="F50" s="9" t="n">
        <v>160</v>
      </c>
      <c r="G50" s="9" t="n">
        <v>140</v>
      </c>
      <c r="H50" s="9" t="n">
        <v>200</v>
      </c>
      <c r="I50" s="9" t="n">
        <v>120</v>
      </c>
      <c r="J50" s="9" t="n">
        <v>300</v>
      </c>
      <c r="K50" s="9" t="n">
        <v>180</v>
      </c>
      <c r="L50" s="9" t="n">
        <v>160</v>
      </c>
      <c r="M50" s="9" t="n">
        <v>140</v>
      </c>
      <c r="N50" s="9" t="n">
        <v>180</v>
      </c>
      <c r="O50" s="9" t="n">
        <v>240</v>
      </c>
      <c r="P50" s="9" t="n">
        <v>160</v>
      </c>
      <c r="Q50" s="9" t="n">
        <v>100</v>
      </c>
      <c r="R50" s="9" t="n">
        <v>140</v>
      </c>
      <c r="S50" s="9" t="n">
        <v>140</v>
      </c>
      <c r="T50" s="9" t="n">
        <v>60</v>
      </c>
      <c r="U50" s="9" t="n">
        <v>280</v>
      </c>
      <c r="V50" s="9" t="n">
        <v>140</v>
      </c>
      <c r="W50" s="9" t="n">
        <v>220</v>
      </c>
      <c r="X50" s="9" t="n">
        <v>260</v>
      </c>
      <c r="Y50" s="9" t="n">
        <v>40</v>
      </c>
      <c r="Z50" s="9" t="n">
        <v>60</v>
      </c>
      <c r="AA50" s="9" t="n">
        <v>300</v>
      </c>
      <c r="AB50" s="9" t="n">
        <v>200</v>
      </c>
      <c r="AC50" s="9" t="n">
        <v>80</v>
      </c>
      <c r="AD50" s="9" t="n">
        <v>220</v>
      </c>
      <c r="AE50" s="9" t="n">
        <v>60</v>
      </c>
      <c r="AF50" s="9" t="n">
        <v>180</v>
      </c>
      <c r="AG50" s="9" t="n">
        <v>310</v>
      </c>
      <c r="AH50" s="9" t="n">
        <v>60</v>
      </c>
      <c r="AI50" s="9" t="n">
        <v>120</v>
      </c>
      <c r="AJ50" s="9" t="n">
        <v>140</v>
      </c>
      <c r="AK50" s="9" t="n">
        <v>150</v>
      </c>
      <c r="AL50" s="9" t="n">
        <v>210</v>
      </c>
      <c r="AM50" s="9" t="n">
        <v>60</v>
      </c>
      <c r="AN50" s="9" t="n">
        <v>210</v>
      </c>
      <c r="AO50" s="9" t="n">
        <v>90</v>
      </c>
      <c r="AP50" s="9" t="n">
        <v>60</v>
      </c>
      <c r="AQ50" s="9" t="n">
        <v>60</v>
      </c>
      <c r="AR50" s="9" t="n">
        <v>30</v>
      </c>
      <c r="AS50" s="9" t="n">
        <v>210</v>
      </c>
      <c r="AT50" s="9" t="n">
        <v>80</v>
      </c>
      <c r="AU50" s="9" t="n">
        <v>30</v>
      </c>
      <c r="AV50" s="9" t="n">
        <v>60</v>
      </c>
      <c r="AW50" s="9" t="n">
        <v>120</v>
      </c>
      <c r="AX50" s="9" t="n">
        <v>180</v>
      </c>
      <c r="AY50" s="9" t="n">
        <v>90</v>
      </c>
      <c r="AZ50" s="9" t="n">
        <v>130</v>
      </c>
      <c r="BA50" s="9" t="n">
        <v>140</v>
      </c>
      <c r="BB50" s="9"/>
      <c r="BC50" s="9" t="n">
        <v>100</v>
      </c>
      <c r="BD50" s="9" t="n">
        <v>70</v>
      </c>
      <c r="BE50" s="9" t="n">
        <v>240</v>
      </c>
      <c r="BF50" s="9" t="n">
        <v>150</v>
      </c>
      <c r="BG50" s="9" t="n">
        <v>60</v>
      </c>
      <c r="BH50" s="9" t="n">
        <v>120</v>
      </c>
      <c r="BI50" s="9"/>
      <c r="BJ50" s="9" t="n">
        <v>210</v>
      </c>
      <c r="BK50" s="9" t="n">
        <v>90</v>
      </c>
      <c r="BL50" s="9" t="n">
        <v>60</v>
      </c>
      <c r="BM50" s="9" t="n">
        <v>30</v>
      </c>
      <c r="BN50" s="9" t="n">
        <v>120</v>
      </c>
      <c r="BO50" s="9" t="n">
        <v>280</v>
      </c>
      <c r="BP50" s="9" t="n">
        <v>60</v>
      </c>
      <c r="BQ50" s="9" t="n">
        <v>60</v>
      </c>
      <c r="BR50" s="9" t="n">
        <v>150</v>
      </c>
      <c r="BS50" s="9" t="n">
        <v>210</v>
      </c>
      <c r="BT50" s="9" t="n">
        <v>120</v>
      </c>
      <c r="BU50" s="10" t="n">
        <v>9180</v>
      </c>
      <c r="BV50" s="11" t="n">
        <f aca="false">IF(ISERROR(ROUND(MEDIAN(BQ50:BT50),0)),0,ROUND(MEDIAN(BQ50:BT50),0))</f>
        <v>135</v>
      </c>
      <c r="BW50" s="11" t="n">
        <f aca="false">IF(ISERROR(ROUND(MEDIAN(BM50:BT50),0)),0,ROUND(MEDIAN(BM50:BT50),0))</f>
        <v>120</v>
      </c>
      <c r="BX50" s="11" t="n">
        <f aca="false">IF(ISERROR(ROUND(MEDIAN(BI50:BT50),0)),0,ROUND(MEDIAN(BI50:BT50),0))</f>
        <v>120</v>
      </c>
      <c r="BY50" s="11" t="n">
        <f aca="false">IF(ISERROR(ROUND(MEDIAN(BE50:BT50),0)),0,ROUND(MEDIAN(BE50:BT50),0))</f>
        <v>120</v>
      </c>
      <c r="BZ50" s="11" t="n">
        <f aca="false">IF(ISERROR(ROUND(MEDIAN(AU50:BT50),0)),0,ROUND(MEDIAN(AU50:BT50),0))</f>
        <v>120</v>
      </c>
      <c r="CA50" s="12" t="n">
        <f aca="false">IF(ISERROR(ROUND(MEDIAN(U50:BT50),0)),0,ROUND(MEDIAN(U50:BT50),0))</f>
        <v>120</v>
      </c>
      <c r="CB50" s="12" t="n">
        <f aca="false">IF(ISERROR(ROUND(MEDIAN(BT50),0)),0,ROUND(MEDIAN(BT50),0))</f>
        <v>120</v>
      </c>
      <c r="CC50" s="12" t="n">
        <f aca="false">IF(ISERROR(ROUND(MEDIAN(D50:BT50),0)),0,ROUND(MEDIAN(D50:BT50),0))</f>
        <v>140</v>
      </c>
      <c r="CD50" s="12" t="n">
        <f aca="false">MAX(D50:BT50)</f>
        <v>310</v>
      </c>
      <c r="CE50" s="7" t="n">
        <f aca="false">COUNTA(BQ50:BT50)</f>
        <v>4</v>
      </c>
      <c r="CF50" s="7" t="n">
        <f aca="false">COUNTA(BM50:BT50)</f>
        <v>8</v>
      </c>
      <c r="CG50" s="7" t="n">
        <f aca="false">COUNTA(BI50:BT50)</f>
        <v>11</v>
      </c>
      <c r="CH50" s="7" t="n">
        <f aca="false">COUNTA(BE50:BT50)</f>
        <v>15</v>
      </c>
      <c r="CI50" s="7" t="n">
        <f aca="false">COUNTA(AU50:BT50)</f>
        <v>24</v>
      </c>
      <c r="CJ50" s="7" t="n">
        <f aca="false">COUNTA(U50:BT50)</f>
        <v>50</v>
      </c>
      <c r="CK50" s="7" t="n">
        <f aca="false">COUNTA(BT50)</f>
        <v>1</v>
      </c>
      <c r="CL50" s="7" t="n">
        <f aca="false">COUNTA(D50:BT50)</f>
        <v>66</v>
      </c>
      <c r="CM50" s="13" t="str">
        <f aca="false">IF(AND(CE50=1,CJ50=1,BT50&lt;&gt;""),"5.ENTRANTES",IF(AND(CE50&lt;&gt;0,CE50/RIGHT($CE$1,1)&gt;=0.5,CJ50=CE50),"4.RECENTES",IF(AND(CF50&lt;&gt;0,CF50/RIGHT($CF$1,1)&gt;=0.5,CJ50=CF50),"4.RECENTES",IF(AND(CG50&lt;&gt;0,CG50/RIGHT($CG$1,2)&gt;=0.5,CJ50=CG50),"4.RECENTES",IF(AND(CH50&lt;&gt;0,CH50/RIGHT($CH$1,2)&gt;=0.5,CJ50=CH50),"4.RECENTES",IF(AND(CI50&lt;&gt;0,CI50/RIGHT($CI$1,2)&gt;=0.5,CJ50=CI50),"4.RECENTES",IF(AND(CE50=0,CF50=0,CG50=0,CH50=0),"3.INATIVOS",IF(CJ50/RIGHT($CJ$1,2)&lt;0.5,"2.INTERMITENTES","1.ORDINÁRIOS"))))))))</f>
        <v>1.ORDINÁRIOS</v>
      </c>
      <c r="CN50" s="14" t="n">
        <f aca="false">IF(AND(CE50=1,CJ50=1,BT50&lt;&gt;""),BT50,IF(AND(CE50&lt;&gt;0,CE50/RIGHT($CE$1,1)&gt;=0.5,CJ50=CE50),MAX(BV50:CC50),IF(AND(CF50&lt;&gt;0,CF50/RIGHT($CF$1,1)&gt;=0.5,CJ50=CF50),MAX(BV50:CC50),IF(AND(CG50&lt;&gt;0,CG50/RIGHT($CG$1,2)&gt;=0.5,CJ50=CG50),MAX(BV50:CC50),IF(AND(CH50&lt;&gt;0,CH50/RIGHT($CH$1,2)&gt;=0.5,CJ50=CH50),MAX(BV50:CC50),IF(AND(CI50&lt;&gt;0,CI50/RIGHT($CI$1,2)&gt;=0.5,CJ50=CI50),MAX(BV50:CC50),IF(AND(CE50=0,CF50=0,CG50=0,CH50=0),0,IF(CJ50/RIGHT($CJ$1,2)&lt;0.5,ROUND(BU50/RIGHT($CJ$1,2),0),MAX(BV50:CC50)))))))))</f>
        <v>140</v>
      </c>
      <c r="CO50" s="14" t="n">
        <f aca="false">CN50*3</f>
        <v>420</v>
      </c>
      <c r="CP50" s="15" t="n">
        <v>330</v>
      </c>
      <c r="CQ50" s="16" t="n">
        <f aca="false">IF((CO50-CP50)&lt;0,0,(CO50-CP50))</f>
        <v>90</v>
      </c>
      <c r="CR50" s="7"/>
    </row>
    <row r="51" customFormat="false" ht="12.75" hidden="false" customHeight="true" outlineLevel="0" collapsed="false">
      <c r="A51" s="7" t="s">
        <v>95</v>
      </c>
      <c r="B51" s="7" t="s">
        <v>145</v>
      </c>
      <c r="C51" s="8" t="n">
        <v>325003001</v>
      </c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 t="n">
        <v>2</v>
      </c>
      <c r="W51" s="9"/>
      <c r="X51" s="9"/>
      <c r="Y51" s="9" t="n">
        <v>1</v>
      </c>
      <c r="Z51" s="9"/>
      <c r="AA51" s="9"/>
      <c r="AB51" s="9"/>
      <c r="AC51" s="9"/>
      <c r="AD51" s="9"/>
      <c r="AE51" s="9"/>
      <c r="AF51" s="9" t="n">
        <v>1</v>
      </c>
      <c r="AG51" s="9"/>
      <c r="AH51" s="9"/>
      <c r="AI51" s="9"/>
      <c r="AJ51" s="9"/>
      <c r="AK51" s="9"/>
      <c r="AL51" s="9"/>
      <c r="AM51" s="9"/>
      <c r="AN51" s="9" t="n">
        <v>3</v>
      </c>
      <c r="AO51" s="9" t="n">
        <v>1</v>
      </c>
      <c r="AP51" s="9"/>
      <c r="AQ51" s="9"/>
      <c r="AR51" s="9"/>
      <c r="AS51" s="9" t="n">
        <v>1</v>
      </c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 t="n">
        <v>2</v>
      </c>
      <c r="BH51" s="9"/>
      <c r="BI51" s="9"/>
      <c r="BJ51" s="9"/>
      <c r="BK51" s="9"/>
      <c r="BL51" s="9"/>
      <c r="BM51" s="9" t="n">
        <v>8</v>
      </c>
      <c r="BN51" s="9"/>
      <c r="BO51" s="9"/>
      <c r="BP51" s="9" t="n">
        <v>2</v>
      </c>
      <c r="BQ51" s="9"/>
      <c r="BR51" s="9"/>
      <c r="BS51" s="9"/>
      <c r="BT51" s="9" t="n">
        <v>1</v>
      </c>
      <c r="BU51" s="10" t="n">
        <v>22</v>
      </c>
      <c r="BV51" s="11" t="n">
        <f aca="false">IF(ISERROR(ROUND(MEDIAN(BQ51:BT51),0)),0,ROUND(MEDIAN(BQ51:BT51),0))</f>
        <v>1</v>
      </c>
      <c r="BW51" s="11" t="n">
        <f aca="false">IF(ISERROR(ROUND(MEDIAN(BM51:BT51),0)),0,ROUND(MEDIAN(BM51:BT51),0))</f>
        <v>2</v>
      </c>
      <c r="BX51" s="11" t="n">
        <f aca="false">IF(ISERROR(ROUND(MEDIAN(BI51:BT51),0)),0,ROUND(MEDIAN(BI51:BT51),0))</f>
        <v>2</v>
      </c>
      <c r="BY51" s="11" t="n">
        <f aca="false">IF(ISERROR(ROUND(MEDIAN(BE51:BT51),0)),0,ROUND(MEDIAN(BE51:BT51),0))</f>
        <v>2</v>
      </c>
      <c r="BZ51" s="11" t="n">
        <f aca="false">IF(ISERROR(ROUND(MEDIAN(AU51:BT51),0)),0,ROUND(MEDIAN(AU51:BT51),0))</f>
        <v>2</v>
      </c>
      <c r="CA51" s="12" t="n">
        <f aca="false">IF(ISERROR(ROUND(MEDIAN(U51:BT51),0)),0,ROUND(MEDIAN(U51:BT51),0))</f>
        <v>2</v>
      </c>
      <c r="CB51" s="12" t="n">
        <f aca="false">IF(ISERROR(ROUND(MEDIAN(BT51),0)),0,ROUND(MEDIAN(BT51),0))</f>
        <v>1</v>
      </c>
      <c r="CC51" s="12" t="n">
        <f aca="false">IF(ISERROR(ROUND(MEDIAN(D51:BT51),0)),0,ROUND(MEDIAN(D51:BT51),0))</f>
        <v>2</v>
      </c>
      <c r="CD51" s="12" t="n">
        <f aca="false">MAX(D51:BT51)</f>
        <v>8</v>
      </c>
      <c r="CE51" s="7" t="n">
        <f aca="false">COUNTA(BQ51:BT51)</f>
        <v>1</v>
      </c>
      <c r="CF51" s="7" t="n">
        <f aca="false">COUNTA(BM51:BT51)</f>
        <v>3</v>
      </c>
      <c r="CG51" s="7" t="n">
        <f aca="false">COUNTA(BI51:BT51)</f>
        <v>3</v>
      </c>
      <c r="CH51" s="7" t="n">
        <f aca="false">COUNTA(BE51:BT51)</f>
        <v>4</v>
      </c>
      <c r="CI51" s="7" t="n">
        <f aca="false">COUNTA(AU51:BT51)</f>
        <v>4</v>
      </c>
      <c r="CJ51" s="7" t="n">
        <f aca="false">COUNTA(U51:BT51)</f>
        <v>10</v>
      </c>
      <c r="CK51" s="7" t="n">
        <f aca="false">COUNTA(BT51)</f>
        <v>1</v>
      </c>
      <c r="CL51" s="7" t="n">
        <f aca="false">COUNTA(D51:BT51)</f>
        <v>10</v>
      </c>
      <c r="CM51" s="17" t="str">
        <f aca="false">IF(AND(CE51=1,CJ51=1,BT51&lt;&gt;""),"5.ENTRANTES",IF(AND(CE51&lt;&gt;0,CE51/RIGHT($CE$1,1)&gt;=0.5,CJ51=CE51),"4.RECENTES",IF(AND(CF51&lt;&gt;0,CF51/RIGHT($CF$1,1)&gt;=0.5,CJ51=CF51),"4.RECENTES",IF(AND(CG51&lt;&gt;0,CG51/RIGHT($CG$1,2)&gt;=0.5,CJ51=CG51),"4.RECENTES",IF(AND(CH51&lt;&gt;0,CH51/RIGHT($CH$1,2)&gt;=0.5,CJ51=CH51),"4.RECENTES",IF(AND(CI51&lt;&gt;0,CI51/RIGHT($CI$1,2)&gt;=0.5,CJ51=CI51),"4.RECENTES",IF(AND(CE51=0,CF51=0,CG51=0,CH51=0),"3.INATIVOS",IF(CJ51/RIGHT($CJ$1,2)&lt;0.5,"2.INTERMITENTES","1.ORDINÁRIOS"))))))))</f>
        <v>2.INTERMITENTES</v>
      </c>
      <c r="CN51" s="18" t="n">
        <f aca="false">IF(AND(CE51=1,CJ51=1,BT51&lt;&gt;""),BT51,IF(AND(CE51&lt;&gt;0,CE51/RIGHT($CE$1,1)&gt;=0.5,CJ51=CE51),MAX(BV51:CC51),IF(AND(CF51&lt;&gt;0,CF51/RIGHT($CF$1,1)&gt;=0.5,CJ51=CF51),MAX(BV51:CC51),IF(AND(CG51&lt;&gt;0,CG51/RIGHT($CG$1,2)&gt;=0.5,CJ51=CG51),MAX(BV51:CC51),IF(AND(CH51&lt;&gt;0,CH51/RIGHT($CH$1,2)&gt;=0.5,CJ51=CH51),MAX(BV51:CC51),IF(AND(CI51&lt;&gt;0,CI51/RIGHT($CI$1,2)&gt;=0.5,CJ51=CI51),MAX(BV51:CC51),IF(AND(CE51=0,CF51=0,CG51=0,CH51=0),0,IF(CJ51/RIGHT($CJ$1,2)&lt;0.5,ROUND(BU51/RIGHT($CJ$1,2),0),MAX(BV51:CC51)))))))))</f>
        <v>0</v>
      </c>
      <c r="CO51" s="18" t="n">
        <f aca="false">CD51</f>
        <v>8</v>
      </c>
      <c r="CP51" s="15" t="n">
        <v>22</v>
      </c>
      <c r="CQ51" s="16" t="n">
        <f aca="false">IF((CO51-CP51)&lt;0,0,(CO51-CP51))</f>
        <v>0</v>
      </c>
      <c r="CR51" s="7"/>
    </row>
    <row r="52" customFormat="false" ht="12.75" hidden="false" customHeight="true" outlineLevel="0" collapsed="false">
      <c r="A52" s="7" t="s">
        <v>95</v>
      </c>
      <c r="B52" s="7" t="s">
        <v>146</v>
      </c>
      <c r="C52" s="8" t="n">
        <v>2000012</v>
      </c>
      <c r="D52" s="9" t="n">
        <v>140</v>
      </c>
      <c r="E52" s="9" t="n">
        <v>100</v>
      </c>
      <c r="F52" s="9" t="n">
        <v>220</v>
      </c>
      <c r="G52" s="9" t="n">
        <v>60</v>
      </c>
      <c r="H52" s="9" t="n">
        <v>180</v>
      </c>
      <c r="I52" s="9" t="n">
        <v>200</v>
      </c>
      <c r="J52" s="9" t="n">
        <v>240</v>
      </c>
      <c r="K52" s="9" t="n">
        <v>160</v>
      </c>
      <c r="L52" s="9" t="n">
        <v>320</v>
      </c>
      <c r="M52" s="9" t="n">
        <v>220</v>
      </c>
      <c r="N52" s="9" t="n">
        <v>110</v>
      </c>
      <c r="O52" s="9" t="n">
        <v>110</v>
      </c>
      <c r="P52" s="9" t="n">
        <v>140</v>
      </c>
      <c r="Q52" s="9" t="n">
        <v>140</v>
      </c>
      <c r="R52" s="9" t="n">
        <v>250</v>
      </c>
      <c r="S52" s="9" t="n">
        <v>150</v>
      </c>
      <c r="T52" s="9" t="n">
        <v>140</v>
      </c>
      <c r="U52" s="9" t="n">
        <v>230</v>
      </c>
      <c r="V52" s="9" t="n">
        <v>290</v>
      </c>
      <c r="W52" s="9" t="n">
        <v>70</v>
      </c>
      <c r="X52" s="9" t="n">
        <v>130</v>
      </c>
      <c r="Y52" s="9" t="n">
        <v>170</v>
      </c>
      <c r="Z52" s="9" t="n">
        <v>90</v>
      </c>
      <c r="AA52" s="9" t="n">
        <v>220</v>
      </c>
      <c r="AB52" s="9" t="n">
        <v>60</v>
      </c>
      <c r="AC52" s="9" t="n">
        <v>240</v>
      </c>
      <c r="AD52" s="9" t="n">
        <v>100</v>
      </c>
      <c r="AE52" s="9" t="n">
        <v>200</v>
      </c>
      <c r="AF52" s="9" t="n">
        <v>150</v>
      </c>
      <c r="AG52" s="9" t="n">
        <v>120</v>
      </c>
      <c r="AH52" s="9" t="n">
        <v>60</v>
      </c>
      <c r="AI52" s="9" t="n">
        <v>90</v>
      </c>
      <c r="AJ52" s="9" t="n">
        <v>40</v>
      </c>
      <c r="AK52" s="9" t="n">
        <v>70</v>
      </c>
      <c r="AL52" s="9" t="n">
        <v>200</v>
      </c>
      <c r="AM52" s="9" t="n">
        <v>200</v>
      </c>
      <c r="AN52" s="9" t="n">
        <v>110</v>
      </c>
      <c r="AO52" s="9" t="n">
        <v>120</v>
      </c>
      <c r="AP52" s="9" t="n">
        <v>160</v>
      </c>
      <c r="AQ52" s="9" t="n">
        <v>260</v>
      </c>
      <c r="AR52" s="9" t="n">
        <v>280</v>
      </c>
      <c r="AS52" s="9" t="n">
        <v>60</v>
      </c>
      <c r="AT52" s="9" t="n">
        <v>180</v>
      </c>
      <c r="AU52" s="9" t="n">
        <v>200</v>
      </c>
      <c r="AV52" s="9" t="n">
        <v>120</v>
      </c>
      <c r="AW52" s="9" t="n">
        <v>60</v>
      </c>
      <c r="AX52" s="9" t="n">
        <v>10</v>
      </c>
      <c r="AY52" s="9" t="n">
        <v>40</v>
      </c>
      <c r="AZ52" s="9" t="n">
        <v>120</v>
      </c>
      <c r="BA52" s="9" t="n">
        <v>100</v>
      </c>
      <c r="BB52" s="9"/>
      <c r="BC52" s="9" t="n">
        <v>100</v>
      </c>
      <c r="BD52" s="9" t="n">
        <v>60</v>
      </c>
      <c r="BE52" s="9" t="n">
        <v>140</v>
      </c>
      <c r="BF52" s="9" t="n">
        <v>20</v>
      </c>
      <c r="BG52" s="9" t="n">
        <v>90</v>
      </c>
      <c r="BH52" s="9"/>
      <c r="BI52" s="9" t="n">
        <v>130</v>
      </c>
      <c r="BJ52" s="9" t="n">
        <v>100</v>
      </c>
      <c r="BK52" s="9" t="n">
        <v>80</v>
      </c>
      <c r="BL52" s="9" t="n">
        <v>30</v>
      </c>
      <c r="BM52" s="9"/>
      <c r="BN52" s="9" t="n">
        <v>90</v>
      </c>
      <c r="BO52" s="9" t="n">
        <v>100</v>
      </c>
      <c r="BP52" s="9" t="n">
        <v>50</v>
      </c>
      <c r="BQ52" s="9" t="n">
        <v>80</v>
      </c>
      <c r="BR52" s="9" t="n">
        <v>130</v>
      </c>
      <c r="BS52" s="9" t="n">
        <v>10</v>
      </c>
      <c r="BT52" s="9" t="n">
        <v>30</v>
      </c>
      <c r="BU52" s="10" t="n">
        <v>8670</v>
      </c>
      <c r="BV52" s="11" t="n">
        <f aca="false">IF(ISERROR(ROUND(MEDIAN(BQ52:BT52),0)),0,ROUND(MEDIAN(BQ52:BT52),0))</f>
        <v>55</v>
      </c>
      <c r="BW52" s="11" t="n">
        <f aca="false">IF(ISERROR(ROUND(MEDIAN(BM52:BT52),0)),0,ROUND(MEDIAN(BM52:BT52),0))</f>
        <v>80</v>
      </c>
      <c r="BX52" s="11" t="n">
        <f aca="false">IF(ISERROR(ROUND(MEDIAN(BI52:BT52),0)),0,ROUND(MEDIAN(BI52:BT52),0))</f>
        <v>80</v>
      </c>
      <c r="BY52" s="11" t="n">
        <f aca="false">IF(ISERROR(ROUND(MEDIAN(BE52:BT52),0)),0,ROUND(MEDIAN(BE52:BT52),0))</f>
        <v>85</v>
      </c>
      <c r="BZ52" s="11" t="n">
        <f aca="false">IF(ISERROR(ROUND(MEDIAN(AU52:BT52),0)),0,ROUND(MEDIAN(AU52:BT52),0))</f>
        <v>90</v>
      </c>
      <c r="CA52" s="12" t="n">
        <f aca="false">IF(ISERROR(ROUND(MEDIAN(U52:BT52),0)),0,ROUND(MEDIAN(U52:BT52),0))</f>
        <v>100</v>
      </c>
      <c r="CB52" s="12" t="n">
        <f aca="false">IF(ISERROR(ROUND(MEDIAN(BT52),0)),0,ROUND(MEDIAN(BT52),0))</f>
        <v>30</v>
      </c>
      <c r="CC52" s="12" t="n">
        <f aca="false">IF(ISERROR(ROUND(MEDIAN(D52:BT52),0)),0,ROUND(MEDIAN(D52:BT52),0))</f>
        <v>120</v>
      </c>
      <c r="CD52" s="12" t="n">
        <f aca="false">MAX(D52:BT52)</f>
        <v>320</v>
      </c>
      <c r="CE52" s="7" t="n">
        <f aca="false">COUNTA(BQ52:BT52)</f>
        <v>4</v>
      </c>
      <c r="CF52" s="7" t="n">
        <f aca="false">COUNTA(BM52:BT52)</f>
        <v>7</v>
      </c>
      <c r="CG52" s="7" t="n">
        <f aca="false">COUNTA(BI52:BT52)</f>
        <v>11</v>
      </c>
      <c r="CH52" s="7" t="n">
        <f aca="false">COUNTA(BE52:BT52)</f>
        <v>14</v>
      </c>
      <c r="CI52" s="7" t="n">
        <f aca="false">COUNTA(AU52:BT52)</f>
        <v>23</v>
      </c>
      <c r="CJ52" s="7" t="n">
        <f aca="false">COUNTA(U52:BT52)</f>
        <v>49</v>
      </c>
      <c r="CK52" s="7" t="n">
        <f aca="false">COUNTA(BT52)</f>
        <v>1</v>
      </c>
      <c r="CL52" s="7" t="n">
        <f aca="false">COUNTA(D52:BT52)</f>
        <v>66</v>
      </c>
      <c r="CM52" s="13" t="str">
        <f aca="false">IF(AND(CE52=1,CJ52=1,BT52&lt;&gt;""),"5.ENTRANTES",IF(AND(CE52&lt;&gt;0,CE52/RIGHT($CE$1,1)&gt;=0.5,CJ52=CE52),"4.RECENTES",IF(AND(CF52&lt;&gt;0,CF52/RIGHT($CF$1,1)&gt;=0.5,CJ52=CF52),"4.RECENTES",IF(AND(CG52&lt;&gt;0,CG52/RIGHT($CG$1,2)&gt;=0.5,CJ52=CG52),"4.RECENTES",IF(AND(CH52&lt;&gt;0,CH52/RIGHT($CH$1,2)&gt;=0.5,CJ52=CH52),"4.RECENTES",IF(AND(CI52&lt;&gt;0,CI52/RIGHT($CI$1,2)&gt;=0.5,CJ52=CI52),"4.RECENTES",IF(AND(CE52=0,CF52=0,CG52=0,CH52=0),"3.INATIVOS",IF(CJ52/RIGHT($CJ$1,2)&lt;0.5,"2.INTERMITENTES","1.ORDINÁRIOS"))))))))</f>
        <v>1.ORDINÁRIOS</v>
      </c>
      <c r="CN52" s="14" t="n">
        <f aca="false">IF(AND(CE52=1,CJ52=1,BT52&lt;&gt;""),BT52,IF(AND(CE52&lt;&gt;0,CE52/RIGHT($CE$1,1)&gt;=0.5,CJ52=CE52),MAX(BV52:CC52),IF(AND(CF52&lt;&gt;0,CF52/RIGHT($CF$1,1)&gt;=0.5,CJ52=CF52),MAX(BV52:CC52),IF(AND(CG52&lt;&gt;0,CG52/RIGHT($CG$1,2)&gt;=0.5,CJ52=CG52),MAX(BV52:CC52),IF(AND(CH52&lt;&gt;0,CH52/RIGHT($CH$1,2)&gt;=0.5,CJ52=CH52),MAX(BV52:CC52),IF(AND(CI52&lt;&gt;0,CI52/RIGHT($CI$1,2)&gt;=0.5,CJ52=CI52),MAX(BV52:CC52),IF(AND(CE52=0,CF52=0,CG52=0,CH52=0),0,IF(CJ52/RIGHT($CJ$1,2)&lt;0.5,ROUND(BU52/RIGHT($CJ$1,2),0),MAX(BV52:CC52)))))))))</f>
        <v>120</v>
      </c>
      <c r="CO52" s="14" t="n">
        <f aca="false">CN52*3</f>
        <v>360</v>
      </c>
      <c r="CP52" s="15" t="n">
        <v>260</v>
      </c>
      <c r="CQ52" s="16" t="n">
        <f aca="false">IF((CO52-CP52)&lt;0,0,(CO52-CP52))</f>
        <v>100</v>
      </c>
      <c r="CR52" s="7"/>
    </row>
    <row r="53" customFormat="false" ht="12.75" hidden="false" customHeight="true" outlineLevel="0" collapsed="false">
      <c r="A53" s="7" t="s">
        <v>95</v>
      </c>
      <c r="B53" s="7" t="s">
        <v>147</v>
      </c>
      <c r="C53" s="8" t="n">
        <v>5000100</v>
      </c>
      <c r="D53" s="9" t="n">
        <v>30</v>
      </c>
      <c r="E53" s="9" t="n">
        <v>480</v>
      </c>
      <c r="F53" s="9" t="n">
        <v>460</v>
      </c>
      <c r="G53" s="9" t="n">
        <v>240</v>
      </c>
      <c r="H53" s="9" t="n">
        <v>210</v>
      </c>
      <c r="I53" s="9" t="n">
        <v>300</v>
      </c>
      <c r="J53" s="9" t="n">
        <v>360</v>
      </c>
      <c r="K53" s="9" t="n">
        <v>160</v>
      </c>
      <c r="L53" s="9" t="n">
        <v>460</v>
      </c>
      <c r="M53" s="9" t="n">
        <v>260</v>
      </c>
      <c r="N53" s="9" t="n">
        <v>250</v>
      </c>
      <c r="O53" s="9" t="n">
        <v>300</v>
      </c>
      <c r="P53" s="9" t="n">
        <v>370</v>
      </c>
      <c r="Q53" s="9" t="n">
        <v>120</v>
      </c>
      <c r="R53" s="9" t="n">
        <v>450</v>
      </c>
      <c r="S53" s="9" t="n">
        <v>320</v>
      </c>
      <c r="T53" s="9" t="n">
        <v>300</v>
      </c>
      <c r="U53" s="9" t="n">
        <v>210</v>
      </c>
      <c r="V53" s="9" t="n">
        <v>180</v>
      </c>
      <c r="W53" s="9" t="n">
        <v>230</v>
      </c>
      <c r="X53" s="9" t="n">
        <v>350</v>
      </c>
      <c r="Y53" s="9" t="n">
        <v>290</v>
      </c>
      <c r="Z53" s="9" t="n">
        <v>220</v>
      </c>
      <c r="AA53" s="9" t="n">
        <v>380</v>
      </c>
      <c r="AB53" s="9" t="n">
        <v>230</v>
      </c>
      <c r="AC53" s="9" t="n">
        <v>270</v>
      </c>
      <c r="AD53" s="9" t="n">
        <v>150</v>
      </c>
      <c r="AE53" s="9" t="n">
        <v>390</v>
      </c>
      <c r="AF53" s="9" t="n">
        <v>150</v>
      </c>
      <c r="AG53" s="9" t="n">
        <v>430</v>
      </c>
      <c r="AH53" s="9" t="n">
        <v>300</v>
      </c>
      <c r="AI53" s="9" t="n">
        <v>120</v>
      </c>
      <c r="AJ53" s="9" t="n">
        <v>210</v>
      </c>
      <c r="AK53" s="9" t="n">
        <v>270</v>
      </c>
      <c r="AL53" s="9" t="n">
        <v>360</v>
      </c>
      <c r="AM53" s="9" t="n">
        <v>340</v>
      </c>
      <c r="AN53" s="9" t="n">
        <v>120</v>
      </c>
      <c r="AO53" s="9" t="n">
        <v>150</v>
      </c>
      <c r="AP53" s="9" t="n">
        <v>450</v>
      </c>
      <c r="AQ53" s="9" t="n">
        <v>330</v>
      </c>
      <c r="AR53" s="9" t="n">
        <v>360</v>
      </c>
      <c r="AS53" s="9" t="n">
        <v>220</v>
      </c>
      <c r="AT53" s="9" t="n">
        <v>220</v>
      </c>
      <c r="AU53" s="9" t="n">
        <v>120</v>
      </c>
      <c r="AV53" s="9" t="n">
        <v>130</v>
      </c>
      <c r="AW53" s="9" t="n">
        <v>250</v>
      </c>
      <c r="AX53" s="9" t="n">
        <v>210</v>
      </c>
      <c r="AY53" s="9" t="n">
        <v>120</v>
      </c>
      <c r="AZ53" s="9" t="n">
        <v>220</v>
      </c>
      <c r="BA53" s="9" t="n">
        <v>261</v>
      </c>
      <c r="BB53" s="9" t="n">
        <v>180</v>
      </c>
      <c r="BC53" s="9" t="n">
        <v>180</v>
      </c>
      <c r="BD53" s="9" t="n">
        <v>130</v>
      </c>
      <c r="BE53" s="9" t="n">
        <v>190</v>
      </c>
      <c r="BF53" s="9" t="n">
        <v>150</v>
      </c>
      <c r="BG53" s="9" t="n">
        <v>120</v>
      </c>
      <c r="BH53" s="9" t="n">
        <v>60</v>
      </c>
      <c r="BI53" s="9" t="n">
        <v>180</v>
      </c>
      <c r="BJ53" s="9" t="n">
        <v>210</v>
      </c>
      <c r="BK53" s="9" t="n">
        <v>120</v>
      </c>
      <c r="BL53" s="9" t="n">
        <v>120</v>
      </c>
      <c r="BM53" s="9" t="n">
        <v>150</v>
      </c>
      <c r="BN53" s="9" t="n">
        <v>180</v>
      </c>
      <c r="BO53" s="9" t="n">
        <v>210</v>
      </c>
      <c r="BP53" s="9" t="n">
        <v>180</v>
      </c>
      <c r="BQ53" s="9" t="n">
        <v>90</v>
      </c>
      <c r="BR53" s="9" t="n">
        <v>120</v>
      </c>
      <c r="BS53" s="9" t="n">
        <v>270</v>
      </c>
      <c r="BT53" s="9" t="n">
        <v>120</v>
      </c>
      <c r="BU53" s="10" t="n">
        <v>16271</v>
      </c>
      <c r="BV53" s="11" t="n">
        <f aca="false">IF(ISERROR(ROUND(MEDIAN(BQ53:BT53),0)),0,ROUND(MEDIAN(BQ53:BT53),0))</f>
        <v>120</v>
      </c>
      <c r="BW53" s="11" t="n">
        <f aca="false">IF(ISERROR(ROUND(MEDIAN(BM53:BT53),0)),0,ROUND(MEDIAN(BM53:BT53),0))</f>
        <v>165</v>
      </c>
      <c r="BX53" s="11" t="n">
        <f aca="false">IF(ISERROR(ROUND(MEDIAN(BI53:BT53),0)),0,ROUND(MEDIAN(BI53:BT53),0))</f>
        <v>165</v>
      </c>
      <c r="BY53" s="11" t="n">
        <f aca="false">IF(ISERROR(ROUND(MEDIAN(BE53:BT53),0)),0,ROUND(MEDIAN(BE53:BT53),0))</f>
        <v>150</v>
      </c>
      <c r="BZ53" s="11" t="n">
        <f aca="false">IF(ISERROR(ROUND(MEDIAN(AU53:BT53),0)),0,ROUND(MEDIAN(AU53:BT53),0))</f>
        <v>165</v>
      </c>
      <c r="CA53" s="12" t="n">
        <f aca="false">IF(ISERROR(ROUND(MEDIAN(U53:BT53),0)),0,ROUND(MEDIAN(U53:BT53),0))</f>
        <v>210</v>
      </c>
      <c r="CB53" s="12" t="n">
        <f aca="false">IF(ISERROR(ROUND(MEDIAN(BT53),0)),0,ROUND(MEDIAN(BT53),0))</f>
        <v>120</v>
      </c>
      <c r="CC53" s="12" t="n">
        <f aca="false">IF(ISERROR(ROUND(MEDIAN(D53:BT53),0)),0,ROUND(MEDIAN(D53:BT53),0))</f>
        <v>220</v>
      </c>
      <c r="CD53" s="12" t="n">
        <f aca="false">MAX(D53:BT53)</f>
        <v>480</v>
      </c>
      <c r="CE53" s="7" t="n">
        <f aca="false">COUNTA(BQ53:BT53)</f>
        <v>4</v>
      </c>
      <c r="CF53" s="7" t="n">
        <f aca="false">COUNTA(BM53:BT53)</f>
        <v>8</v>
      </c>
      <c r="CG53" s="7" t="n">
        <f aca="false">COUNTA(BI53:BT53)</f>
        <v>12</v>
      </c>
      <c r="CH53" s="7" t="n">
        <f aca="false">COUNTA(BE53:BT53)</f>
        <v>16</v>
      </c>
      <c r="CI53" s="7" t="n">
        <f aca="false">COUNTA(AU53:BT53)</f>
        <v>26</v>
      </c>
      <c r="CJ53" s="7" t="n">
        <f aca="false">COUNTA(U53:BT53)</f>
        <v>52</v>
      </c>
      <c r="CK53" s="7" t="n">
        <f aca="false">COUNTA(BT53)</f>
        <v>1</v>
      </c>
      <c r="CL53" s="7" t="n">
        <f aca="false">COUNTA(D53:BT53)</f>
        <v>69</v>
      </c>
      <c r="CM53" s="13" t="str">
        <f aca="false">IF(AND(CE53=1,CJ53=1,BT53&lt;&gt;""),"5.ENTRANTES",IF(AND(CE53&lt;&gt;0,CE53/RIGHT($CE$1,1)&gt;=0.5,CJ53=CE53),"4.RECENTES",IF(AND(CF53&lt;&gt;0,CF53/RIGHT($CF$1,1)&gt;=0.5,CJ53=CF53),"4.RECENTES",IF(AND(CG53&lt;&gt;0,CG53/RIGHT($CG$1,2)&gt;=0.5,CJ53=CG53),"4.RECENTES",IF(AND(CH53&lt;&gt;0,CH53/RIGHT($CH$1,2)&gt;=0.5,CJ53=CH53),"4.RECENTES",IF(AND(CI53&lt;&gt;0,CI53/RIGHT($CI$1,2)&gt;=0.5,CJ53=CI53),"4.RECENTES",IF(AND(CE53=0,CF53=0,CG53=0,CH53=0),"3.INATIVOS",IF(CJ53/RIGHT($CJ$1,2)&lt;0.5,"2.INTERMITENTES","1.ORDINÁRIOS"))))))))</f>
        <v>1.ORDINÁRIOS</v>
      </c>
      <c r="CN53" s="14" t="n">
        <f aca="false">IF(AND(CE53=1,CJ53=1,BT53&lt;&gt;""),BT53,IF(AND(CE53&lt;&gt;0,CE53/RIGHT($CE$1,1)&gt;=0.5,CJ53=CE53),MAX(BV53:CC53),IF(AND(CF53&lt;&gt;0,CF53/RIGHT($CF$1,1)&gt;=0.5,CJ53=CF53),MAX(BV53:CC53),IF(AND(CG53&lt;&gt;0,CG53/RIGHT($CG$1,2)&gt;=0.5,CJ53=CG53),MAX(BV53:CC53),IF(AND(CH53&lt;&gt;0,CH53/RIGHT($CH$1,2)&gt;=0.5,CJ53=CH53),MAX(BV53:CC53),IF(AND(CI53&lt;&gt;0,CI53/RIGHT($CI$1,2)&gt;=0.5,CJ53=CI53),MAX(BV53:CC53),IF(AND(CE53=0,CF53=0,CG53=0,CH53=0),0,IF(CJ53/RIGHT($CJ$1,2)&lt;0.5,ROUND(BU53/RIGHT($CJ$1,2),0),MAX(BV53:CC53)))))))))</f>
        <v>220</v>
      </c>
      <c r="CO53" s="14" t="n">
        <f aca="false">CN53*3</f>
        <v>660</v>
      </c>
      <c r="CP53" s="15" t="n">
        <v>510</v>
      </c>
      <c r="CQ53" s="16" t="n">
        <f aca="false">IF((CO53-CP53)&lt;0,0,(CO53-CP53))</f>
        <v>150</v>
      </c>
      <c r="CR53" s="7"/>
    </row>
    <row r="54" customFormat="false" ht="12.75" hidden="false" customHeight="true" outlineLevel="0" collapsed="false">
      <c r="A54" s="7" t="s">
        <v>95</v>
      </c>
      <c r="B54" s="7" t="s">
        <v>148</v>
      </c>
      <c r="C54" s="8" t="n">
        <v>2000045</v>
      </c>
      <c r="D54" s="9" t="n">
        <v>45</v>
      </c>
      <c r="E54" s="9" t="n">
        <v>165</v>
      </c>
      <c r="F54" s="9" t="n">
        <v>285</v>
      </c>
      <c r="G54" s="9" t="n">
        <v>480</v>
      </c>
      <c r="H54" s="9" t="n">
        <v>120</v>
      </c>
      <c r="I54" s="9" t="n">
        <v>269</v>
      </c>
      <c r="J54" s="9" t="n">
        <v>315</v>
      </c>
      <c r="K54" s="9" t="n">
        <v>180</v>
      </c>
      <c r="L54" s="9" t="n">
        <v>330</v>
      </c>
      <c r="M54" s="9" t="n">
        <v>285</v>
      </c>
      <c r="N54" s="9" t="n">
        <v>90</v>
      </c>
      <c r="O54" s="9" t="n">
        <v>265</v>
      </c>
      <c r="P54" s="9" t="n">
        <v>327</v>
      </c>
      <c r="Q54" s="9" t="n">
        <v>165</v>
      </c>
      <c r="R54" s="9" t="n">
        <v>225</v>
      </c>
      <c r="S54" s="9" t="n">
        <v>105</v>
      </c>
      <c r="T54" s="9" t="n">
        <v>135</v>
      </c>
      <c r="U54" s="9" t="n">
        <v>270</v>
      </c>
      <c r="V54" s="9" t="n">
        <v>282</v>
      </c>
      <c r="W54" s="9" t="n">
        <v>251</v>
      </c>
      <c r="X54" s="9" t="n">
        <v>230</v>
      </c>
      <c r="Y54" s="9" t="n">
        <v>232</v>
      </c>
      <c r="Z54" s="9" t="n">
        <v>126</v>
      </c>
      <c r="AA54" s="9" t="n">
        <v>338</v>
      </c>
      <c r="AB54" s="9" t="n">
        <v>195</v>
      </c>
      <c r="AC54" s="9" t="n">
        <v>255</v>
      </c>
      <c r="AD54" s="9" t="n">
        <v>253</v>
      </c>
      <c r="AE54" s="9" t="n">
        <v>225</v>
      </c>
      <c r="AF54" s="9" t="n">
        <v>135</v>
      </c>
      <c r="AG54" s="9" t="n">
        <v>180</v>
      </c>
      <c r="AH54" s="9" t="n">
        <v>360</v>
      </c>
      <c r="AI54" s="9" t="n">
        <v>210</v>
      </c>
      <c r="AJ54" s="9" t="n">
        <v>105</v>
      </c>
      <c r="AK54" s="9" t="n">
        <v>180</v>
      </c>
      <c r="AL54" s="9" t="n">
        <v>255</v>
      </c>
      <c r="AM54" s="9" t="n">
        <v>105</v>
      </c>
      <c r="AN54" s="9" t="n">
        <v>398</v>
      </c>
      <c r="AO54" s="9" t="n">
        <v>190</v>
      </c>
      <c r="AP54" s="9" t="n">
        <v>206</v>
      </c>
      <c r="AQ54" s="9" t="n">
        <v>217</v>
      </c>
      <c r="AR54" s="9" t="n">
        <v>134</v>
      </c>
      <c r="AS54" s="9" t="n">
        <v>161</v>
      </c>
      <c r="AT54" s="9" t="n">
        <v>91</v>
      </c>
      <c r="AU54" s="9" t="n">
        <v>70</v>
      </c>
      <c r="AV54" s="9" t="n">
        <v>98</v>
      </c>
      <c r="AW54" s="9" t="n">
        <v>98</v>
      </c>
      <c r="AX54" s="9" t="n">
        <v>43</v>
      </c>
      <c r="AY54" s="9" t="n">
        <v>77</v>
      </c>
      <c r="AZ54" s="9" t="n">
        <v>56</v>
      </c>
      <c r="BA54" s="9" t="n">
        <v>71</v>
      </c>
      <c r="BB54" s="9" t="n">
        <v>84</v>
      </c>
      <c r="BC54" s="9" t="n">
        <v>126</v>
      </c>
      <c r="BD54" s="9" t="n">
        <v>217</v>
      </c>
      <c r="BE54" s="9" t="n">
        <v>146</v>
      </c>
      <c r="BF54" s="9" t="n">
        <v>66</v>
      </c>
      <c r="BG54" s="9" t="n">
        <v>196</v>
      </c>
      <c r="BH54" s="9" t="n">
        <v>166</v>
      </c>
      <c r="BI54" s="9" t="n">
        <v>155</v>
      </c>
      <c r="BJ54" s="9" t="n">
        <v>115</v>
      </c>
      <c r="BK54" s="9" t="n">
        <v>121</v>
      </c>
      <c r="BL54" s="9" t="n">
        <v>56</v>
      </c>
      <c r="BM54" s="9" t="n">
        <v>326</v>
      </c>
      <c r="BN54" s="9" t="n">
        <v>75</v>
      </c>
      <c r="BO54" s="9" t="n">
        <v>103</v>
      </c>
      <c r="BP54" s="9" t="n">
        <v>209</v>
      </c>
      <c r="BQ54" s="9" t="n">
        <v>119</v>
      </c>
      <c r="BR54" s="9" t="n">
        <v>179</v>
      </c>
      <c r="BS54" s="9" t="n">
        <v>43</v>
      </c>
      <c r="BT54" s="9" t="n">
        <v>58</v>
      </c>
      <c r="BU54" s="10" t="n">
        <v>12443</v>
      </c>
      <c r="BV54" s="11" t="n">
        <f aca="false">IF(ISERROR(ROUND(MEDIAN(BQ54:BT54),0)),0,ROUND(MEDIAN(BQ54:BT54),0))</f>
        <v>89</v>
      </c>
      <c r="BW54" s="11" t="n">
        <f aca="false">IF(ISERROR(ROUND(MEDIAN(BM54:BT54),0)),0,ROUND(MEDIAN(BM54:BT54),0))</f>
        <v>111</v>
      </c>
      <c r="BX54" s="11" t="n">
        <f aca="false">IF(ISERROR(ROUND(MEDIAN(BI54:BT54),0)),0,ROUND(MEDIAN(BI54:BT54),0))</f>
        <v>117</v>
      </c>
      <c r="BY54" s="11" t="n">
        <f aca="false">IF(ISERROR(ROUND(MEDIAN(BE54:BT54),0)),0,ROUND(MEDIAN(BE54:BT54),0))</f>
        <v>120</v>
      </c>
      <c r="BZ54" s="11" t="n">
        <f aca="false">IF(ISERROR(ROUND(MEDIAN(AU54:BT54),0)),0,ROUND(MEDIAN(AU54:BT54),0))</f>
        <v>101</v>
      </c>
      <c r="CA54" s="12" t="n">
        <f aca="false">IF(ISERROR(ROUND(MEDIAN(U54:BT54),0)),0,ROUND(MEDIAN(U54:BT54),0))</f>
        <v>158</v>
      </c>
      <c r="CB54" s="12" t="n">
        <f aca="false">IF(ISERROR(ROUND(MEDIAN(BT54),0)),0,ROUND(MEDIAN(BT54),0))</f>
        <v>58</v>
      </c>
      <c r="CC54" s="12" t="n">
        <f aca="false">IF(ISERROR(ROUND(MEDIAN(D54:BT54),0)),0,ROUND(MEDIAN(D54:BT54),0))</f>
        <v>166</v>
      </c>
      <c r="CD54" s="12" t="n">
        <f aca="false">MAX(D54:BT54)</f>
        <v>480</v>
      </c>
      <c r="CE54" s="7" t="n">
        <f aca="false">COUNTA(BQ54:BT54)</f>
        <v>4</v>
      </c>
      <c r="CF54" s="7" t="n">
        <f aca="false">COUNTA(BM54:BT54)</f>
        <v>8</v>
      </c>
      <c r="CG54" s="7" t="n">
        <f aca="false">COUNTA(BI54:BT54)</f>
        <v>12</v>
      </c>
      <c r="CH54" s="7" t="n">
        <f aca="false">COUNTA(BE54:BT54)</f>
        <v>16</v>
      </c>
      <c r="CI54" s="7" t="n">
        <f aca="false">COUNTA(AU54:BT54)</f>
        <v>26</v>
      </c>
      <c r="CJ54" s="7" t="n">
        <f aca="false">COUNTA(U54:BT54)</f>
        <v>52</v>
      </c>
      <c r="CK54" s="7" t="n">
        <f aca="false">COUNTA(BT54)</f>
        <v>1</v>
      </c>
      <c r="CL54" s="7" t="n">
        <f aca="false">COUNTA(D54:BT54)</f>
        <v>69</v>
      </c>
      <c r="CM54" s="13" t="str">
        <f aca="false">IF(AND(CE54=1,CJ54=1,BT54&lt;&gt;""),"5.ENTRANTES",IF(AND(CE54&lt;&gt;0,CE54/RIGHT($CE$1,1)&gt;=0.5,CJ54=CE54),"4.RECENTES",IF(AND(CF54&lt;&gt;0,CF54/RIGHT($CF$1,1)&gt;=0.5,CJ54=CF54),"4.RECENTES",IF(AND(CG54&lt;&gt;0,CG54/RIGHT($CG$1,2)&gt;=0.5,CJ54=CG54),"4.RECENTES",IF(AND(CH54&lt;&gt;0,CH54/RIGHT($CH$1,2)&gt;=0.5,CJ54=CH54),"4.RECENTES",IF(AND(CI54&lt;&gt;0,CI54/RIGHT($CI$1,2)&gt;=0.5,CJ54=CI54),"4.RECENTES",IF(AND(CE54=0,CF54=0,CG54=0,CH54=0),"3.INATIVOS",IF(CJ54/RIGHT($CJ$1,2)&lt;0.5,"2.INTERMITENTES","1.ORDINÁRIOS"))))))))</f>
        <v>1.ORDINÁRIOS</v>
      </c>
      <c r="CN54" s="14" t="n">
        <f aca="false">IF(AND(CE54=1,CJ54=1,BT54&lt;&gt;""),BT54,IF(AND(CE54&lt;&gt;0,CE54/RIGHT($CE$1,1)&gt;=0.5,CJ54=CE54),MAX(BV54:CC54),IF(AND(CF54&lt;&gt;0,CF54/RIGHT($CF$1,1)&gt;=0.5,CJ54=CF54),MAX(BV54:CC54),IF(AND(CG54&lt;&gt;0,CG54/RIGHT($CG$1,2)&gt;=0.5,CJ54=CG54),MAX(BV54:CC54),IF(AND(CH54&lt;&gt;0,CH54/RIGHT($CH$1,2)&gt;=0.5,CJ54=CH54),MAX(BV54:CC54),IF(AND(CI54&lt;&gt;0,CI54/RIGHT($CI$1,2)&gt;=0.5,CJ54=CI54),MAX(BV54:CC54),IF(AND(CE54=0,CF54=0,CG54=0,CH54=0),0,IF(CJ54/RIGHT($CJ$1,2)&lt;0.5,ROUND(BU54/RIGHT($CJ$1,2),0),MAX(BV54:CC54)))))))))</f>
        <v>166</v>
      </c>
      <c r="CO54" s="14" t="n">
        <f aca="false">CN54*3</f>
        <v>498</v>
      </c>
      <c r="CP54" s="15" t="n">
        <v>346</v>
      </c>
      <c r="CQ54" s="16" t="n">
        <f aca="false">IF((CO54-CP54)&lt;0,0,(CO54-CP54))</f>
        <v>152</v>
      </c>
      <c r="CR54" s="7"/>
    </row>
    <row r="55" customFormat="false" ht="12.75" hidden="false" customHeight="true" outlineLevel="0" collapsed="false">
      <c r="A55" s="7" t="s">
        <v>95</v>
      </c>
      <c r="B55" s="7" t="s">
        <v>149</v>
      </c>
      <c r="C55" s="8" t="n">
        <v>22001009</v>
      </c>
      <c r="D55" s="9" t="n">
        <v>20</v>
      </c>
      <c r="E55" s="9"/>
      <c r="F55" s="9" t="n">
        <v>30</v>
      </c>
      <c r="G55" s="9"/>
      <c r="H55" s="9"/>
      <c r="I55" s="9" t="n">
        <v>50</v>
      </c>
      <c r="J55" s="9"/>
      <c r="K55" s="9"/>
      <c r="L55" s="9"/>
      <c r="M55" s="9"/>
      <c r="N55" s="9" t="n">
        <v>30</v>
      </c>
      <c r="O55" s="9"/>
      <c r="P55" s="9" t="n">
        <v>30</v>
      </c>
      <c r="Q55" s="9" t="n">
        <v>10</v>
      </c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 t="n">
        <v>40</v>
      </c>
      <c r="AN55" s="9"/>
      <c r="AO55" s="9"/>
      <c r="AP55" s="9" t="n">
        <v>30</v>
      </c>
      <c r="AQ55" s="9" t="n">
        <v>10</v>
      </c>
      <c r="AR55" s="9"/>
      <c r="AS55" s="9"/>
      <c r="AT55" s="9" t="n">
        <v>10</v>
      </c>
      <c r="AU55" s="9"/>
      <c r="AV55" s="9"/>
      <c r="AW55" s="9"/>
      <c r="AX55" s="9"/>
      <c r="AY55" s="9"/>
      <c r="AZ55" s="9" t="n">
        <v>30</v>
      </c>
      <c r="BA55" s="9" t="n">
        <v>30</v>
      </c>
      <c r="BB55" s="9"/>
      <c r="BC55" s="9" t="n">
        <v>30</v>
      </c>
      <c r="BD55" s="9" t="n">
        <v>30</v>
      </c>
      <c r="BE55" s="9" t="n">
        <v>30</v>
      </c>
      <c r="BF55" s="9"/>
      <c r="BG55" s="9" t="n">
        <v>30</v>
      </c>
      <c r="BH55" s="9" t="n">
        <v>50</v>
      </c>
      <c r="BI55" s="9" t="n">
        <v>30</v>
      </c>
      <c r="BJ55" s="9" t="n">
        <v>50</v>
      </c>
      <c r="BK55" s="9" t="n">
        <v>20</v>
      </c>
      <c r="BL55" s="9"/>
      <c r="BM55" s="9"/>
      <c r="BN55" s="9"/>
      <c r="BO55" s="9"/>
      <c r="BP55" s="9" t="n">
        <v>20</v>
      </c>
      <c r="BQ55" s="9"/>
      <c r="BR55" s="9"/>
      <c r="BS55" s="9"/>
      <c r="BT55" s="9"/>
      <c r="BU55" s="10" t="n">
        <v>610</v>
      </c>
      <c r="BV55" s="11" t="n">
        <f aca="false">IF(ISERROR(ROUND(MEDIAN(BQ55:BT55),0)),0,ROUND(MEDIAN(BQ55:BT55),0))</f>
        <v>0</v>
      </c>
      <c r="BW55" s="11" t="n">
        <f aca="false">IF(ISERROR(ROUND(MEDIAN(BM55:BT55),0)),0,ROUND(MEDIAN(BM55:BT55),0))</f>
        <v>20</v>
      </c>
      <c r="BX55" s="11" t="n">
        <f aca="false">IF(ISERROR(ROUND(MEDIAN(BI55:BT55),0)),0,ROUND(MEDIAN(BI55:BT55),0))</f>
        <v>25</v>
      </c>
      <c r="BY55" s="11" t="n">
        <f aca="false">IF(ISERROR(ROUND(MEDIAN(BE55:BT55),0)),0,ROUND(MEDIAN(BE55:BT55),0))</f>
        <v>30</v>
      </c>
      <c r="BZ55" s="11" t="n">
        <f aca="false">IF(ISERROR(ROUND(MEDIAN(AU55:BT55),0)),0,ROUND(MEDIAN(AU55:BT55),0))</f>
        <v>30</v>
      </c>
      <c r="CA55" s="12" t="n">
        <f aca="false">IF(ISERROR(ROUND(MEDIAN(U55:BT55),0)),0,ROUND(MEDIAN(U55:BT55),0))</f>
        <v>30</v>
      </c>
      <c r="CB55" s="12" t="n">
        <f aca="false">IF(ISERROR(ROUND(MEDIAN(BT55),0)),0,ROUND(MEDIAN(BT55),0))</f>
        <v>0</v>
      </c>
      <c r="CC55" s="12" t="n">
        <f aca="false">IF(ISERROR(ROUND(MEDIAN(D55:BT55),0)),0,ROUND(MEDIAN(D55:BT55),0))</f>
        <v>30</v>
      </c>
      <c r="CD55" s="12" t="n">
        <f aca="false">MAX(D55:BT55)</f>
        <v>50</v>
      </c>
      <c r="CE55" s="7" t="n">
        <f aca="false">COUNTA(BQ55:BT55)</f>
        <v>0</v>
      </c>
      <c r="CF55" s="7" t="n">
        <f aca="false">COUNTA(BM55:BT55)</f>
        <v>1</v>
      </c>
      <c r="CG55" s="7" t="n">
        <f aca="false">COUNTA(BI55:BT55)</f>
        <v>4</v>
      </c>
      <c r="CH55" s="7" t="n">
        <f aca="false">COUNTA(BE55:BT55)</f>
        <v>7</v>
      </c>
      <c r="CI55" s="7" t="n">
        <f aca="false">COUNTA(AU55:BT55)</f>
        <v>11</v>
      </c>
      <c r="CJ55" s="7" t="n">
        <f aca="false">COUNTA(U55:BT55)</f>
        <v>15</v>
      </c>
      <c r="CK55" s="7" t="n">
        <f aca="false">COUNTA(BT55)</f>
        <v>0</v>
      </c>
      <c r="CL55" s="7" t="n">
        <f aca="false">COUNTA(D55:BT55)</f>
        <v>21</v>
      </c>
      <c r="CM55" s="17" t="str">
        <f aca="false">IF(AND(CE55=1,CJ55=1,BT55&lt;&gt;""),"5.ENTRANTES",IF(AND(CE55&lt;&gt;0,CE55/RIGHT($CE$1,1)&gt;=0.5,CJ55=CE55),"4.RECENTES",IF(AND(CF55&lt;&gt;0,CF55/RIGHT($CF$1,1)&gt;=0.5,CJ55=CF55),"4.RECENTES",IF(AND(CG55&lt;&gt;0,CG55/RIGHT($CG$1,2)&gt;=0.5,CJ55=CG55),"4.RECENTES",IF(AND(CH55&lt;&gt;0,CH55/RIGHT($CH$1,2)&gt;=0.5,CJ55=CH55),"4.RECENTES",IF(AND(CI55&lt;&gt;0,CI55/RIGHT($CI$1,2)&gt;=0.5,CJ55=CI55),"4.RECENTES",IF(AND(CE55=0,CF55=0,CG55=0,CH55=0),"3.INATIVOS",IF(CJ55/RIGHT($CJ$1,2)&lt;0.5,"2.INTERMITENTES","1.ORDINÁRIOS"))))))))</f>
        <v>2.INTERMITENTES</v>
      </c>
      <c r="CN55" s="18" t="n">
        <f aca="false">IF(AND(CE55=1,CJ55=1,BT55&lt;&gt;""),BT55,IF(AND(CE55&lt;&gt;0,CE55/RIGHT($CE$1,1)&gt;=0.5,CJ55=CE55),MAX(BV55:CC55),IF(AND(CF55&lt;&gt;0,CF55/RIGHT($CF$1,1)&gt;=0.5,CJ55=CF55),MAX(BV55:CC55),IF(AND(CG55&lt;&gt;0,CG55/RIGHT($CG$1,2)&gt;=0.5,CJ55=CG55),MAX(BV55:CC55),IF(AND(CH55&lt;&gt;0,CH55/RIGHT($CH$1,2)&gt;=0.5,CJ55=CH55),MAX(BV55:CC55),IF(AND(CI55&lt;&gt;0,CI55/RIGHT($CI$1,2)&gt;=0.5,CJ55=CI55),MAX(BV55:CC55),IF(AND(CE55=0,CF55=0,CG55=0,CH55=0),0,IF(CJ55/RIGHT($CJ$1,2)&lt;0.5,ROUND(BU55/RIGHT($CJ$1,2),0),MAX(BV55:CC55)))))))))</f>
        <v>12</v>
      </c>
      <c r="CO55" s="18" t="n">
        <f aca="false">CD55</f>
        <v>50</v>
      </c>
      <c r="CP55" s="15" t="n">
        <v>100</v>
      </c>
      <c r="CQ55" s="16" t="n">
        <f aca="false">IF((CO55-CP55)&lt;0,0,(CO55-CP55))</f>
        <v>0</v>
      </c>
      <c r="CR55" s="7"/>
    </row>
    <row r="56" customFormat="false" ht="12.75" hidden="false" customHeight="true" outlineLevel="0" collapsed="false">
      <c r="A56" s="7" t="s">
        <v>95</v>
      </c>
      <c r="B56" s="7" t="s">
        <v>150</v>
      </c>
      <c r="C56" s="8" t="n">
        <v>5000020</v>
      </c>
      <c r="D56" s="9" t="n">
        <v>140</v>
      </c>
      <c r="E56" s="9" t="n">
        <v>240</v>
      </c>
      <c r="F56" s="9" t="n">
        <v>620</v>
      </c>
      <c r="G56" s="9" t="n">
        <v>180</v>
      </c>
      <c r="H56" s="9" t="n">
        <v>820</v>
      </c>
      <c r="I56" s="9" t="n">
        <v>940</v>
      </c>
      <c r="J56" s="9" t="n">
        <v>360</v>
      </c>
      <c r="K56" s="9" t="n">
        <v>320</v>
      </c>
      <c r="L56" s="9" t="n">
        <v>212</v>
      </c>
      <c r="M56" s="9" t="n">
        <v>460</v>
      </c>
      <c r="N56" s="9" t="n">
        <v>700</v>
      </c>
      <c r="O56" s="9" t="n">
        <v>380</v>
      </c>
      <c r="P56" s="9" t="n">
        <v>260</v>
      </c>
      <c r="Q56" s="9" t="n">
        <v>180</v>
      </c>
      <c r="R56" s="9" t="n">
        <v>500</v>
      </c>
      <c r="S56" s="9" t="n">
        <v>920</v>
      </c>
      <c r="T56" s="9" t="n">
        <v>100</v>
      </c>
      <c r="U56" s="9" t="n">
        <v>310</v>
      </c>
      <c r="V56" s="9" t="n">
        <v>260</v>
      </c>
      <c r="W56" s="9" t="n">
        <v>340</v>
      </c>
      <c r="X56" s="9" t="n">
        <v>480</v>
      </c>
      <c r="Y56" s="9" t="n">
        <v>420</v>
      </c>
      <c r="Z56" s="9" t="n">
        <v>280</v>
      </c>
      <c r="AA56" s="9" t="n">
        <v>620</v>
      </c>
      <c r="AB56" s="9" t="n">
        <v>630</v>
      </c>
      <c r="AC56" s="9" t="n">
        <v>200</v>
      </c>
      <c r="AD56" s="9" t="n">
        <v>520</v>
      </c>
      <c r="AE56" s="9" t="n">
        <v>40</v>
      </c>
      <c r="AF56" s="9" t="n">
        <v>500</v>
      </c>
      <c r="AG56" s="9" t="n">
        <v>420</v>
      </c>
      <c r="AH56" s="9" t="n">
        <v>260</v>
      </c>
      <c r="AI56" s="9" t="n">
        <v>320</v>
      </c>
      <c r="AJ56" s="9" t="n">
        <v>360</v>
      </c>
      <c r="AK56" s="9" t="n">
        <v>540</v>
      </c>
      <c r="AL56" s="9" t="n">
        <v>280</v>
      </c>
      <c r="AM56" s="9" t="n">
        <v>260</v>
      </c>
      <c r="AN56" s="9" t="n">
        <v>380</v>
      </c>
      <c r="AO56" s="9" t="n">
        <v>640</v>
      </c>
      <c r="AP56" s="9" t="n">
        <v>140</v>
      </c>
      <c r="AQ56" s="9" t="n">
        <v>420</v>
      </c>
      <c r="AR56" s="9" t="n">
        <v>640</v>
      </c>
      <c r="AS56" s="9" t="n">
        <v>562</v>
      </c>
      <c r="AT56" s="9" t="n">
        <v>40</v>
      </c>
      <c r="AU56" s="9" t="n">
        <v>378</v>
      </c>
      <c r="AV56" s="9" t="n">
        <v>400</v>
      </c>
      <c r="AW56" s="9" t="n">
        <v>180</v>
      </c>
      <c r="AX56" s="9" t="n">
        <v>580</v>
      </c>
      <c r="AY56" s="9" t="n">
        <v>200</v>
      </c>
      <c r="AZ56" s="9" t="n">
        <v>200</v>
      </c>
      <c r="BA56" s="9" t="n">
        <v>60</v>
      </c>
      <c r="BB56" s="9" t="n">
        <v>490</v>
      </c>
      <c r="BC56" s="9" t="n">
        <v>100</v>
      </c>
      <c r="BD56" s="9" t="n">
        <v>120</v>
      </c>
      <c r="BE56" s="9" t="n">
        <v>220</v>
      </c>
      <c r="BF56" s="9" t="n">
        <v>420</v>
      </c>
      <c r="BG56" s="9" t="n">
        <v>120</v>
      </c>
      <c r="BH56" s="9"/>
      <c r="BI56" s="9" t="n">
        <v>300</v>
      </c>
      <c r="BJ56" s="9" t="n">
        <v>320</v>
      </c>
      <c r="BK56" s="9" t="n">
        <v>240</v>
      </c>
      <c r="BL56" s="9" t="n">
        <v>280</v>
      </c>
      <c r="BM56" s="9" t="n">
        <v>100</v>
      </c>
      <c r="BN56" s="9" t="n">
        <v>120</v>
      </c>
      <c r="BO56" s="9" t="n">
        <v>300</v>
      </c>
      <c r="BP56" s="9" t="n">
        <v>410</v>
      </c>
      <c r="BQ56" s="9" t="n">
        <v>180</v>
      </c>
      <c r="BR56" s="9" t="n">
        <v>220</v>
      </c>
      <c r="BS56" s="9" t="n">
        <v>200</v>
      </c>
      <c r="BT56" s="9" t="n">
        <v>320</v>
      </c>
      <c r="BU56" s="10" t="n">
        <v>23652</v>
      </c>
      <c r="BV56" s="11" t="n">
        <f aca="false">IF(ISERROR(ROUND(MEDIAN(BQ56:BT56),0)),0,ROUND(MEDIAN(BQ56:BT56),0))</f>
        <v>210</v>
      </c>
      <c r="BW56" s="11" t="n">
        <f aca="false">IF(ISERROR(ROUND(MEDIAN(BM56:BT56),0)),0,ROUND(MEDIAN(BM56:BT56),0))</f>
        <v>210</v>
      </c>
      <c r="BX56" s="11" t="n">
        <f aca="false">IF(ISERROR(ROUND(MEDIAN(BI56:BT56),0)),0,ROUND(MEDIAN(BI56:BT56),0))</f>
        <v>260</v>
      </c>
      <c r="BY56" s="11" t="n">
        <f aca="false">IF(ISERROR(ROUND(MEDIAN(BE56:BT56),0)),0,ROUND(MEDIAN(BE56:BT56),0))</f>
        <v>240</v>
      </c>
      <c r="BZ56" s="11" t="n">
        <f aca="false">IF(ISERROR(ROUND(MEDIAN(AU56:BT56),0)),0,ROUND(MEDIAN(AU56:BT56),0))</f>
        <v>220</v>
      </c>
      <c r="CA56" s="12" t="n">
        <f aca="false">IF(ISERROR(ROUND(MEDIAN(U56:BT56),0)),0,ROUND(MEDIAN(U56:BT56),0))</f>
        <v>300</v>
      </c>
      <c r="CB56" s="12" t="n">
        <f aca="false">IF(ISERROR(ROUND(MEDIAN(BT56),0)),0,ROUND(MEDIAN(BT56),0))</f>
        <v>320</v>
      </c>
      <c r="CC56" s="12" t="n">
        <f aca="false">IF(ISERROR(ROUND(MEDIAN(D56:BT56),0)),0,ROUND(MEDIAN(D56:BT56),0))</f>
        <v>315</v>
      </c>
      <c r="CD56" s="12" t="n">
        <f aca="false">MAX(D56:BT56)</f>
        <v>940</v>
      </c>
      <c r="CE56" s="7" t="n">
        <f aca="false">COUNTA(BQ56:BT56)</f>
        <v>4</v>
      </c>
      <c r="CF56" s="7" t="n">
        <f aca="false">COUNTA(BM56:BT56)</f>
        <v>8</v>
      </c>
      <c r="CG56" s="7" t="n">
        <f aca="false">COUNTA(BI56:BT56)</f>
        <v>12</v>
      </c>
      <c r="CH56" s="7" t="n">
        <f aca="false">COUNTA(BE56:BT56)</f>
        <v>15</v>
      </c>
      <c r="CI56" s="7" t="n">
        <f aca="false">COUNTA(AU56:BT56)</f>
        <v>25</v>
      </c>
      <c r="CJ56" s="7" t="n">
        <f aca="false">COUNTA(U56:BT56)</f>
        <v>51</v>
      </c>
      <c r="CK56" s="7" t="n">
        <f aca="false">COUNTA(BT56)</f>
        <v>1</v>
      </c>
      <c r="CL56" s="7" t="n">
        <f aca="false">COUNTA(D56:BT56)</f>
        <v>68</v>
      </c>
      <c r="CM56" s="13" t="str">
        <f aca="false">IF(AND(CE56=1,CJ56=1,BT56&lt;&gt;""),"5.ENTRANTES",IF(AND(CE56&lt;&gt;0,CE56/RIGHT($CE$1,1)&gt;=0.5,CJ56=CE56),"4.RECENTES",IF(AND(CF56&lt;&gt;0,CF56/RIGHT($CF$1,1)&gt;=0.5,CJ56=CF56),"4.RECENTES",IF(AND(CG56&lt;&gt;0,CG56/RIGHT($CG$1,2)&gt;=0.5,CJ56=CG56),"4.RECENTES",IF(AND(CH56&lt;&gt;0,CH56/RIGHT($CH$1,2)&gt;=0.5,CJ56=CH56),"4.RECENTES",IF(AND(CI56&lt;&gt;0,CI56/RIGHT($CI$1,2)&gt;=0.5,CJ56=CI56),"4.RECENTES",IF(AND(CE56=0,CF56=0,CG56=0,CH56=0),"3.INATIVOS",IF(CJ56/RIGHT($CJ$1,2)&lt;0.5,"2.INTERMITENTES","1.ORDINÁRIOS"))))))))</f>
        <v>1.ORDINÁRIOS</v>
      </c>
      <c r="CN56" s="14" t="n">
        <f aca="false">IF(AND(CE56=1,CJ56=1,BT56&lt;&gt;""),BT56,IF(AND(CE56&lt;&gt;0,CE56/RIGHT($CE$1,1)&gt;=0.5,CJ56=CE56),MAX(BV56:CC56),IF(AND(CF56&lt;&gt;0,CF56/RIGHT($CF$1,1)&gt;=0.5,CJ56=CF56),MAX(BV56:CC56),IF(AND(CG56&lt;&gt;0,CG56/RIGHT($CG$1,2)&gt;=0.5,CJ56=CG56),MAX(BV56:CC56),IF(AND(CH56&lt;&gt;0,CH56/RIGHT($CH$1,2)&gt;=0.5,CJ56=CH56),MAX(BV56:CC56),IF(AND(CI56&lt;&gt;0,CI56/RIGHT($CI$1,2)&gt;=0.5,CJ56=CI56),MAX(BV56:CC56),IF(AND(CE56=0,CF56=0,CG56=0,CH56=0),0,IF(CJ56/RIGHT($CJ$1,2)&lt;0.5,ROUND(BU56/RIGHT($CJ$1,2),0),MAX(BV56:CC56)))))))))</f>
        <v>320</v>
      </c>
      <c r="CO56" s="14" t="n">
        <f aca="false">CN56*3</f>
        <v>960</v>
      </c>
      <c r="CP56" s="15" t="n">
        <v>500</v>
      </c>
      <c r="CQ56" s="16" t="n">
        <f aca="false">IF((CO56-CP56)&lt;0,0,(CO56-CP56))</f>
        <v>460</v>
      </c>
      <c r="CR56" s="7"/>
    </row>
    <row r="57" customFormat="false" ht="12.75" hidden="false" customHeight="true" outlineLevel="0" collapsed="false">
      <c r="A57" s="7" t="s">
        <v>95</v>
      </c>
      <c r="B57" s="7" t="s">
        <v>151</v>
      </c>
      <c r="C57" s="8" t="n">
        <v>5000022</v>
      </c>
      <c r="D57" s="9" t="n">
        <v>4</v>
      </c>
      <c r="E57" s="9" t="n">
        <v>21</v>
      </c>
      <c r="F57" s="9" t="n">
        <v>38</v>
      </c>
      <c r="G57" s="9" t="n">
        <v>21</v>
      </c>
      <c r="H57" s="9" t="n">
        <v>13</v>
      </c>
      <c r="I57" s="9" t="n">
        <v>30</v>
      </c>
      <c r="J57" s="9" t="n">
        <v>14</v>
      </c>
      <c r="K57" s="9" t="n">
        <v>17</v>
      </c>
      <c r="L57" s="9" t="n">
        <v>22</v>
      </c>
      <c r="M57" s="9" t="n">
        <v>21</v>
      </c>
      <c r="N57" s="9" t="n">
        <v>22</v>
      </c>
      <c r="O57" s="9" t="n">
        <v>22</v>
      </c>
      <c r="P57" s="9" t="n">
        <v>21</v>
      </c>
      <c r="Q57" s="9" t="n">
        <v>27</v>
      </c>
      <c r="R57" s="9" t="n">
        <v>16</v>
      </c>
      <c r="S57" s="9" t="n">
        <v>12</v>
      </c>
      <c r="T57" s="9" t="n">
        <v>21</v>
      </c>
      <c r="U57" s="9" t="n">
        <v>10</v>
      </c>
      <c r="V57" s="9" t="n">
        <v>18</v>
      </c>
      <c r="W57" s="9" t="n">
        <v>13</v>
      </c>
      <c r="X57" s="9" t="n">
        <v>15</v>
      </c>
      <c r="Y57" s="9" t="n">
        <v>9</v>
      </c>
      <c r="Z57" s="9" t="n">
        <v>10</v>
      </c>
      <c r="AA57" s="9" t="n">
        <v>25</v>
      </c>
      <c r="AB57" s="9" t="n">
        <v>19</v>
      </c>
      <c r="AC57" s="9" t="n">
        <v>5</v>
      </c>
      <c r="AD57" s="9" t="n">
        <v>14</v>
      </c>
      <c r="AE57" s="9" t="n">
        <v>17</v>
      </c>
      <c r="AF57" s="9" t="n">
        <v>7</v>
      </c>
      <c r="AG57" s="9" t="n">
        <v>15</v>
      </c>
      <c r="AH57" s="9" t="n">
        <v>12</v>
      </c>
      <c r="AI57" s="9" t="n">
        <v>9</v>
      </c>
      <c r="AJ57" s="9" t="n">
        <v>23</v>
      </c>
      <c r="AK57" s="9" t="n">
        <v>15</v>
      </c>
      <c r="AL57" s="9" t="n">
        <v>17</v>
      </c>
      <c r="AM57" s="9" t="n">
        <v>14</v>
      </c>
      <c r="AN57" s="9" t="n">
        <v>20</v>
      </c>
      <c r="AO57" s="9" t="n">
        <v>5</v>
      </c>
      <c r="AP57" s="9" t="n">
        <v>18</v>
      </c>
      <c r="AQ57" s="9" t="n">
        <v>22</v>
      </c>
      <c r="AR57" s="9" t="n">
        <v>13</v>
      </c>
      <c r="AS57" s="9" t="n">
        <v>11</v>
      </c>
      <c r="AT57" s="9" t="n">
        <v>15</v>
      </c>
      <c r="AU57" s="9" t="n">
        <v>7</v>
      </c>
      <c r="AV57" s="9" t="n">
        <v>17</v>
      </c>
      <c r="AW57" s="9" t="n">
        <v>9</v>
      </c>
      <c r="AX57" s="9" t="n">
        <v>21</v>
      </c>
      <c r="AY57" s="9" t="n">
        <v>13</v>
      </c>
      <c r="AZ57" s="9" t="n">
        <v>32</v>
      </c>
      <c r="BA57" s="9" t="n">
        <v>20</v>
      </c>
      <c r="BB57" s="9" t="n">
        <v>17</v>
      </c>
      <c r="BC57" s="9" t="n">
        <v>17</v>
      </c>
      <c r="BD57" s="9" t="n">
        <v>12</v>
      </c>
      <c r="BE57" s="9" t="n">
        <v>27</v>
      </c>
      <c r="BF57" s="9" t="n">
        <v>15</v>
      </c>
      <c r="BG57" s="9" t="n">
        <v>24</v>
      </c>
      <c r="BH57" s="9" t="n">
        <v>19</v>
      </c>
      <c r="BI57" s="9" t="n">
        <v>21</v>
      </c>
      <c r="BJ57" s="9" t="n">
        <v>16</v>
      </c>
      <c r="BK57" s="9" t="n">
        <v>16</v>
      </c>
      <c r="BL57" s="9" t="n">
        <v>29</v>
      </c>
      <c r="BM57" s="9" t="n">
        <v>13</v>
      </c>
      <c r="BN57" s="9" t="n">
        <v>21</v>
      </c>
      <c r="BO57" s="9" t="n">
        <v>14</v>
      </c>
      <c r="BP57" s="9" t="n">
        <v>17</v>
      </c>
      <c r="BQ57" s="9" t="n">
        <v>17</v>
      </c>
      <c r="BR57" s="9" t="n">
        <v>16</v>
      </c>
      <c r="BS57" s="9" t="n">
        <v>14</v>
      </c>
      <c r="BT57" s="9" t="n">
        <v>14</v>
      </c>
      <c r="BU57" s="10" t="n">
        <v>1171</v>
      </c>
      <c r="BV57" s="11" t="n">
        <f aca="false">IF(ISERROR(ROUND(MEDIAN(BQ57:BT57),0)),0,ROUND(MEDIAN(BQ57:BT57),0))</f>
        <v>15</v>
      </c>
      <c r="BW57" s="11" t="n">
        <f aca="false">IF(ISERROR(ROUND(MEDIAN(BM57:BT57),0)),0,ROUND(MEDIAN(BM57:BT57),0))</f>
        <v>15</v>
      </c>
      <c r="BX57" s="11" t="n">
        <f aca="false">IF(ISERROR(ROUND(MEDIAN(BI57:BT57),0)),0,ROUND(MEDIAN(BI57:BT57),0))</f>
        <v>16</v>
      </c>
      <c r="BY57" s="11" t="n">
        <f aca="false">IF(ISERROR(ROUND(MEDIAN(BE57:BT57),0)),0,ROUND(MEDIAN(BE57:BT57),0))</f>
        <v>17</v>
      </c>
      <c r="BZ57" s="11" t="n">
        <f aca="false">IF(ISERROR(ROUND(MEDIAN(AU57:BT57),0)),0,ROUND(MEDIAN(AU57:BT57),0))</f>
        <v>17</v>
      </c>
      <c r="CA57" s="12" t="n">
        <f aca="false">IF(ISERROR(ROUND(MEDIAN(U57:BT57),0)),0,ROUND(MEDIAN(U57:BT57),0))</f>
        <v>16</v>
      </c>
      <c r="CB57" s="12" t="n">
        <f aca="false">IF(ISERROR(ROUND(MEDIAN(BT57),0)),0,ROUND(MEDIAN(BT57),0))</f>
        <v>14</v>
      </c>
      <c r="CC57" s="12" t="n">
        <f aca="false">IF(ISERROR(ROUND(MEDIAN(D57:BT57),0)),0,ROUND(MEDIAN(D57:BT57),0))</f>
        <v>17</v>
      </c>
      <c r="CD57" s="12" t="n">
        <f aca="false">MAX(D57:BT57)</f>
        <v>38</v>
      </c>
      <c r="CE57" s="7" t="n">
        <f aca="false">COUNTA(BQ57:BT57)</f>
        <v>4</v>
      </c>
      <c r="CF57" s="7" t="n">
        <f aca="false">COUNTA(BM57:BT57)</f>
        <v>8</v>
      </c>
      <c r="CG57" s="7" t="n">
        <f aca="false">COUNTA(BI57:BT57)</f>
        <v>12</v>
      </c>
      <c r="CH57" s="7" t="n">
        <f aca="false">COUNTA(BE57:BT57)</f>
        <v>16</v>
      </c>
      <c r="CI57" s="7" t="n">
        <f aca="false">COUNTA(AU57:BT57)</f>
        <v>26</v>
      </c>
      <c r="CJ57" s="7" t="n">
        <f aca="false">COUNTA(U57:BT57)</f>
        <v>52</v>
      </c>
      <c r="CK57" s="7" t="n">
        <f aca="false">COUNTA(BT57)</f>
        <v>1</v>
      </c>
      <c r="CL57" s="7" t="n">
        <f aca="false">COUNTA(D57:BT57)</f>
        <v>69</v>
      </c>
      <c r="CM57" s="13" t="str">
        <f aca="false">IF(AND(CE57=1,CJ57=1,BT57&lt;&gt;""),"5.ENTRANTES",IF(AND(CE57&lt;&gt;0,CE57/RIGHT($CE$1,1)&gt;=0.5,CJ57=CE57),"4.RECENTES",IF(AND(CF57&lt;&gt;0,CF57/RIGHT($CF$1,1)&gt;=0.5,CJ57=CF57),"4.RECENTES",IF(AND(CG57&lt;&gt;0,CG57/RIGHT($CG$1,2)&gt;=0.5,CJ57=CG57),"4.RECENTES",IF(AND(CH57&lt;&gt;0,CH57/RIGHT($CH$1,2)&gt;=0.5,CJ57=CH57),"4.RECENTES",IF(AND(CI57&lt;&gt;0,CI57/RIGHT($CI$1,2)&gt;=0.5,CJ57=CI57),"4.RECENTES",IF(AND(CE57=0,CF57=0,CG57=0,CH57=0),"3.INATIVOS",IF(CJ57/RIGHT($CJ$1,2)&lt;0.5,"2.INTERMITENTES","1.ORDINÁRIOS"))))))))</f>
        <v>1.ORDINÁRIOS</v>
      </c>
      <c r="CN57" s="14" t="n">
        <f aca="false">IF(AND(CE57=1,CJ57=1,BT57&lt;&gt;""),BT57,IF(AND(CE57&lt;&gt;0,CE57/RIGHT($CE$1,1)&gt;=0.5,CJ57=CE57),MAX(BV57:CC57),IF(AND(CF57&lt;&gt;0,CF57/RIGHT($CF$1,1)&gt;=0.5,CJ57=CF57),MAX(BV57:CC57),IF(AND(CG57&lt;&gt;0,CG57/RIGHT($CG$1,2)&gt;=0.5,CJ57=CG57),MAX(BV57:CC57),IF(AND(CH57&lt;&gt;0,CH57/RIGHT($CH$1,2)&gt;=0.5,CJ57=CH57),MAX(BV57:CC57),IF(AND(CI57&lt;&gt;0,CI57/RIGHT($CI$1,2)&gt;=0.5,CJ57=CI57),MAX(BV57:CC57),IF(AND(CE57=0,CF57=0,CG57=0,CH57=0),0,IF(CJ57/RIGHT($CJ$1,2)&lt;0.5,ROUND(BU57/RIGHT($CJ$1,2),0),MAX(BV57:CC57)))))))))</f>
        <v>17</v>
      </c>
      <c r="CO57" s="14" t="n">
        <f aca="false">CN57*3</f>
        <v>51</v>
      </c>
      <c r="CP57" s="15" t="n">
        <v>29</v>
      </c>
      <c r="CQ57" s="16" t="n">
        <f aca="false">IF((CO57-CP57)&lt;0,0,(CO57-CP57))</f>
        <v>22</v>
      </c>
      <c r="CR57" s="7"/>
    </row>
    <row r="58" customFormat="false" ht="12.75" hidden="false" customHeight="true" outlineLevel="0" collapsed="false">
      <c r="A58" s="7" t="s">
        <v>95</v>
      </c>
      <c r="B58" s="7" t="s">
        <v>152</v>
      </c>
      <c r="C58" s="8" t="n">
        <v>5000015</v>
      </c>
      <c r="D58" s="9" t="n">
        <v>480</v>
      </c>
      <c r="E58" s="9" t="n">
        <v>2570</v>
      </c>
      <c r="F58" s="9" t="n">
        <v>2340</v>
      </c>
      <c r="G58" s="9" t="n">
        <v>2540</v>
      </c>
      <c r="H58" s="9" t="n">
        <v>1500</v>
      </c>
      <c r="I58" s="9" t="n">
        <v>3170</v>
      </c>
      <c r="J58" s="9" t="n">
        <v>2720</v>
      </c>
      <c r="K58" s="9" t="n">
        <v>1740</v>
      </c>
      <c r="L58" s="9" t="n">
        <v>3420</v>
      </c>
      <c r="M58" s="9" t="n">
        <v>1680</v>
      </c>
      <c r="N58" s="9" t="n">
        <v>2980</v>
      </c>
      <c r="O58" s="9" t="n">
        <v>1960</v>
      </c>
      <c r="P58" s="9" t="n">
        <v>3450</v>
      </c>
      <c r="Q58" s="9" t="n">
        <v>1880</v>
      </c>
      <c r="R58" s="9" t="n">
        <v>2750</v>
      </c>
      <c r="S58" s="9" t="n">
        <v>2660</v>
      </c>
      <c r="T58" s="9" t="n">
        <v>1620</v>
      </c>
      <c r="U58" s="9" t="n">
        <v>2480</v>
      </c>
      <c r="V58" s="9" t="n">
        <v>2420</v>
      </c>
      <c r="W58" s="9" t="n">
        <v>2840</v>
      </c>
      <c r="X58" s="9" t="n">
        <v>1900</v>
      </c>
      <c r="Y58" s="9" t="n">
        <v>1920</v>
      </c>
      <c r="Z58" s="9" t="n">
        <v>1781</v>
      </c>
      <c r="AA58" s="9" t="n">
        <v>3091</v>
      </c>
      <c r="AB58" s="9" t="n">
        <v>2320</v>
      </c>
      <c r="AC58" s="9" t="n">
        <v>2140</v>
      </c>
      <c r="AD58" s="9" t="n">
        <v>2360</v>
      </c>
      <c r="AE58" s="9" t="n">
        <v>2620</v>
      </c>
      <c r="AF58" s="9" t="n">
        <v>1540</v>
      </c>
      <c r="AG58" s="9" t="n">
        <v>2110</v>
      </c>
      <c r="AH58" s="9" t="n">
        <v>1870</v>
      </c>
      <c r="AI58" s="9" t="n">
        <v>1600</v>
      </c>
      <c r="AJ58" s="9" t="n">
        <v>2430</v>
      </c>
      <c r="AK58" s="9" t="n">
        <v>2250</v>
      </c>
      <c r="AL58" s="9" t="n">
        <v>2300</v>
      </c>
      <c r="AM58" s="9" t="n">
        <v>1560</v>
      </c>
      <c r="AN58" s="9" t="n">
        <v>2660</v>
      </c>
      <c r="AO58" s="9" t="n">
        <v>2300</v>
      </c>
      <c r="AP58" s="9" t="n">
        <v>3300</v>
      </c>
      <c r="AQ58" s="9" t="n">
        <v>1540</v>
      </c>
      <c r="AR58" s="9" t="n">
        <v>1851</v>
      </c>
      <c r="AS58" s="9" t="n">
        <v>1900</v>
      </c>
      <c r="AT58" s="9" t="n">
        <v>2179</v>
      </c>
      <c r="AU58" s="9" t="n">
        <v>1880</v>
      </c>
      <c r="AV58" s="9" t="n">
        <v>1300</v>
      </c>
      <c r="AW58" s="9" t="n">
        <v>1360</v>
      </c>
      <c r="AX58" s="9" t="n">
        <v>1501</v>
      </c>
      <c r="AY58" s="9" t="n">
        <v>1099</v>
      </c>
      <c r="AZ58" s="9" t="n">
        <v>1640</v>
      </c>
      <c r="BA58" s="9" t="n">
        <v>1470</v>
      </c>
      <c r="BB58" s="9" t="n">
        <v>1352</v>
      </c>
      <c r="BC58" s="9" t="n">
        <v>1230</v>
      </c>
      <c r="BD58" s="9" t="n">
        <v>1530</v>
      </c>
      <c r="BE58" s="9" t="n">
        <v>1222</v>
      </c>
      <c r="BF58" s="9" t="n">
        <v>1660</v>
      </c>
      <c r="BG58" s="9" t="n">
        <v>1300</v>
      </c>
      <c r="BH58" s="9" t="n">
        <v>1200</v>
      </c>
      <c r="BI58" s="9" t="n">
        <v>1200</v>
      </c>
      <c r="BJ58" s="9" t="n">
        <v>1590</v>
      </c>
      <c r="BK58" s="9" t="n">
        <v>1300</v>
      </c>
      <c r="BL58" s="9" t="n">
        <v>1190</v>
      </c>
      <c r="BM58" s="9" t="n">
        <v>1060</v>
      </c>
      <c r="BN58" s="9" t="n">
        <v>1230</v>
      </c>
      <c r="BO58" s="9" t="n">
        <v>2014</v>
      </c>
      <c r="BP58" s="9" t="n">
        <v>1420</v>
      </c>
      <c r="BQ58" s="9" t="n">
        <v>1120</v>
      </c>
      <c r="BR58" s="9" t="n">
        <v>1840</v>
      </c>
      <c r="BS58" s="9" t="n">
        <v>1051</v>
      </c>
      <c r="BT58" s="9" t="n">
        <v>883</v>
      </c>
      <c r="BU58" s="10" t="n">
        <v>132364</v>
      </c>
      <c r="BV58" s="11" t="n">
        <f aca="false">IF(ISERROR(ROUND(MEDIAN(BQ58:BT58),0)),0,ROUND(MEDIAN(BQ58:BT58),0))</f>
        <v>1086</v>
      </c>
      <c r="BW58" s="11" t="n">
        <f aca="false">IF(ISERROR(ROUND(MEDIAN(BM58:BT58),0)),0,ROUND(MEDIAN(BM58:BT58),0))</f>
        <v>1175</v>
      </c>
      <c r="BX58" s="11" t="n">
        <f aca="false">IF(ISERROR(ROUND(MEDIAN(BI58:BT58),0)),0,ROUND(MEDIAN(BI58:BT58),0))</f>
        <v>1215</v>
      </c>
      <c r="BY58" s="11" t="n">
        <f aca="false">IF(ISERROR(ROUND(MEDIAN(BE58:BT58),0)),0,ROUND(MEDIAN(BE58:BT58),0))</f>
        <v>1226</v>
      </c>
      <c r="BZ58" s="11" t="n">
        <f aca="false">IF(ISERROR(ROUND(MEDIAN(AU58:BT58),0)),0,ROUND(MEDIAN(AU58:BT58),0))</f>
        <v>1300</v>
      </c>
      <c r="CA58" s="12" t="n">
        <f aca="false">IF(ISERROR(ROUND(MEDIAN(U58:BT58),0)),0,ROUND(MEDIAN(U58:BT58),0))</f>
        <v>1650</v>
      </c>
      <c r="CB58" s="12" t="n">
        <f aca="false">IF(ISERROR(ROUND(MEDIAN(BT58),0)),0,ROUND(MEDIAN(BT58),0))</f>
        <v>883</v>
      </c>
      <c r="CC58" s="12" t="n">
        <f aca="false">IF(ISERROR(ROUND(MEDIAN(D58:BT58),0)),0,ROUND(MEDIAN(D58:BT58),0))</f>
        <v>1851</v>
      </c>
      <c r="CD58" s="12" t="n">
        <f aca="false">MAX(D58:BT58)</f>
        <v>3450</v>
      </c>
      <c r="CE58" s="7" t="n">
        <f aca="false">COUNTA(BQ58:BT58)</f>
        <v>4</v>
      </c>
      <c r="CF58" s="7" t="n">
        <f aca="false">COUNTA(BM58:BT58)</f>
        <v>8</v>
      </c>
      <c r="CG58" s="7" t="n">
        <f aca="false">COUNTA(BI58:BT58)</f>
        <v>12</v>
      </c>
      <c r="CH58" s="7" t="n">
        <f aca="false">COUNTA(BE58:BT58)</f>
        <v>16</v>
      </c>
      <c r="CI58" s="7" t="n">
        <f aca="false">COUNTA(AU58:BT58)</f>
        <v>26</v>
      </c>
      <c r="CJ58" s="7" t="n">
        <f aca="false">COUNTA(U58:BT58)</f>
        <v>52</v>
      </c>
      <c r="CK58" s="7" t="n">
        <f aca="false">COUNTA(BT58)</f>
        <v>1</v>
      </c>
      <c r="CL58" s="7" t="n">
        <f aca="false">COUNTA(D58:BT58)</f>
        <v>69</v>
      </c>
      <c r="CM58" s="13" t="str">
        <f aca="false">IF(AND(CE58=1,CJ58=1,BT58&lt;&gt;""),"5.ENTRANTES",IF(AND(CE58&lt;&gt;0,CE58/RIGHT($CE$1,1)&gt;=0.5,CJ58=CE58),"4.RECENTES",IF(AND(CF58&lt;&gt;0,CF58/RIGHT($CF$1,1)&gt;=0.5,CJ58=CF58),"4.RECENTES",IF(AND(CG58&lt;&gt;0,CG58/RIGHT($CG$1,2)&gt;=0.5,CJ58=CG58),"4.RECENTES",IF(AND(CH58&lt;&gt;0,CH58/RIGHT($CH$1,2)&gt;=0.5,CJ58=CH58),"4.RECENTES",IF(AND(CI58&lt;&gt;0,CI58/RIGHT($CI$1,2)&gt;=0.5,CJ58=CI58),"4.RECENTES",IF(AND(CE58=0,CF58=0,CG58=0,CH58=0),"3.INATIVOS",IF(CJ58/RIGHT($CJ$1,2)&lt;0.5,"2.INTERMITENTES","1.ORDINÁRIOS"))))))))</f>
        <v>1.ORDINÁRIOS</v>
      </c>
      <c r="CN58" s="14" t="n">
        <f aca="false">IF(AND(CE58=1,CJ58=1,BT58&lt;&gt;""),BT58,IF(AND(CE58&lt;&gt;0,CE58/RIGHT($CE$1,1)&gt;=0.5,CJ58=CE58),MAX(BV58:CC58),IF(AND(CF58&lt;&gt;0,CF58/RIGHT($CF$1,1)&gt;=0.5,CJ58=CF58),MAX(BV58:CC58),IF(AND(CG58&lt;&gt;0,CG58/RIGHT($CG$1,2)&gt;=0.5,CJ58=CG58),MAX(BV58:CC58),IF(AND(CH58&lt;&gt;0,CH58/RIGHT($CH$1,2)&gt;=0.5,CJ58=CH58),MAX(BV58:CC58),IF(AND(CI58&lt;&gt;0,CI58/RIGHT($CI$1,2)&gt;=0.5,CJ58=CI58),MAX(BV58:CC58),IF(AND(CE58=0,CF58=0,CG58=0,CH58=0),0,IF(CJ58/RIGHT($CJ$1,2)&lt;0.5,ROUND(BU58/RIGHT($CJ$1,2),0),MAX(BV58:CC58)))))))))</f>
        <v>1851</v>
      </c>
      <c r="CO58" s="14" t="n">
        <f aca="false">CN58*3</f>
        <v>5553</v>
      </c>
      <c r="CP58" s="15" t="n">
        <v>4583</v>
      </c>
      <c r="CQ58" s="16" t="n">
        <f aca="false">IF((CO58-CP58)&lt;0,0,(CO58-CP58))</f>
        <v>970</v>
      </c>
      <c r="CR58" s="7"/>
    </row>
    <row r="59" customFormat="false" ht="12.75" hidden="false" customHeight="true" outlineLevel="0" collapsed="false">
      <c r="A59" s="7" t="s">
        <v>95</v>
      </c>
      <c r="B59" s="7" t="s">
        <v>153</v>
      </c>
      <c r="C59" s="8" t="n">
        <v>5000014</v>
      </c>
      <c r="D59" s="9"/>
      <c r="E59" s="9" t="n">
        <v>90</v>
      </c>
      <c r="F59" s="9" t="n">
        <v>240</v>
      </c>
      <c r="G59" s="9" t="n">
        <v>330</v>
      </c>
      <c r="H59" s="9" t="n">
        <v>210</v>
      </c>
      <c r="I59" s="9" t="n">
        <v>90</v>
      </c>
      <c r="J59" s="9" t="n">
        <v>390</v>
      </c>
      <c r="K59" s="9" t="n">
        <v>90</v>
      </c>
      <c r="L59" s="9" t="n">
        <v>210</v>
      </c>
      <c r="M59" s="9" t="n">
        <v>60</v>
      </c>
      <c r="N59" s="9" t="n">
        <v>120</v>
      </c>
      <c r="O59" s="9" t="n">
        <v>150</v>
      </c>
      <c r="P59" s="9" t="n">
        <v>270</v>
      </c>
      <c r="Q59" s="9" t="n">
        <v>90</v>
      </c>
      <c r="R59" s="9" t="n">
        <v>30</v>
      </c>
      <c r="S59" s="9" t="n">
        <v>150</v>
      </c>
      <c r="T59" s="9" t="n">
        <v>150</v>
      </c>
      <c r="U59" s="9" t="n">
        <v>120</v>
      </c>
      <c r="V59" s="9" t="n">
        <v>30</v>
      </c>
      <c r="W59" s="9" t="n">
        <v>120</v>
      </c>
      <c r="X59" s="9" t="n">
        <v>120</v>
      </c>
      <c r="Y59" s="9" t="n">
        <v>150</v>
      </c>
      <c r="Z59" s="9" t="n">
        <v>60</v>
      </c>
      <c r="AA59" s="9" t="n">
        <v>120</v>
      </c>
      <c r="AB59" s="9" t="n">
        <v>240</v>
      </c>
      <c r="AC59" s="9" t="n">
        <v>240</v>
      </c>
      <c r="AD59" s="9" t="n">
        <v>120</v>
      </c>
      <c r="AE59" s="9" t="n">
        <v>60</v>
      </c>
      <c r="AF59" s="9" t="n">
        <v>90</v>
      </c>
      <c r="AG59" s="9" t="n">
        <v>300</v>
      </c>
      <c r="AH59" s="9" t="n">
        <v>30</v>
      </c>
      <c r="AI59" s="9" t="n">
        <v>90</v>
      </c>
      <c r="AJ59" s="9" t="n">
        <v>120</v>
      </c>
      <c r="AK59" s="9" t="n">
        <v>180</v>
      </c>
      <c r="AL59" s="9" t="n">
        <v>190</v>
      </c>
      <c r="AM59" s="9" t="n">
        <v>30</v>
      </c>
      <c r="AN59" s="9" t="n">
        <v>210</v>
      </c>
      <c r="AO59" s="9" t="n">
        <v>60</v>
      </c>
      <c r="AP59" s="9" t="n">
        <v>280</v>
      </c>
      <c r="AQ59" s="9" t="n">
        <v>90</v>
      </c>
      <c r="AR59" s="9" t="n">
        <v>60</v>
      </c>
      <c r="AS59" s="9" t="n">
        <v>120</v>
      </c>
      <c r="AT59" s="9" t="n">
        <v>60</v>
      </c>
      <c r="AU59" s="9" t="n">
        <v>90</v>
      </c>
      <c r="AV59" s="9" t="n">
        <v>70</v>
      </c>
      <c r="AW59" s="9" t="n">
        <v>30</v>
      </c>
      <c r="AX59" s="9" t="n">
        <v>90</v>
      </c>
      <c r="AY59" s="9" t="n">
        <v>30</v>
      </c>
      <c r="AZ59" s="9"/>
      <c r="BA59" s="9" t="n">
        <v>120</v>
      </c>
      <c r="BB59" s="9" t="n">
        <v>120</v>
      </c>
      <c r="BC59" s="9" t="n">
        <v>60</v>
      </c>
      <c r="BD59" s="9" t="n">
        <v>30</v>
      </c>
      <c r="BE59" s="9" t="n">
        <v>80</v>
      </c>
      <c r="BF59" s="9" t="n">
        <v>40</v>
      </c>
      <c r="BG59" s="9" t="n">
        <v>60</v>
      </c>
      <c r="BH59" s="9" t="n">
        <v>70</v>
      </c>
      <c r="BI59" s="9" t="n">
        <v>60</v>
      </c>
      <c r="BJ59" s="9" t="n">
        <v>40</v>
      </c>
      <c r="BK59" s="9" t="n">
        <v>101</v>
      </c>
      <c r="BL59" s="9" t="n">
        <v>40</v>
      </c>
      <c r="BM59" s="9" t="n">
        <v>30</v>
      </c>
      <c r="BN59" s="9" t="n">
        <v>100</v>
      </c>
      <c r="BO59" s="9" t="n">
        <v>40</v>
      </c>
      <c r="BP59" s="9" t="n">
        <v>80</v>
      </c>
      <c r="BQ59" s="9"/>
      <c r="BR59" s="9" t="n">
        <v>140</v>
      </c>
      <c r="BS59" s="9" t="n">
        <v>280</v>
      </c>
      <c r="BT59" s="9" t="n">
        <v>80</v>
      </c>
      <c r="BU59" s="10" t="n">
        <v>7841</v>
      </c>
      <c r="BV59" s="11" t="n">
        <f aca="false">IF(ISERROR(ROUND(MEDIAN(BQ59:BT59),0)),0,ROUND(MEDIAN(BQ59:BT59),0))</f>
        <v>140</v>
      </c>
      <c r="BW59" s="11" t="n">
        <f aca="false">IF(ISERROR(ROUND(MEDIAN(BM59:BT59),0)),0,ROUND(MEDIAN(BM59:BT59),0))</f>
        <v>80</v>
      </c>
      <c r="BX59" s="11" t="n">
        <f aca="false">IF(ISERROR(ROUND(MEDIAN(BI59:BT59),0)),0,ROUND(MEDIAN(BI59:BT59),0))</f>
        <v>80</v>
      </c>
      <c r="BY59" s="11" t="n">
        <f aca="false">IF(ISERROR(ROUND(MEDIAN(BE59:BT59),0)),0,ROUND(MEDIAN(BE59:BT59),0))</f>
        <v>70</v>
      </c>
      <c r="BZ59" s="11" t="n">
        <f aca="false">IF(ISERROR(ROUND(MEDIAN(AU59:BT59),0)),0,ROUND(MEDIAN(AU59:BT59),0))</f>
        <v>70</v>
      </c>
      <c r="CA59" s="12" t="n">
        <f aca="false">IF(ISERROR(ROUND(MEDIAN(U59:BT59),0)),0,ROUND(MEDIAN(U59:BT59),0))</f>
        <v>90</v>
      </c>
      <c r="CB59" s="12" t="n">
        <f aca="false">IF(ISERROR(ROUND(MEDIAN(BT59),0)),0,ROUND(MEDIAN(BT59),0))</f>
        <v>80</v>
      </c>
      <c r="CC59" s="12" t="n">
        <f aca="false">IF(ISERROR(ROUND(MEDIAN(D59:BT59),0)),0,ROUND(MEDIAN(D59:BT59),0))</f>
        <v>90</v>
      </c>
      <c r="CD59" s="12" t="n">
        <f aca="false">MAX(D59:BT59)</f>
        <v>390</v>
      </c>
      <c r="CE59" s="7" t="n">
        <f aca="false">COUNTA(BQ59:BT59)</f>
        <v>3</v>
      </c>
      <c r="CF59" s="7" t="n">
        <f aca="false">COUNTA(BM59:BT59)</f>
        <v>7</v>
      </c>
      <c r="CG59" s="7" t="n">
        <f aca="false">COUNTA(BI59:BT59)</f>
        <v>11</v>
      </c>
      <c r="CH59" s="7" t="n">
        <f aca="false">COUNTA(BE59:BT59)</f>
        <v>15</v>
      </c>
      <c r="CI59" s="7" t="n">
        <f aca="false">COUNTA(AU59:BT59)</f>
        <v>24</v>
      </c>
      <c r="CJ59" s="7" t="n">
        <f aca="false">COUNTA(U59:BT59)</f>
        <v>50</v>
      </c>
      <c r="CK59" s="7" t="n">
        <f aca="false">COUNTA(BT59)</f>
        <v>1</v>
      </c>
      <c r="CL59" s="7" t="n">
        <f aca="false">COUNTA(D59:BT59)</f>
        <v>66</v>
      </c>
      <c r="CM59" s="13" t="str">
        <f aca="false">IF(AND(CE59=1,CJ59=1,BT59&lt;&gt;""),"5.ENTRANTES",IF(AND(CE59&lt;&gt;0,CE59/RIGHT($CE$1,1)&gt;=0.5,CJ59=CE59),"4.RECENTES",IF(AND(CF59&lt;&gt;0,CF59/RIGHT($CF$1,1)&gt;=0.5,CJ59=CF59),"4.RECENTES",IF(AND(CG59&lt;&gt;0,CG59/RIGHT($CG$1,2)&gt;=0.5,CJ59=CG59),"4.RECENTES",IF(AND(CH59&lt;&gt;0,CH59/RIGHT($CH$1,2)&gt;=0.5,CJ59=CH59),"4.RECENTES",IF(AND(CI59&lt;&gt;0,CI59/RIGHT($CI$1,2)&gt;=0.5,CJ59=CI59),"4.RECENTES",IF(AND(CE59=0,CF59=0,CG59=0,CH59=0),"3.INATIVOS",IF(CJ59/RIGHT($CJ$1,2)&lt;0.5,"2.INTERMITENTES","1.ORDINÁRIOS"))))))))</f>
        <v>1.ORDINÁRIOS</v>
      </c>
      <c r="CN59" s="14" t="n">
        <f aca="false">IF(AND(CE59=1,CJ59=1,BT59&lt;&gt;""),BT59,IF(AND(CE59&lt;&gt;0,CE59/RIGHT($CE$1,1)&gt;=0.5,CJ59=CE59),MAX(BV59:CC59),IF(AND(CF59&lt;&gt;0,CF59/RIGHT($CF$1,1)&gt;=0.5,CJ59=CF59),MAX(BV59:CC59),IF(AND(CG59&lt;&gt;0,CG59/RIGHT($CG$1,2)&gt;=0.5,CJ59=CG59),MAX(BV59:CC59),IF(AND(CH59&lt;&gt;0,CH59/RIGHT($CH$1,2)&gt;=0.5,CJ59=CH59),MAX(BV59:CC59),IF(AND(CI59&lt;&gt;0,CI59/RIGHT($CI$1,2)&gt;=0.5,CJ59=CI59),MAX(BV59:CC59),IF(AND(CE59=0,CF59=0,CG59=0,CH59=0),0,IF(CJ59/RIGHT($CJ$1,2)&lt;0.5,ROUND(BU59/RIGHT($CJ$1,2),0),MAX(BV59:CC59)))))))))</f>
        <v>140</v>
      </c>
      <c r="CO59" s="14" t="n">
        <f aca="false">CN59*3</f>
        <v>420</v>
      </c>
      <c r="CP59" s="15" t="n">
        <v>440</v>
      </c>
      <c r="CQ59" s="16" t="n">
        <f aca="false">IF((CO59-CP59)&lt;0,0,(CO59-CP59))</f>
        <v>0</v>
      </c>
      <c r="CR59" s="7"/>
    </row>
    <row r="60" customFormat="false" ht="12.75" hidden="false" customHeight="true" outlineLevel="0" collapsed="false">
      <c r="A60" s="7" t="s">
        <v>95</v>
      </c>
      <c r="B60" s="7" t="s">
        <v>154</v>
      </c>
      <c r="C60" s="8" t="n">
        <v>5000004</v>
      </c>
      <c r="D60" s="9"/>
      <c r="E60" s="9" t="n">
        <v>150</v>
      </c>
      <c r="F60" s="9" t="n">
        <v>90</v>
      </c>
      <c r="G60" s="9" t="n">
        <v>60</v>
      </c>
      <c r="H60" s="9" t="n">
        <v>120</v>
      </c>
      <c r="I60" s="9" t="n">
        <v>170</v>
      </c>
      <c r="J60" s="9" t="n">
        <v>30</v>
      </c>
      <c r="K60" s="9" t="n">
        <v>120</v>
      </c>
      <c r="L60" s="9" t="n">
        <v>150</v>
      </c>
      <c r="M60" s="9" t="n">
        <v>60</v>
      </c>
      <c r="N60" s="9" t="n">
        <v>61</v>
      </c>
      <c r="O60" s="9" t="n">
        <v>90</v>
      </c>
      <c r="P60" s="9" t="n">
        <v>60</v>
      </c>
      <c r="Q60" s="9" t="n">
        <v>120</v>
      </c>
      <c r="R60" s="9" t="n">
        <v>90</v>
      </c>
      <c r="S60" s="9" t="n">
        <v>30</v>
      </c>
      <c r="T60" s="9" t="n">
        <v>30</v>
      </c>
      <c r="U60" s="9" t="n">
        <v>150</v>
      </c>
      <c r="V60" s="9" t="n">
        <v>180</v>
      </c>
      <c r="W60" s="9" t="n">
        <v>40</v>
      </c>
      <c r="X60" s="9" t="n">
        <v>70</v>
      </c>
      <c r="Y60" s="9"/>
      <c r="Z60" s="9" t="n">
        <v>60</v>
      </c>
      <c r="AA60" s="9" t="n">
        <v>90</v>
      </c>
      <c r="AB60" s="9" t="n">
        <v>100</v>
      </c>
      <c r="AC60" s="9" t="n">
        <v>70</v>
      </c>
      <c r="AD60" s="9" t="n">
        <v>90</v>
      </c>
      <c r="AE60" s="9" t="n">
        <v>90</v>
      </c>
      <c r="AF60" s="9" t="n">
        <v>90</v>
      </c>
      <c r="AG60" s="9" t="n">
        <v>30</v>
      </c>
      <c r="AH60" s="9"/>
      <c r="AI60" s="9"/>
      <c r="AJ60" s="9" t="n">
        <v>180</v>
      </c>
      <c r="AK60" s="9" t="n">
        <v>30</v>
      </c>
      <c r="AL60" s="9" t="n">
        <v>90</v>
      </c>
      <c r="AM60" s="9"/>
      <c r="AN60" s="9" t="n">
        <v>30</v>
      </c>
      <c r="AO60" s="9" t="n">
        <v>150</v>
      </c>
      <c r="AP60" s="9" t="n">
        <v>90</v>
      </c>
      <c r="AQ60" s="9"/>
      <c r="AR60" s="9" t="n">
        <v>40</v>
      </c>
      <c r="AS60" s="9" t="n">
        <v>120</v>
      </c>
      <c r="AT60" s="9" t="n">
        <v>30</v>
      </c>
      <c r="AU60" s="9" t="n">
        <v>30</v>
      </c>
      <c r="AV60" s="9" t="n">
        <v>90</v>
      </c>
      <c r="AW60" s="9" t="n">
        <v>30</v>
      </c>
      <c r="AX60" s="9" t="n">
        <v>30</v>
      </c>
      <c r="AY60" s="9"/>
      <c r="AZ60" s="9" t="n">
        <v>30</v>
      </c>
      <c r="BA60" s="9" t="n">
        <v>60</v>
      </c>
      <c r="BB60" s="9" t="n">
        <v>210</v>
      </c>
      <c r="BC60" s="9" t="n">
        <v>130</v>
      </c>
      <c r="BD60" s="9" t="n">
        <v>120</v>
      </c>
      <c r="BE60" s="9" t="n">
        <v>90</v>
      </c>
      <c r="BF60" s="9" t="n">
        <v>60</v>
      </c>
      <c r="BG60" s="9"/>
      <c r="BH60" s="9" t="n">
        <v>90</v>
      </c>
      <c r="BI60" s="9" t="n">
        <v>180</v>
      </c>
      <c r="BJ60" s="9" t="n">
        <v>150</v>
      </c>
      <c r="BK60" s="9" t="n">
        <v>30</v>
      </c>
      <c r="BL60" s="9" t="n">
        <v>120</v>
      </c>
      <c r="BM60" s="9" t="n">
        <v>60</v>
      </c>
      <c r="BN60" s="9" t="n">
        <v>30</v>
      </c>
      <c r="BO60" s="9" t="n">
        <v>90</v>
      </c>
      <c r="BP60" s="9" t="n">
        <v>90</v>
      </c>
      <c r="BQ60" s="9" t="n">
        <v>120</v>
      </c>
      <c r="BR60" s="9" t="n">
        <v>90</v>
      </c>
      <c r="BS60" s="9" t="n">
        <v>30</v>
      </c>
      <c r="BT60" s="9" t="n">
        <v>10</v>
      </c>
      <c r="BU60" s="10" t="n">
        <v>5221</v>
      </c>
      <c r="BV60" s="11" t="n">
        <f aca="false">IF(ISERROR(ROUND(MEDIAN(BQ60:BT60),0)),0,ROUND(MEDIAN(BQ60:BT60),0))</f>
        <v>60</v>
      </c>
      <c r="BW60" s="11" t="n">
        <f aca="false">IF(ISERROR(ROUND(MEDIAN(BM60:BT60),0)),0,ROUND(MEDIAN(BM60:BT60),0))</f>
        <v>75</v>
      </c>
      <c r="BX60" s="11" t="n">
        <f aca="false">IF(ISERROR(ROUND(MEDIAN(BI60:BT60),0)),0,ROUND(MEDIAN(BI60:BT60),0))</f>
        <v>90</v>
      </c>
      <c r="BY60" s="11" t="n">
        <f aca="false">IF(ISERROR(ROUND(MEDIAN(BE60:BT60),0)),0,ROUND(MEDIAN(BE60:BT60),0))</f>
        <v>90</v>
      </c>
      <c r="BZ60" s="11" t="n">
        <f aca="false">IF(ISERROR(ROUND(MEDIAN(AU60:BT60),0)),0,ROUND(MEDIAN(AU60:BT60),0))</f>
        <v>90</v>
      </c>
      <c r="CA60" s="12" t="n">
        <f aca="false">IF(ISERROR(ROUND(MEDIAN(U60:BT60),0)),0,ROUND(MEDIAN(U60:BT60),0))</f>
        <v>90</v>
      </c>
      <c r="CB60" s="12" t="n">
        <f aca="false">IF(ISERROR(ROUND(MEDIAN(BT60),0)),0,ROUND(MEDIAN(BT60),0))</f>
        <v>10</v>
      </c>
      <c r="CC60" s="12" t="n">
        <f aca="false">IF(ISERROR(ROUND(MEDIAN(D60:BT60),0)),0,ROUND(MEDIAN(D60:BT60),0))</f>
        <v>90</v>
      </c>
      <c r="CD60" s="12" t="n">
        <f aca="false">MAX(D60:BT60)</f>
        <v>210</v>
      </c>
      <c r="CE60" s="7" t="n">
        <f aca="false">COUNTA(BQ60:BT60)</f>
        <v>4</v>
      </c>
      <c r="CF60" s="7" t="n">
        <f aca="false">COUNTA(BM60:BT60)</f>
        <v>8</v>
      </c>
      <c r="CG60" s="7" t="n">
        <f aca="false">COUNTA(BI60:BT60)</f>
        <v>12</v>
      </c>
      <c r="CH60" s="7" t="n">
        <f aca="false">COUNTA(BE60:BT60)</f>
        <v>15</v>
      </c>
      <c r="CI60" s="7" t="n">
        <f aca="false">COUNTA(AU60:BT60)</f>
        <v>24</v>
      </c>
      <c r="CJ60" s="7" t="n">
        <f aca="false">COUNTA(U60:BT60)</f>
        <v>45</v>
      </c>
      <c r="CK60" s="7" t="n">
        <f aca="false">COUNTA(BT60)</f>
        <v>1</v>
      </c>
      <c r="CL60" s="7" t="n">
        <f aca="false">COUNTA(D60:BT60)</f>
        <v>61</v>
      </c>
      <c r="CM60" s="13" t="str">
        <f aca="false">IF(AND(CE60=1,CJ60=1,BT60&lt;&gt;""),"5.ENTRANTES",IF(AND(CE60&lt;&gt;0,CE60/RIGHT($CE$1,1)&gt;=0.5,CJ60=CE60),"4.RECENTES",IF(AND(CF60&lt;&gt;0,CF60/RIGHT($CF$1,1)&gt;=0.5,CJ60=CF60),"4.RECENTES",IF(AND(CG60&lt;&gt;0,CG60/RIGHT($CG$1,2)&gt;=0.5,CJ60=CG60),"4.RECENTES",IF(AND(CH60&lt;&gt;0,CH60/RIGHT($CH$1,2)&gt;=0.5,CJ60=CH60),"4.RECENTES",IF(AND(CI60&lt;&gt;0,CI60/RIGHT($CI$1,2)&gt;=0.5,CJ60=CI60),"4.RECENTES",IF(AND(CE60=0,CF60=0,CG60=0,CH60=0),"3.INATIVOS",IF(CJ60/RIGHT($CJ$1,2)&lt;0.5,"2.INTERMITENTES","1.ORDINÁRIOS"))))))))</f>
        <v>1.ORDINÁRIOS</v>
      </c>
      <c r="CN60" s="14" t="n">
        <f aca="false">IF(AND(CE60=1,CJ60=1,BT60&lt;&gt;""),BT60,IF(AND(CE60&lt;&gt;0,CE60/RIGHT($CE$1,1)&gt;=0.5,CJ60=CE60),MAX(BV60:CC60),IF(AND(CF60&lt;&gt;0,CF60/RIGHT($CF$1,1)&gt;=0.5,CJ60=CF60),MAX(BV60:CC60),IF(AND(CG60&lt;&gt;0,CG60/RIGHT($CG$1,2)&gt;=0.5,CJ60=CG60),MAX(BV60:CC60),IF(AND(CH60&lt;&gt;0,CH60/RIGHT($CH$1,2)&gt;=0.5,CJ60=CH60),MAX(BV60:CC60),IF(AND(CI60&lt;&gt;0,CI60/RIGHT($CI$1,2)&gt;=0.5,CJ60=CI60),MAX(BV60:CC60),IF(AND(CE60=0,CF60=0,CG60=0,CH60=0),0,IF(CJ60/RIGHT($CJ$1,2)&lt;0.5,ROUND(BU60/RIGHT($CJ$1,2),0),MAX(BV60:CC60)))))))))</f>
        <v>90</v>
      </c>
      <c r="CO60" s="14" t="n">
        <f aca="false">CN60*3</f>
        <v>270</v>
      </c>
      <c r="CP60" s="15" t="n">
        <v>440</v>
      </c>
      <c r="CQ60" s="16" t="n">
        <f aca="false">IF((CO60-CP60)&lt;0,0,(CO60-CP60))</f>
        <v>0</v>
      </c>
      <c r="CR60" s="7"/>
    </row>
    <row r="61" customFormat="false" ht="12.75" hidden="false" customHeight="true" outlineLevel="0" collapsed="false">
      <c r="A61" s="7" t="s">
        <v>95</v>
      </c>
      <c r="B61" s="7" t="s">
        <v>155</v>
      </c>
      <c r="C61" s="8" t="n">
        <v>21001025</v>
      </c>
      <c r="D61" s="9" t="n">
        <v>40</v>
      </c>
      <c r="E61" s="9" t="n">
        <v>140</v>
      </c>
      <c r="F61" s="9" t="n">
        <v>80</v>
      </c>
      <c r="G61" s="9" t="n">
        <v>80</v>
      </c>
      <c r="H61" s="9" t="n">
        <v>40</v>
      </c>
      <c r="I61" s="9" t="n">
        <v>140</v>
      </c>
      <c r="J61" s="9" t="n">
        <v>120</v>
      </c>
      <c r="K61" s="9" t="n">
        <v>20</v>
      </c>
      <c r="L61" s="9" t="n">
        <v>40</v>
      </c>
      <c r="M61" s="9" t="n">
        <v>140</v>
      </c>
      <c r="N61" s="9" t="n">
        <v>20</v>
      </c>
      <c r="O61" s="9" t="n">
        <v>40</v>
      </c>
      <c r="P61" s="9" t="n">
        <v>40</v>
      </c>
      <c r="Q61" s="9" t="n">
        <v>40</v>
      </c>
      <c r="R61" s="9" t="n">
        <v>120</v>
      </c>
      <c r="S61" s="9" t="n">
        <v>115</v>
      </c>
      <c r="T61" s="9"/>
      <c r="U61" s="9" t="n">
        <v>60</v>
      </c>
      <c r="V61" s="9" t="n">
        <v>160</v>
      </c>
      <c r="W61" s="9" t="n">
        <v>40</v>
      </c>
      <c r="X61" s="9" t="n">
        <v>30</v>
      </c>
      <c r="Y61" s="9" t="n">
        <v>150</v>
      </c>
      <c r="Z61" s="9" t="n">
        <v>180</v>
      </c>
      <c r="AA61" s="9" t="n">
        <v>70</v>
      </c>
      <c r="AB61" s="9" t="n">
        <v>30</v>
      </c>
      <c r="AC61" s="9" t="n">
        <v>60</v>
      </c>
      <c r="AD61" s="9" t="n">
        <v>150</v>
      </c>
      <c r="AE61" s="9" t="n">
        <v>60</v>
      </c>
      <c r="AF61" s="9" t="n">
        <v>60</v>
      </c>
      <c r="AG61" s="9" t="n">
        <v>91</v>
      </c>
      <c r="AH61" s="9" t="n">
        <v>120</v>
      </c>
      <c r="AI61" s="9" t="n">
        <v>60</v>
      </c>
      <c r="AJ61" s="9" t="n">
        <v>90</v>
      </c>
      <c r="AK61" s="9"/>
      <c r="AL61" s="9" t="n">
        <v>30</v>
      </c>
      <c r="AM61" s="9" t="n">
        <v>60</v>
      </c>
      <c r="AN61" s="9" t="n">
        <v>120</v>
      </c>
      <c r="AO61" s="9" t="n">
        <v>50</v>
      </c>
      <c r="AP61" s="9" t="n">
        <v>115</v>
      </c>
      <c r="AQ61" s="9" t="n">
        <v>160</v>
      </c>
      <c r="AR61" s="9" t="n">
        <v>180</v>
      </c>
      <c r="AS61" s="9" t="n">
        <v>30</v>
      </c>
      <c r="AT61" s="9" t="n">
        <v>60</v>
      </c>
      <c r="AU61" s="9"/>
      <c r="AV61" s="9" t="n">
        <v>30</v>
      </c>
      <c r="AW61" s="9" t="n">
        <v>60</v>
      </c>
      <c r="AX61" s="9" t="n">
        <v>30</v>
      </c>
      <c r="AY61" s="9" t="n">
        <v>60</v>
      </c>
      <c r="AZ61" s="9" t="n">
        <v>90</v>
      </c>
      <c r="BA61" s="9" t="n">
        <v>30</v>
      </c>
      <c r="BB61" s="9" t="n">
        <v>30</v>
      </c>
      <c r="BC61" s="9" t="n">
        <v>90</v>
      </c>
      <c r="BD61" s="9" t="n">
        <v>60</v>
      </c>
      <c r="BE61" s="9"/>
      <c r="BF61" s="9" t="n">
        <v>30</v>
      </c>
      <c r="BG61" s="9" t="n">
        <v>60</v>
      </c>
      <c r="BH61" s="9" t="n">
        <v>60</v>
      </c>
      <c r="BI61" s="9" t="n">
        <v>192</v>
      </c>
      <c r="BJ61" s="9" t="n">
        <v>105</v>
      </c>
      <c r="BK61" s="9" t="n">
        <v>115</v>
      </c>
      <c r="BL61" s="9"/>
      <c r="BM61" s="9" t="n">
        <v>150</v>
      </c>
      <c r="BN61" s="9" t="n">
        <v>90</v>
      </c>
      <c r="BO61" s="9" t="n">
        <v>60</v>
      </c>
      <c r="BP61" s="9" t="n">
        <v>190</v>
      </c>
      <c r="BQ61" s="9" t="n">
        <v>200</v>
      </c>
      <c r="BR61" s="9" t="n">
        <v>40</v>
      </c>
      <c r="BS61" s="9" t="n">
        <v>60</v>
      </c>
      <c r="BT61" s="9" t="n">
        <v>15</v>
      </c>
      <c r="BU61" s="10" t="n">
        <v>5278</v>
      </c>
      <c r="BV61" s="11" t="n">
        <f aca="false">IF(ISERROR(ROUND(MEDIAN(BQ61:BT61),0)),0,ROUND(MEDIAN(BQ61:BT61),0))</f>
        <v>50</v>
      </c>
      <c r="BW61" s="11" t="n">
        <f aca="false">IF(ISERROR(ROUND(MEDIAN(BM61:BT61),0)),0,ROUND(MEDIAN(BM61:BT61),0))</f>
        <v>75</v>
      </c>
      <c r="BX61" s="11" t="n">
        <f aca="false">IF(ISERROR(ROUND(MEDIAN(BI61:BT61),0)),0,ROUND(MEDIAN(BI61:BT61),0))</f>
        <v>105</v>
      </c>
      <c r="BY61" s="11" t="n">
        <f aca="false">IF(ISERROR(ROUND(MEDIAN(BE61:BT61),0)),0,ROUND(MEDIAN(BE61:BT61),0))</f>
        <v>75</v>
      </c>
      <c r="BZ61" s="11" t="n">
        <f aca="false">IF(ISERROR(ROUND(MEDIAN(AU61:BT61),0)),0,ROUND(MEDIAN(AU61:BT61),0))</f>
        <v>60</v>
      </c>
      <c r="CA61" s="12" t="n">
        <f aca="false">IF(ISERROR(ROUND(MEDIAN(U61:BT61),0)),0,ROUND(MEDIAN(U61:BT61),0))</f>
        <v>60</v>
      </c>
      <c r="CB61" s="12" t="n">
        <f aca="false">IF(ISERROR(ROUND(MEDIAN(BT61),0)),0,ROUND(MEDIAN(BT61),0))</f>
        <v>15</v>
      </c>
      <c r="CC61" s="12" t="n">
        <f aca="false">IF(ISERROR(ROUND(MEDIAN(D61:BT61),0)),0,ROUND(MEDIAN(D61:BT61),0))</f>
        <v>60</v>
      </c>
      <c r="CD61" s="12" t="n">
        <f aca="false">MAX(D61:BT61)</f>
        <v>200</v>
      </c>
      <c r="CE61" s="7" t="n">
        <f aca="false">COUNTA(BQ61:BT61)</f>
        <v>4</v>
      </c>
      <c r="CF61" s="7" t="n">
        <f aca="false">COUNTA(BM61:BT61)</f>
        <v>8</v>
      </c>
      <c r="CG61" s="7" t="n">
        <f aca="false">COUNTA(BI61:BT61)</f>
        <v>11</v>
      </c>
      <c r="CH61" s="7" t="n">
        <f aca="false">COUNTA(BE61:BT61)</f>
        <v>14</v>
      </c>
      <c r="CI61" s="7" t="n">
        <f aca="false">COUNTA(AU61:BT61)</f>
        <v>23</v>
      </c>
      <c r="CJ61" s="7" t="n">
        <f aca="false">COUNTA(U61:BT61)</f>
        <v>48</v>
      </c>
      <c r="CK61" s="7" t="n">
        <f aca="false">COUNTA(BT61)</f>
        <v>1</v>
      </c>
      <c r="CL61" s="7" t="n">
        <f aca="false">COUNTA(D61:BT61)</f>
        <v>64</v>
      </c>
      <c r="CM61" s="13" t="str">
        <f aca="false">IF(AND(CE61=1,CJ61=1,BT61&lt;&gt;""),"5.ENTRANTES",IF(AND(CE61&lt;&gt;0,CE61/RIGHT($CE$1,1)&gt;=0.5,CJ61=CE61),"4.RECENTES",IF(AND(CF61&lt;&gt;0,CF61/RIGHT($CF$1,1)&gt;=0.5,CJ61=CF61),"4.RECENTES",IF(AND(CG61&lt;&gt;0,CG61/RIGHT($CG$1,2)&gt;=0.5,CJ61=CG61),"4.RECENTES",IF(AND(CH61&lt;&gt;0,CH61/RIGHT($CH$1,2)&gt;=0.5,CJ61=CH61),"4.RECENTES",IF(AND(CI61&lt;&gt;0,CI61/RIGHT($CI$1,2)&gt;=0.5,CJ61=CI61),"4.RECENTES",IF(AND(CE61=0,CF61=0,CG61=0,CH61=0),"3.INATIVOS",IF(CJ61/RIGHT($CJ$1,2)&lt;0.5,"2.INTERMITENTES","1.ORDINÁRIOS"))))))))</f>
        <v>1.ORDINÁRIOS</v>
      </c>
      <c r="CN61" s="14" t="n">
        <f aca="false">IF(AND(CE61=1,CJ61=1,BT61&lt;&gt;""),BT61,IF(AND(CE61&lt;&gt;0,CE61/RIGHT($CE$1,1)&gt;=0.5,CJ61=CE61),MAX(BV61:CC61),IF(AND(CF61&lt;&gt;0,CF61/RIGHT($CF$1,1)&gt;=0.5,CJ61=CF61),MAX(BV61:CC61),IF(AND(CG61&lt;&gt;0,CG61/RIGHT($CG$1,2)&gt;=0.5,CJ61=CG61),MAX(BV61:CC61),IF(AND(CH61&lt;&gt;0,CH61/RIGHT($CH$1,2)&gt;=0.5,CJ61=CH61),MAX(BV61:CC61),IF(AND(CI61&lt;&gt;0,CI61/RIGHT($CI$1,2)&gt;=0.5,CJ61=CI61),MAX(BV61:CC61),IF(AND(CE61=0,CF61=0,CG61=0,CH61=0),0,IF(CJ61/RIGHT($CJ$1,2)&lt;0.5,ROUND(BU61/RIGHT($CJ$1,2),0),MAX(BV61:CC61)))))))))</f>
        <v>105</v>
      </c>
      <c r="CO61" s="14" t="n">
        <f aca="false">CN61*3</f>
        <v>315</v>
      </c>
      <c r="CP61" s="15" t="n">
        <v>270</v>
      </c>
      <c r="CQ61" s="16" t="n">
        <f aca="false">IF((CO61-CP61)&lt;0,0,(CO61-CP61))</f>
        <v>45</v>
      </c>
      <c r="CR61" s="7"/>
    </row>
    <row r="62" customFormat="false" ht="12.75" hidden="false" customHeight="true" outlineLevel="0" collapsed="false">
      <c r="A62" s="7" t="s">
        <v>95</v>
      </c>
      <c r="B62" s="7" t="s">
        <v>156</v>
      </c>
      <c r="C62" s="8" t="n">
        <v>11001004</v>
      </c>
      <c r="D62" s="9"/>
      <c r="E62" s="9"/>
      <c r="F62" s="9" t="n">
        <v>2</v>
      </c>
      <c r="G62" s="9" t="n">
        <v>3</v>
      </c>
      <c r="H62" s="9"/>
      <c r="I62" s="9" t="n">
        <v>3</v>
      </c>
      <c r="J62" s="9" t="n">
        <v>1</v>
      </c>
      <c r="K62" s="9"/>
      <c r="L62" s="9"/>
      <c r="M62" s="9" t="n">
        <v>1</v>
      </c>
      <c r="N62" s="9"/>
      <c r="O62" s="9" t="n">
        <v>1</v>
      </c>
      <c r="P62" s="9"/>
      <c r="Q62" s="9"/>
      <c r="R62" s="9"/>
      <c r="S62" s="9"/>
      <c r="T62" s="9" t="n">
        <v>2</v>
      </c>
      <c r="U62" s="9"/>
      <c r="V62" s="9"/>
      <c r="W62" s="9" t="n">
        <v>1</v>
      </c>
      <c r="X62" s="9"/>
      <c r="Y62" s="9"/>
      <c r="Z62" s="9"/>
      <c r="AA62" s="9" t="n">
        <v>2</v>
      </c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 t="n">
        <v>1</v>
      </c>
      <c r="BB62" s="9"/>
      <c r="BC62" s="9"/>
      <c r="BD62" s="9"/>
      <c r="BE62" s="9"/>
      <c r="BF62" s="9" t="n">
        <v>1</v>
      </c>
      <c r="BG62" s="9"/>
      <c r="BH62" s="9"/>
      <c r="BI62" s="9" t="n">
        <v>1</v>
      </c>
      <c r="BJ62" s="9"/>
      <c r="BK62" s="9" t="n">
        <v>1</v>
      </c>
      <c r="BL62" s="9"/>
      <c r="BM62" s="9" t="n">
        <v>1</v>
      </c>
      <c r="BN62" s="9"/>
      <c r="BO62" s="9"/>
      <c r="BP62" s="9"/>
      <c r="BQ62" s="9"/>
      <c r="BR62" s="9"/>
      <c r="BS62" s="9"/>
      <c r="BT62" s="9"/>
      <c r="BU62" s="10" t="n">
        <v>21</v>
      </c>
      <c r="BV62" s="11" t="n">
        <f aca="false">IF(ISERROR(ROUND(MEDIAN(BQ62:BT62),0)),0,ROUND(MEDIAN(BQ62:BT62),0))</f>
        <v>0</v>
      </c>
      <c r="BW62" s="11" t="n">
        <f aca="false">IF(ISERROR(ROUND(MEDIAN(BM62:BT62),0)),0,ROUND(MEDIAN(BM62:BT62),0))</f>
        <v>1</v>
      </c>
      <c r="BX62" s="11" t="n">
        <f aca="false">IF(ISERROR(ROUND(MEDIAN(BI62:BT62),0)),0,ROUND(MEDIAN(BI62:BT62),0))</f>
        <v>1</v>
      </c>
      <c r="BY62" s="11" t="n">
        <f aca="false">IF(ISERROR(ROUND(MEDIAN(BE62:BT62),0)),0,ROUND(MEDIAN(BE62:BT62),0))</f>
        <v>1</v>
      </c>
      <c r="BZ62" s="11" t="n">
        <f aca="false">IF(ISERROR(ROUND(MEDIAN(AU62:BT62),0)),0,ROUND(MEDIAN(AU62:BT62),0))</f>
        <v>1</v>
      </c>
      <c r="CA62" s="12" t="n">
        <f aca="false">IF(ISERROR(ROUND(MEDIAN(U62:BT62),0)),0,ROUND(MEDIAN(U62:BT62),0))</f>
        <v>1</v>
      </c>
      <c r="CB62" s="12" t="n">
        <f aca="false">IF(ISERROR(ROUND(MEDIAN(BT62),0)),0,ROUND(MEDIAN(BT62),0))</f>
        <v>0</v>
      </c>
      <c r="CC62" s="12" t="n">
        <f aca="false">IF(ISERROR(ROUND(MEDIAN(D62:BT62),0)),0,ROUND(MEDIAN(D62:BT62),0))</f>
        <v>1</v>
      </c>
      <c r="CD62" s="12" t="n">
        <f aca="false">MAX(D62:BT62)</f>
        <v>3</v>
      </c>
      <c r="CE62" s="7" t="n">
        <f aca="false">COUNTA(BQ62:BT62)</f>
        <v>0</v>
      </c>
      <c r="CF62" s="7" t="n">
        <f aca="false">COUNTA(BM62:BT62)</f>
        <v>1</v>
      </c>
      <c r="CG62" s="7" t="n">
        <f aca="false">COUNTA(BI62:BT62)</f>
        <v>3</v>
      </c>
      <c r="CH62" s="7" t="n">
        <f aca="false">COUNTA(BE62:BT62)</f>
        <v>4</v>
      </c>
      <c r="CI62" s="7" t="n">
        <f aca="false">COUNTA(AU62:BT62)</f>
        <v>5</v>
      </c>
      <c r="CJ62" s="7" t="n">
        <f aca="false">COUNTA(U62:BT62)</f>
        <v>7</v>
      </c>
      <c r="CK62" s="7" t="n">
        <f aca="false">COUNTA(BT62)</f>
        <v>0</v>
      </c>
      <c r="CL62" s="7" t="n">
        <f aca="false">COUNTA(D62:BT62)</f>
        <v>14</v>
      </c>
      <c r="CM62" s="17" t="str">
        <f aca="false">IF(AND(CE62=1,CJ62=1,BT62&lt;&gt;""),"5.ENTRANTES",IF(AND(CE62&lt;&gt;0,CE62/RIGHT($CE$1,1)&gt;=0.5,CJ62=CE62),"4.RECENTES",IF(AND(CF62&lt;&gt;0,CF62/RIGHT($CF$1,1)&gt;=0.5,CJ62=CF62),"4.RECENTES",IF(AND(CG62&lt;&gt;0,CG62/RIGHT($CG$1,2)&gt;=0.5,CJ62=CG62),"4.RECENTES",IF(AND(CH62&lt;&gt;0,CH62/RIGHT($CH$1,2)&gt;=0.5,CJ62=CH62),"4.RECENTES",IF(AND(CI62&lt;&gt;0,CI62/RIGHT($CI$1,2)&gt;=0.5,CJ62=CI62),"4.RECENTES",IF(AND(CE62=0,CF62=0,CG62=0,CH62=0),"3.INATIVOS",IF(CJ62/RIGHT($CJ$1,2)&lt;0.5,"2.INTERMITENTES","1.ORDINÁRIOS"))))))))</f>
        <v>2.INTERMITENTES</v>
      </c>
      <c r="CN62" s="18" t="n">
        <f aca="false">IF(AND(CE62=1,CJ62=1,BT62&lt;&gt;""),BT62,IF(AND(CE62&lt;&gt;0,CE62/RIGHT($CE$1,1)&gt;=0.5,CJ62=CE62),MAX(BV62:CC62),IF(AND(CF62&lt;&gt;0,CF62/RIGHT($CF$1,1)&gt;=0.5,CJ62=CF62),MAX(BV62:CC62),IF(AND(CG62&lt;&gt;0,CG62/RIGHT($CG$1,2)&gt;=0.5,CJ62=CG62),MAX(BV62:CC62),IF(AND(CH62&lt;&gt;0,CH62/RIGHT($CH$1,2)&gt;=0.5,CJ62=CH62),MAX(BV62:CC62),IF(AND(CI62&lt;&gt;0,CI62/RIGHT($CI$1,2)&gt;=0.5,CJ62=CI62),MAX(BV62:CC62),IF(AND(CE62=0,CF62=0,CG62=0,CH62=0),0,IF(CJ62/RIGHT($CJ$1,2)&lt;0.5,ROUND(BU62/RIGHT($CJ$1,2),0),MAX(BV62:CC62)))))))))</f>
        <v>0</v>
      </c>
      <c r="CO62" s="18" t="n">
        <f aca="false">CD62</f>
        <v>3</v>
      </c>
      <c r="CP62" s="15" t="n">
        <v>5</v>
      </c>
      <c r="CQ62" s="16" t="n">
        <f aca="false">IF((CO62-CP62)&lt;0,0,(CO62-CP62))</f>
        <v>0</v>
      </c>
      <c r="CR62" s="7"/>
    </row>
    <row r="63" customFormat="false" ht="12.75" hidden="false" customHeight="true" outlineLevel="0" collapsed="false">
      <c r="A63" s="7" t="s">
        <v>95</v>
      </c>
      <c r="B63" s="7" t="s">
        <v>157</v>
      </c>
      <c r="C63" s="8" t="n">
        <v>21001071</v>
      </c>
      <c r="D63" s="9"/>
      <c r="E63" s="9" t="n">
        <v>1</v>
      </c>
      <c r="F63" s="9" t="n">
        <v>2</v>
      </c>
      <c r="G63" s="9" t="n">
        <v>2</v>
      </c>
      <c r="H63" s="9"/>
      <c r="I63" s="9" t="n">
        <v>2</v>
      </c>
      <c r="J63" s="9" t="n">
        <v>3</v>
      </c>
      <c r="K63" s="9" t="n">
        <v>2</v>
      </c>
      <c r="L63" s="9"/>
      <c r="M63" s="9"/>
      <c r="N63" s="9" t="n">
        <v>5</v>
      </c>
      <c r="O63" s="9" t="n">
        <v>2</v>
      </c>
      <c r="P63" s="9" t="n">
        <v>2</v>
      </c>
      <c r="Q63" s="9"/>
      <c r="R63" s="9" t="n">
        <v>1</v>
      </c>
      <c r="S63" s="9"/>
      <c r="T63" s="9" t="n">
        <v>3</v>
      </c>
      <c r="U63" s="9"/>
      <c r="V63" s="9"/>
      <c r="W63" s="9" t="n">
        <v>1</v>
      </c>
      <c r="X63" s="9" t="n">
        <v>2</v>
      </c>
      <c r="Y63" s="9" t="n">
        <v>1</v>
      </c>
      <c r="Z63" s="9" t="n">
        <v>1</v>
      </c>
      <c r="AA63" s="9"/>
      <c r="AB63" s="9"/>
      <c r="AC63" s="9"/>
      <c r="AD63" s="9"/>
      <c r="AE63" s="9" t="n">
        <v>2</v>
      </c>
      <c r="AF63" s="9"/>
      <c r="AG63" s="9"/>
      <c r="AH63" s="9"/>
      <c r="AI63" s="9"/>
      <c r="AJ63" s="9" t="n">
        <v>4</v>
      </c>
      <c r="AK63" s="9"/>
      <c r="AL63" s="9"/>
      <c r="AM63" s="9"/>
      <c r="AN63" s="9"/>
      <c r="AO63" s="9"/>
      <c r="AP63" s="9" t="n">
        <v>4</v>
      </c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 t="n">
        <v>4</v>
      </c>
      <c r="BB63" s="9"/>
      <c r="BC63" s="9"/>
      <c r="BD63" s="9"/>
      <c r="BE63" s="9"/>
      <c r="BF63" s="9"/>
      <c r="BG63" s="9"/>
      <c r="BH63" s="9" t="n">
        <v>1</v>
      </c>
      <c r="BI63" s="9"/>
      <c r="BJ63" s="9" t="n">
        <v>1</v>
      </c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10" t="n">
        <v>46</v>
      </c>
      <c r="BV63" s="11" t="n">
        <f aca="false">IF(ISERROR(ROUND(MEDIAN(BQ63:BT63),0)),0,ROUND(MEDIAN(BQ63:BT63),0))</f>
        <v>0</v>
      </c>
      <c r="BW63" s="11" t="n">
        <f aca="false">IF(ISERROR(ROUND(MEDIAN(BM63:BT63),0)),0,ROUND(MEDIAN(BM63:BT63),0))</f>
        <v>0</v>
      </c>
      <c r="BX63" s="11" t="n">
        <f aca="false">IF(ISERROR(ROUND(MEDIAN(BI63:BT63),0)),0,ROUND(MEDIAN(BI63:BT63),0))</f>
        <v>1</v>
      </c>
      <c r="BY63" s="11" t="n">
        <f aca="false">IF(ISERROR(ROUND(MEDIAN(BE63:BT63),0)),0,ROUND(MEDIAN(BE63:BT63),0))</f>
        <v>1</v>
      </c>
      <c r="BZ63" s="11" t="n">
        <f aca="false">IF(ISERROR(ROUND(MEDIAN(AU63:BT63),0)),0,ROUND(MEDIAN(AU63:BT63),0))</f>
        <v>1</v>
      </c>
      <c r="CA63" s="12" t="n">
        <f aca="false">IF(ISERROR(ROUND(MEDIAN(U63:BT63),0)),0,ROUND(MEDIAN(U63:BT63),0))</f>
        <v>2</v>
      </c>
      <c r="CB63" s="12" t="n">
        <f aca="false">IF(ISERROR(ROUND(MEDIAN(BT63),0)),0,ROUND(MEDIAN(BT63),0))</f>
        <v>0</v>
      </c>
      <c r="CC63" s="12" t="n">
        <f aca="false">IF(ISERROR(ROUND(MEDIAN(D63:BT63),0)),0,ROUND(MEDIAN(D63:BT63),0))</f>
        <v>2</v>
      </c>
      <c r="CD63" s="12" t="n">
        <f aca="false">MAX(D63:BT63)</f>
        <v>5</v>
      </c>
      <c r="CE63" s="7" t="n">
        <f aca="false">COUNTA(BQ63:BT63)</f>
        <v>0</v>
      </c>
      <c r="CF63" s="7" t="n">
        <f aca="false">COUNTA(BM63:BT63)</f>
        <v>0</v>
      </c>
      <c r="CG63" s="7" t="n">
        <f aca="false">COUNTA(BI63:BT63)</f>
        <v>1</v>
      </c>
      <c r="CH63" s="7" t="n">
        <f aca="false">COUNTA(BE63:BT63)</f>
        <v>2</v>
      </c>
      <c r="CI63" s="7" t="n">
        <f aca="false">COUNTA(AU63:BT63)</f>
        <v>3</v>
      </c>
      <c r="CJ63" s="7" t="n">
        <f aca="false">COUNTA(U63:BT63)</f>
        <v>10</v>
      </c>
      <c r="CK63" s="7" t="n">
        <f aca="false">COUNTA(BT63)</f>
        <v>0</v>
      </c>
      <c r="CL63" s="7" t="n">
        <f aca="false">COUNTA(D63:BT63)</f>
        <v>21</v>
      </c>
      <c r="CM63" s="17" t="str">
        <f aca="false">IF(AND(CE63=1,CJ63=1,BT63&lt;&gt;""),"5.ENTRANTES",IF(AND(CE63&lt;&gt;0,CE63/RIGHT($CE$1,1)&gt;=0.5,CJ63=CE63),"4.RECENTES",IF(AND(CF63&lt;&gt;0,CF63/RIGHT($CF$1,1)&gt;=0.5,CJ63=CF63),"4.RECENTES",IF(AND(CG63&lt;&gt;0,CG63/RIGHT($CG$1,2)&gt;=0.5,CJ63=CG63),"4.RECENTES",IF(AND(CH63&lt;&gt;0,CH63/RIGHT($CH$1,2)&gt;=0.5,CJ63=CH63),"4.RECENTES",IF(AND(CI63&lt;&gt;0,CI63/RIGHT($CI$1,2)&gt;=0.5,CJ63=CI63),"4.RECENTES",IF(AND(CE63=0,CF63=0,CG63=0,CH63=0),"3.INATIVOS",IF(CJ63/RIGHT($CJ$1,2)&lt;0.5,"2.INTERMITENTES","1.ORDINÁRIOS"))))))))</f>
        <v>2.INTERMITENTES</v>
      </c>
      <c r="CN63" s="18" t="n">
        <f aca="false">IF(AND(CE63=1,CJ63=1,BT63&lt;&gt;""),BT63,IF(AND(CE63&lt;&gt;0,CE63/RIGHT($CE$1,1)&gt;=0.5,CJ63=CE63),MAX(BV63:CC63),IF(AND(CF63&lt;&gt;0,CF63/RIGHT($CF$1,1)&gt;=0.5,CJ63=CF63),MAX(BV63:CC63),IF(AND(CG63&lt;&gt;0,CG63/RIGHT($CG$1,2)&gt;=0.5,CJ63=CG63),MAX(BV63:CC63),IF(AND(CH63&lt;&gt;0,CH63/RIGHT($CH$1,2)&gt;=0.5,CJ63=CH63),MAX(BV63:CC63),IF(AND(CI63&lt;&gt;0,CI63/RIGHT($CI$1,2)&gt;=0.5,CJ63=CI63),MAX(BV63:CC63),IF(AND(CE63=0,CF63=0,CG63=0,CH63=0),0,IF(CJ63/RIGHT($CJ$1,2)&lt;0.5,ROUND(BU63/RIGHT($CJ$1,2),0),MAX(BV63:CC63)))))))))</f>
        <v>1</v>
      </c>
      <c r="CO63" s="18" t="n">
        <f aca="false">CD63</f>
        <v>5</v>
      </c>
      <c r="CP63" s="15" t="n">
        <v>8</v>
      </c>
      <c r="CQ63" s="16" t="n">
        <f aca="false">IF((CO63-CP63)&lt;0,0,(CO63-CP63))</f>
        <v>0</v>
      </c>
      <c r="CR63" s="7"/>
    </row>
    <row r="64" customFormat="false" ht="12.75" hidden="false" customHeight="true" outlineLevel="0" collapsed="false">
      <c r="A64" s="7" t="s">
        <v>95</v>
      </c>
      <c r="B64" s="7" t="s">
        <v>158</v>
      </c>
      <c r="C64" s="8" t="n">
        <v>10001005</v>
      </c>
      <c r="D64" s="9"/>
      <c r="E64" s="9"/>
      <c r="F64" s="9"/>
      <c r="G64" s="9"/>
      <c r="H64" s="9" t="n">
        <v>2</v>
      </c>
      <c r="I64" s="9"/>
      <c r="J64" s="9"/>
      <c r="K64" s="9"/>
      <c r="L64" s="9" t="n">
        <v>1</v>
      </c>
      <c r="M64" s="9"/>
      <c r="N64" s="9"/>
      <c r="O64" s="9"/>
      <c r="P64" s="9"/>
      <c r="Q64" s="9" t="n">
        <v>1</v>
      </c>
      <c r="R64" s="9"/>
      <c r="S64" s="9"/>
      <c r="T64" s="9"/>
      <c r="U64" s="9"/>
      <c r="V64" s="9" t="n">
        <v>2</v>
      </c>
      <c r="W64" s="9"/>
      <c r="X64" s="9"/>
      <c r="Y64" s="9"/>
      <c r="Z64" s="9"/>
      <c r="AA64" s="9" t="n">
        <v>1</v>
      </c>
      <c r="AB64" s="9"/>
      <c r="AC64" s="9"/>
      <c r="AD64" s="9"/>
      <c r="AE64" s="9"/>
      <c r="AF64" s="9"/>
      <c r="AG64" s="9" t="n">
        <v>3</v>
      </c>
      <c r="AH64" s="9"/>
      <c r="AI64" s="9" t="n">
        <v>1</v>
      </c>
      <c r="AJ64" s="9" t="n">
        <v>1</v>
      </c>
      <c r="AK64" s="9" t="n">
        <v>1</v>
      </c>
      <c r="AL64" s="9" t="n">
        <v>1</v>
      </c>
      <c r="AM64" s="9"/>
      <c r="AN64" s="9"/>
      <c r="AO64" s="9"/>
      <c r="AP64" s="9" t="n">
        <v>5</v>
      </c>
      <c r="AQ64" s="9"/>
      <c r="AR64" s="9" t="n">
        <v>2</v>
      </c>
      <c r="AS64" s="9" t="n">
        <v>1</v>
      </c>
      <c r="AT64" s="9" t="n">
        <v>2</v>
      </c>
      <c r="AU64" s="9"/>
      <c r="AV64" s="9"/>
      <c r="AW64" s="9" t="n">
        <v>1</v>
      </c>
      <c r="AX64" s="9"/>
      <c r="AY64" s="9" t="n">
        <v>1</v>
      </c>
      <c r="AZ64" s="9"/>
      <c r="BA64" s="9"/>
      <c r="BB64" s="9"/>
      <c r="BC64" s="9"/>
      <c r="BD64" s="9" t="n">
        <v>4</v>
      </c>
      <c r="BE64" s="9" t="n">
        <v>9</v>
      </c>
      <c r="BF64" s="9"/>
      <c r="BG64" s="9" t="n">
        <v>3</v>
      </c>
      <c r="BH64" s="9"/>
      <c r="BI64" s="9" t="n">
        <v>1</v>
      </c>
      <c r="BJ64" s="9"/>
      <c r="BK64" s="9"/>
      <c r="BL64" s="9" t="n">
        <v>3</v>
      </c>
      <c r="BM64" s="9"/>
      <c r="BN64" s="9"/>
      <c r="BO64" s="9" t="n">
        <v>1</v>
      </c>
      <c r="BP64" s="9" t="n">
        <v>4</v>
      </c>
      <c r="BQ64" s="9" t="n">
        <v>1</v>
      </c>
      <c r="BR64" s="9"/>
      <c r="BS64" s="9"/>
      <c r="BT64" s="9"/>
      <c r="BU64" s="10" t="n">
        <v>52</v>
      </c>
      <c r="BV64" s="11" t="n">
        <f aca="false">IF(ISERROR(ROUND(MEDIAN(BQ64:BT64),0)),0,ROUND(MEDIAN(BQ64:BT64),0))</f>
        <v>1</v>
      </c>
      <c r="BW64" s="11" t="n">
        <f aca="false">IF(ISERROR(ROUND(MEDIAN(BM64:BT64),0)),0,ROUND(MEDIAN(BM64:BT64),0))</f>
        <v>1</v>
      </c>
      <c r="BX64" s="11" t="n">
        <f aca="false">IF(ISERROR(ROUND(MEDIAN(BI64:BT64),0)),0,ROUND(MEDIAN(BI64:BT64),0))</f>
        <v>1</v>
      </c>
      <c r="BY64" s="11" t="n">
        <f aca="false">IF(ISERROR(ROUND(MEDIAN(BE64:BT64),0)),0,ROUND(MEDIAN(BE64:BT64),0))</f>
        <v>3</v>
      </c>
      <c r="BZ64" s="11" t="n">
        <f aca="false">IF(ISERROR(ROUND(MEDIAN(AU64:BT64),0)),0,ROUND(MEDIAN(AU64:BT64),0))</f>
        <v>2</v>
      </c>
      <c r="CA64" s="12" t="n">
        <f aca="false">IF(ISERROR(ROUND(MEDIAN(U64:BT64),0)),0,ROUND(MEDIAN(U64:BT64),0))</f>
        <v>1</v>
      </c>
      <c r="CB64" s="12" t="n">
        <f aca="false">IF(ISERROR(ROUND(MEDIAN(BT64),0)),0,ROUND(MEDIAN(BT64),0))</f>
        <v>0</v>
      </c>
      <c r="CC64" s="12" t="n">
        <f aca="false">IF(ISERROR(ROUND(MEDIAN(D64:BT64),0)),0,ROUND(MEDIAN(D64:BT64),0))</f>
        <v>1</v>
      </c>
      <c r="CD64" s="12" t="n">
        <f aca="false">MAX(D64:BT64)</f>
        <v>9</v>
      </c>
      <c r="CE64" s="7" t="n">
        <f aca="false">COUNTA(BQ64:BT64)</f>
        <v>1</v>
      </c>
      <c r="CF64" s="7" t="n">
        <f aca="false">COUNTA(BM64:BT64)</f>
        <v>3</v>
      </c>
      <c r="CG64" s="7" t="n">
        <f aca="false">COUNTA(BI64:BT64)</f>
        <v>5</v>
      </c>
      <c r="CH64" s="7" t="n">
        <f aca="false">COUNTA(BE64:BT64)</f>
        <v>7</v>
      </c>
      <c r="CI64" s="7" t="n">
        <f aca="false">COUNTA(AU64:BT64)</f>
        <v>10</v>
      </c>
      <c r="CJ64" s="7" t="n">
        <f aca="false">COUNTA(U64:BT64)</f>
        <v>21</v>
      </c>
      <c r="CK64" s="7" t="n">
        <f aca="false">COUNTA(BT64)</f>
        <v>0</v>
      </c>
      <c r="CL64" s="7" t="n">
        <f aca="false">COUNTA(D64:BT64)</f>
        <v>24</v>
      </c>
      <c r="CM64" s="17" t="str">
        <f aca="false">IF(AND(CE64=1,CJ64=1,BT64&lt;&gt;""),"5.ENTRANTES",IF(AND(CE64&lt;&gt;0,CE64/RIGHT($CE$1,1)&gt;=0.5,CJ64=CE64),"4.RECENTES",IF(AND(CF64&lt;&gt;0,CF64/RIGHT($CF$1,1)&gt;=0.5,CJ64=CF64),"4.RECENTES",IF(AND(CG64&lt;&gt;0,CG64/RIGHT($CG$1,2)&gt;=0.5,CJ64=CG64),"4.RECENTES",IF(AND(CH64&lt;&gt;0,CH64/RIGHT($CH$1,2)&gt;=0.5,CJ64=CH64),"4.RECENTES",IF(AND(CI64&lt;&gt;0,CI64/RIGHT($CI$1,2)&gt;=0.5,CJ64=CI64),"4.RECENTES",IF(AND(CE64=0,CF64=0,CG64=0,CH64=0),"3.INATIVOS",IF(CJ64/RIGHT($CJ$1,2)&lt;0.5,"2.INTERMITENTES","1.ORDINÁRIOS"))))))))</f>
        <v>2.INTERMITENTES</v>
      </c>
      <c r="CN64" s="18" t="n">
        <f aca="false">IF(AND(CE64=1,CJ64=1,BT64&lt;&gt;""),BT64,IF(AND(CE64&lt;&gt;0,CE64/RIGHT($CE$1,1)&gt;=0.5,CJ64=CE64),MAX(BV64:CC64),IF(AND(CF64&lt;&gt;0,CF64/RIGHT($CF$1,1)&gt;=0.5,CJ64=CF64),MAX(BV64:CC64),IF(AND(CG64&lt;&gt;0,CG64/RIGHT($CG$1,2)&gt;=0.5,CJ64=CG64),MAX(BV64:CC64),IF(AND(CH64&lt;&gt;0,CH64/RIGHT($CH$1,2)&gt;=0.5,CJ64=CH64),MAX(BV64:CC64),IF(AND(CI64&lt;&gt;0,CI64/RIGHT($CI$1,2)&gt;=0.5,CJ64=CI64),MAX(BV64:CC64),IF(AND(CE64=0,CF64=0,CG64=0,CH64=0),0,IF(CJ64/RIGHT($CJ$1,2)&lt;0.5,ROUND(BU64/RIGHT($CJ$1,2),0),MAX(BV64:CC64)))))))))</f>
        <v>1</v>
      </c>
      <c r="CO64" s="18" t="n">
        <f aca="false">CD64</f>
        <v>9</v>
      </c>
      <c r="CP64" s="15" t="n">
        <v>22</v>
      </c>
      <c r="CQ64" s="16" t="n">
        <f aca="false">IF((CO64-CP64)&lt;0,0,(CO64-CP64))</f>
        <v>0</v>
      </c>
      <c r="CR64" s="7"/>
    </row>
    <row r="65" customFormat="false" ht="12.75" hidden="false" customHeight="true" outlineLevel="0" collapsed="false">
      <c r="A65" s="7" t="s">
        <v>95</v>
      </c>
      <c r="B65" s="7" t="s">
        <v>159</v>
      </c>
      <c r="C65" s="8" t="n">
        <v>2000013</v>
      </c>
      <c r="D65" s="9" t="n">
        <v>14</v>
      </c>
      <c r="E65" s="9" t="n">
        <v>47</v>
      </c>
      <c r="F65" s="9" t="n">
        <v>61</v>
      </c>
      <c r="G65" s="9" t="n">
        <v>75</v>
      </c>
      <c r="H65" s="9" t="n">
        <v>31</v>
      </c>
      <c r="I65" s="9" t="n">
        <v>62</v>
      </c>
      <c r="J65" s="9" t="n">
        <v>69</v>
      </c>
      <c r="K65" s="9" t="n">
        <v>19</v>
      </c>
      <c r="L65" s="9" t="n">
        <v>35</v>
      </c>
      <c r="M65" s="9" t="n">
        <v>45</v>
      </c>
      <c r="N65" s="9" t="n">
        <v>27</v>
      </c>
      <c r="O65" s="9" t="n">
        <v>62</v>
      </c>
      <c r="P65" s="9" t="n">
        <v>60</v>
      </c>
      <c r="Q65" s="9" t="n">
        <v>58</v>
      </c>
      <c r="R65" s="9" t="n">
        <v>37</v>
      </c>
      <c r="S65" s="9" t="n">
        <v>44</v>
      </c>
      <c r="T65" s="9" t="n">
        <v>31</v>
      </c>
      <c r="U65" s="9" t="n">
        <v>40</v>
      </c>
      <c r="V65" s="9" t="n">
        <v>49</v>
      </c>
      <c r="W65" s="9" t="n">
        <v>85</v>
      </c>
      <c r="X65" s="9" t="n">
        <v>43</v>
      </c>
      <c r="Y65" s="9" t="n">
        <v>25</v>
      </c>
      <c r="Z65" s="9" t="n">
        <v>30</v>
      </c>
      <c r="AA65" s="9" t="n">
        <v>47</v>
      </c>
      <c r="AB65" s="9" t="n">
        <v>68</v>
      </c>
      <c r="AC65" s="9" t="n">
        <v>63</v>
      </c>
      <c r="AD65" s="9" t="n">
        <v>66</v>
      </c>
      <c r="AE65" s="9" t="n">
        <v>91</v>
      </c>
      <c r="AF65" s="9" t="n">
        <v>33</v>
      </c>
      <c r="AG65" s="9" t="n">
        <v>82</v>
      </c>
      <c r="AH65" s="9" t="n">
        <v>63</v>
      </c>
      <c r="AI65" s="9" t="n">
        <v>49</v>
      </c>
      <c r="AJ65" s="9" t="n">
        <v>48</v>
      </c>
      <c r="AK65" s="9" t="n">
        <v>34</v>
      </c>
      <c r="AL65" s="9" t="n">
        <v>55</v>
      </c>
      <c r="AM65" s="9" t="n">
        <v>37</v>
      </c>
      <c r="AN65" s="9" t="n">
        <v>51</v>
      </c>
      <c r="AO65" s="9" t="n">
        <v>17</v>
      </c>
      <c r="AP65" s="9" t="n">
        <v>36</v>
      </c>
      <c r="AQ65" s="9" t="n">
        <v>30</v>
      </c>
      <c r="AR65" s="9" t="n">
        <v>29</v>
      </c>
      <c r="AS65" s="9" t="n">
        <v>22</v>
      </c>
      <c r="AT65" s="9" t="n">
        <v>28</v>
      </c>
      <c r="AU65" s="9" t="n">
        <v>16</v>
      </c>
      <c r="AV65" s="9" t="n">
        <v>35</v>
      </c>
      <c r="AW65" s="9" t="n">
        <v>39</v>
      </c>
      <c r="AX65" s="9" t="n">
        <v>32</v>
      </c>
      <c r="AY65" s="9" t="n">
        <v>8</v>
      </c>
      <c r="AZ65" s="9" t="n">
        <v>34</v>
      </c>
      <c r="BA65" s="9" t="n">
        <v>32</v>
      </c>
      <c r="BB65" s="9" t="n">
        <v>10</v>
      </c>
      <c r="BC65" s="9" t="n">
        <v>22</v>
      </c>
      <c r="BD65" s="9" t="n">
        <v>24</v>
      </c>
      <c r="BE65" s="9" t="n">
        <v>27</v>
      </c>
      <c r="BF65" s="9" t="n">
        <v>38</v>
      </c>
      <c r="BG65" s="9" t="n">
        <v>32</v>
      </c>
      <c r="BH65" s="9" t="n">
        <v>48</v>
      </c>
      <c r="BI65" s="9" t="n">
        <v>29</v>
      </c>
      <c r="BJ65" s="9" t="n">
        <v>32</v>
      </c>
      <c r="BK65" s="9" t="n">
        <v>21</v>
      </c>
      <c r="BL65" s="9" t="n">
        <v>28</v>
      </c>
      <c r="BM65" s="9" t="n">
        <v>28</v>
      </c>
      <c r="BN65" s="9" t="n">
        <v>28</v>
      </c>
      <c r="BO65" s="9" t="n">
        <v>30</v>
      </c>
      <c r="BP65" s="9" t="n">
        <v>15</v>
      </c>
      <c r="BQ65" s="9" t="n">
        <v>33</v>
      </c>
      <c r="BR65" s="9" t="n">
        <v>32</v>
      </c>
      <c r="BS65" s="9" t="n">
        <v>12</v>
      </c>
      <c r="BT65" s="9" t="n">
        <v>26</v>
      </c>
      <c r="BU65" s="10" t="n">
        <v>2709</v>
      </c>
      <c r="BV65" s="11" t="n">
        <f aca="false">IF(ISERROR(ROUND(MEDIAN(BQ65:BT65),0)),0,ROUND(MEDIAN(BQ65:BT65),0))</f>
        <v>29</v>
      </c>
      <c r="BW65" s="11" t="n">
        <f aca="false">IF(ISERROR(ROUND(MEDIAN(BM65:BT65),0)),0,ROUND(MEDIAN(BM65:BT65),0))</f>
        <v>28</v>
      </c>
      <c r="BX65" s="11" t="n">
        <f aca="false">IF(ISERROR(ROUND(MEDIAN(BI65:BT65),0)),0,ROUND(MEDIAN(BI65:BT65),0))</f>
        <v>28</v>
      </c>
      <c r="BY65" s="11" t="n">
        <f aca="false">IF(ISERROR(ROUND(MEDIAN(BE65:BT65),0)),0,ROUND(MEDIAN(BE65:BT65),0))</f>
        <v>29</v>
      </c>
      <c r="BZ65" s="11" t="n">
        <f aca="false">IF(ISERROR(ROUND(MEDIAN(AU65:BT65),0)),0,ROUND(MEDIAN(AU65:BT65),0))</f>
        <v>29</v>
      </c>
      <c r="CA65" s="12" t="n">
        <f aca="false">IF(ISERROR(ROUND(MEDIAN(U65:BT65),0)),0,ROUND(MEDIAN(U65:BT65),0))</f>
        <v>32</v>
      </c>
      <c r="CB65" s="12" t="n">
        <f aca="false">IF(ISERROR(ROUND(MEDIAN(BT65),0)),0,ROUND(MEDIAN(BT65),0))</f>
        <v>26</v>
      </c>
      <c r="CC65" s="12" t="n">
        <f aca="false">IF(ISERROR(ROUND(MEDIAN(D65:BT65),0)),0,ROUND(MEDIAN(D65:BT65),0))</f>
        <v>34</v>
      </c>
      <c r="CD65" s="12" t="n">
        <f aca="false">MAX(D65:BT65)</f>
        <v>91</v>
      </c>
      <c r="CE65" s="7" t="n">
        <f aca="false">COUNTA(BQ65:BT65)</f>
        <v>4</v>
      </c>
      <c r="CF65" s="7" t="n">
        <f aca="false">COUNTA(BM65:BT65)</f>
        <v>8</v>
      </c>
      <c r="CG65" s="7" t="n">
        <f aca="false">COUNTA(BI65:BT65)</f>
        <v>12</v>
      </c>
      <c r="CH65" s="7" t="n">
        <f aca="false">COUNTA(BE65:BT65)</f>
        <v>16</v>
      </c>
      <c r="CI65" s="7" t="n">
        <f aca="false">COUNTA(AU65:BT65)</f>
        <v>26</v>
      </c>
      <c r="CJ65" s="7" t="n">
        <f aca="false">COUNTA(U65:BT65)</f>
        <v>52</v>
      </c>
      <c r="CK65" s="7" t="n">
        <f aca="false">COUNTA(BT65)</f>
        <v>1</v>
      </c>
      <c r="CL65" s="7" t="n">
        <f aca="false">COUNTA(D65:BT65)</f>
        <v>69</v>
      </c>
      <c r="CM65" s="13" t="str">
        <f aca="false">IF(AND(CE65=1,CJ65=1,BT65&lt;&gt;""),"5.ENTRANTES",IF(AND(CE65&lt;&gt;0,CE65/RIGHT($CE$1,1)&gt;=0.5,CJ65=CE65),"4.RECENTES",IF(AND(CF65&lt;&gt;0,CF65/RIGHT($CF$1,1)&gt;=0.5,CJ65=CF65),"4.RECENTES",IF(AND(CG65&lt;&gt;0,CG65/RIGHT($CG$1,2)&gt;=0.5,CJ65=CG65),"4.RECENTES",IF(AND(CH65&lt;&gt;0,CH65/RIGHT($CH$1,2)&gt;=0.5,CJ65=CH65),"4.RECENTES",IF(AND(CI65&lt;&gt;0,CI65/RIGHT($CI$1,2)&gt;=0.5,CJ65=CI65),"4.RECENTES",IF(AND(CE65=0,CF65=0,CG65=0,CH65=0),"3.INATIVOS",IF(CJ65/RIGHT($CJ$1,2)&lt;0.5,"2.INTERMITENTES","1.ORDINÁRIOS"))))))))</f>
        <v>1.ORDINÁRIOS</v>
      </c>
      <c r="CN65" s="14" t="n">
        <f aca="false">IF(AND(CE65=1,CJ65=1,BT65&lt;&gt;""),BT65,IF(AND(CE65&lt;&gt;0,CE65/RIGHT($CE$1,1)&gt;=0.5,CJ65=CE65),MAX(BV65:CC65),IF(AND(CF65&lt;&gt;0,CF65/RIGHT($CF$1,1)&gt;=0.5,CJ65=CF65),MAX(BV65:CC65),IF(AND(CG65&lt;&gt;0,CG65/RIGHT($CG$1,2)&gt;=0.5,CJ65=CG65),MAX(BV65:CC65),IF(AND(CH65&lt;&gt;0,CH65/RIGHT($CH$1,2)&gt;=0.5,CJ65=CH65),MAX(BV65:CC65),IF(AND(CI65&lt;&gt;0,CI65/RIGHT($CI$1,2)&gt;=0.5,CJ65=CI65),MAX(BV65:CC65),IF(AND(CE65=0,CF65=0,CG65=0,CH65=0),0,IF(CJ65/RIGHT($CJ$1,2)&lt;0.5,ROUND(BU65/RIGHT($CJ$1,2),0),MAX(BV65:CC65)))))))))</f>
        <v>34</v>
      </c>
      <c r="CO65" s="14" t="n">
        <f aca="false">CN65*3</f>
        <v>102</v>
      </c>
      <c r="CP65" s="15" t="n">
        <v>71</v>
      </c>
      <c r="CQ65" s="16" t="n">
        <f aca="false">IF((CO65-CP65)&lt;0,0,(CO65-CP65))</f>
        <v>31</v>
      </c>
      <c r="CR65" s="7"/>
    </row>
    <row r="66" customFormat="false" ht="12.75" hidden="false" customHeight="true" outlineLevel="0" collapsed="false">
      <c r="A66" s="7" t="s">
        <v>95</v>
      </c>
      <c r="B66" s="7" t="s">
        <v>160</v>
      </c>
      <c r="C66" s="8" t="n">
        <v>2000127</v>
      </c>
      <c r="D66" s="9" t="n">
        <v>7</v>
      </c>
      <c r="E66" s="9" t="n">
        <v>14</v>
      </c>
      <c r="F66" s="9" t="n">
        <v>40</v>
      </c>
      <c r="G66" s="9" t="n">
        <v>27</v>
      </c>
      <c r="H66" s="9" t="n">
        <v>14</v>
      </c>
      <c r="I66" s="9" t="n">
        <v>30</v>
      </c>
      <c r="J66" s="9" t="n">
        <v>14</v>
      </c>
      <c r="K66" s="9" t="n">
        <v>12</v>
      </c>
      <c r="L66" s="9" t="n">
        <v>18</v>
      </c>
      <c r="M66" s="9" t="n">
        <v>18</v>
      </c>
      <c r="N66" s="9" t="n">
        <v>17</v>
      </c>
      <c r="O66" s="9" t="n">
        <v>10</v>
      </c>
      <c r="P66" s="9" t="n">
        <v>20</v>
      </c>
      <c r="Q66" s="9" t="n">
        <v>7</v>
      </c>
      <c r="R66" s="9" t="n">
        <v>19</v>
      </c>
      <c r="S66" s="9" t="n">
        <v>12</v>
      </c>
      <c r="T66" s="9" t="n">
        <v>5</v>
      </c>
      <c r="U66" s="9" t="n">
        <v>10</v>
      </c>
      <c r="V66" s="9" t="n">
        <v>16</v>
      </c>
      <c r="W66" s="9" t="n">
        <v>16</v>
      </c>
      <c r="X66" s="9" t="n">
        <v>21</v>
      </c>
      <c r="Y66" s="9" t="n">
        <v>15</v>
      </c>
      <c r="Z66" s="9" t="n">
        <v>13</v>
      </c>
      <c r="AA66" s="9" t="n">
        <v>45</v>
      </c>
      <c r="AB66" s="9" t="n">
        <v>24</v>
      </c>
      <c r="AC66" s="9" t="n">
        <v>18</v>
      </c>
      <c r="AD66" s="9" t="n">
        <v>14</v>
      </c>
      <c r="AE66" s="9" t="n">
        <v>26</v>
      </c>
      <c r="AF66" s="9" t="n">
        <v>8</v>
      </c>
      <c r="AG66" s="9" t="n">
        <v>33</v>
      </c>
      <c r="AH66" s="9" t="n">
        <v>23</v>
      </c>
      <c r="AI66" s="9" t="n">
        <v>24</v>
      </c>
      <c r="AJ66" s="9" t="n">
        <v>15</v>
      </c>
      <c r="AK66" s="9" t="n">
        <v>21</v>
      </c>
      <c r="AL66" s="9" t="n">
        <v>26</v>
      </c>
      <c r="AM66" s="9" t="n">
        <v>44</v>
      </c>
      <c r="AN66" s="9" t="n">
        <v>20</v>
      </c>
      <c r="AO66" s="9" t="n">
        <v>11</v>
      </c>
      <c r="AP66" s="9" t="n">
        <v>20</v>
      </c>
      <c r="AQ66" s="9" t="n">
        <v>24</v>
      </c>
      <c r="AR66" s="9" t="n">
        <v>10</v>
      </c>
      <c r="AS66" s="9" t="n">
        <v>28</v>
      </c>
      <c r="AT66" s="9" t="n">
        <v>11</v>
      </c>
      <c r="AU66" s="9" t="n">
        <v>15</v>
      </c>
      <c r="AV66" s="9" t="n">
        <v>15</v>
      </c>
      <c r="AW66" s="9" t="n">
        <v>13</v>
      </c>
      <c r="AX66" s="9" t="n">
        <v>35</v>
      </c>
      <c r="AY66" s="9" t="n">
        <v>26</v>
      </c>
      <c r="AZ66" s="9" t="n">
        <v>28</v>
      </c>
      <c r="BA66" s="9" t="n">
        <v>18</v>
      </c>
      <c r="BB66" s="9" t="n">
        <v>24</v>
      </c>
      <c r="BC66" s="9" t="n">
        <v>27</v>
      </c>
      <c r="BD66" s="9" t="n">
        <v>23</v>
      </c>
      <c r="BE66" s="9" t="n">
        <v>14</v>
      </c>
      <c r="BF66" s="9" t="n">
        <v>25</v>
      </c>
      <c r="BG66" s="9" t="n">
        <v>22</v>
      </c>
      <c r="BH66" s="9" t="n">
        <v>22</v>
      </c>
      <c r="BI66" s="9" t="n">
        <v>17</v>
      </c>
      <c r="BJ66" s="9" t="n">
        <v>19</v>
      </c>
      <c r="BK66" s="9" t="n">
        <v>25</v>
      </c>
      <c r="BL66" s="9" t="n">
        <v>23</v>
      </c>
      <c r="BM66" s="9" t="n">
        <v>12</v>
      </c>
      <c r="BN66" s="9" t="n">
        <v>19</v>
      </c>
      <c r="BO66" s="9" t="n">
        <v>19</v>
      </c>
      <c r="BP66" s="9" t="n">
        <v>20</v>
      </c>
      <c r="BQ66" s="9" t="n">
        <v>15</v>
      </c>
      <c r="BR66" s="9" t="n">
        <v>18</v>
      </c>
      <c r="BS66" s="9" t="n">
        <v>6</v>
      </c>
      <c r="BT66" s="9" t="n">
        <v>4</v>
      </c>
      <c r="BU66" s="10" t="n">
        <v>1324</v>
      </c>
      <c r="BV66" s="11" t="n">
        <f aca="false">IF(ISERROR(ROUND(MEDIAN(BQ66:BT66),0)),0,ROUND(MEDIAN(BQ66:BT66),0))</f>
        <v>11</v>
      </c>
      <c r="BW66" s="11" t="n">
        <f aca="false">IF(ISERROR(ROUND(MEDIAN(BM66:BT66),0)),0,ROUND(MEDIAN(BM66:BT66),0))</f>
        <v>17</v>
      </c>
      <c r="BX66" s="11" t="n">
        <f aca="false">IF(ISERROR(ROUND(MEDIAN(BI66:BT66),0)),0,ROUND(MEDIAN(BI66:BT66),0))</f>
        <v>19</v>
      </c>
      <c r="BY66" s="11" t="n">
        <f aca="false">IF(ISERROR(ROUND(MEDIAN(BE66:BT66),0)),0,ROUND(MEDIAN(BE66:BT66),0))</f>
        <v>19</v>
      </c>
      <c r="BZ66" s="11" t="n">
        <f aca="false">IF(ISERROR(ROUND(MEDIAN(AU66:BT66),0)),0,ROUND(MEDIAN(AU66:BT66),0))</f>
        <v>19</v>
      </c>
      <c r="CA66" s="12" t="n">
        <f aca="false">IF(ISERROR(ROUND(MEDIAN(U66:BT66),0)),0,ROUND(MEDIAN(U66:BT66),0))</f>
        <v>20</v>
      </c>
      <c r="CB66" s="12" t="n">
        <f aca="false">IF(ISERROR(ROUND(MEDIAN(BT66),0)),0,ROUND(MEDIAN(BT66),0))</f>
        <v>4</v>
      </c>
      <c r="CC66" s="12" t="n">
        <f aca="false">IF(ISERROR(ROUND(MEDIAN(D66:BT66),0)),0,ROUND(MEDIAN(D66:BT66),0))</f>
        <v>18</v>
      </c>
      <c r="CD66" s="12" t="n">
        <f aca="false">MAX(D66:BT66)</f>
        <v>45</v>
      </c>
      <c r="CE66" s="7" t="n">
        <f aca="false">COUNTA(BQ66:BT66)</f>
        <v>4</v>
      </c>
      <c r="CF66" s="7" t="n">
        <f aca="false">COUNTA(BM66:BT66)</f>
        <v>8</v>
      </c>
      <c r="CG66" s="7" t="n">
        <f aca="false">COUNTA(BI66:BT66)</f>
        <v>12</v>
      </c>
      <c r="CH66" s="7" t="n">
        <f aca="false">COUNTA(BE66:BT66)</f>
        <v>16</v>
      </c>
      <c r="CI66" s="7" t="n">
        <f aca="false">COUNTA(AU66:BT66)</f>
        <v>26</v>
      </c>
      <c r="CJ66" s="7" t="n">
        <f aca="false">COUNTA(U66:BT66)</f>
        <v>52</v>
      </c>
      <c r="CK66" s="7" t="n">
        <f aca="false">COUNTA(BT66)</f>
        <v>1</v>
      </c>
      <c r="CL66" s="7" t="n">
        <f aca="false">COUNTA(D66:BT66)</f>
        <v>69</v>
      </c>
      <c r="CM66" s="13" t="str">
        <f aca="false">IF(AND(CE66=1,CJ66=1,BT66&lt;&gt;""),"5.ENTRANTES",IF(AND(CE66&lt;&gt;0,CE66/RIGHT($CE$1,1)&gt;=0.5,CJ66=CE66),"4.RECENTES",IF(AND(CF66&lt;&gt;0,CF66/RIGHT($CF$1,1)&gt;=0.5,CJ66=CF66),"4.RECENTES",IF(AND(CG66&lt;&gt;0,CG66/RIGHT($CG$1,2)&gt;=0.5,CJ66=CG66),"4.RECENTES",IF(AND(CH66&lt;&gt;0,CH66/RIGHT($CH$1,2)&gt;=0.5,CJ66=CH66),"4.RECENTES",IF(AND(CI66&lt;&gt;0,CI66/RIGHT($CI$1,2)&gt;=0.5,CJ66=CI66),"4.RECENTES",IF(AND(CE66=0,CF66=0,CG66=0,CH66=0),"3.INATIVOS",IF(CJ66/RIGHT($CJ$1,2)&lt;0.5,"2.INTERMITENTES","1.ORDINÁRIOS"))))))))</f>
        <v>1.ORDINÁRIOS</v>
      </c>
      <c r="CN66" s="14" t="n">
        <f aca="false">IF(AND(CE66=1,CJ66=1,BT66&lt;&gt;""),BT66,IF(AND(CE66&lt;&gt;0,CE66/RIGHT($CE$1,1)&gt;=0.5,CJ66=CE66),MAX(BV66:CC66),IF(AND(CF66&lt;&gt;0,CF66/RIGHT($CF$1,1)&gt;=0.5,CJ66=CF66),MAX(BV66:CC66),IF(AND(CG66&lt;&gt;0,CG66/RIGHT($CG$1,2)&gt;=0.5,CJ66=CG66),MAX(BV66:CC66),IF(AND(CH66&lt;&gt;0,CH66/RIGHT($CH$1,2)&gt;=0.5,CJ66=CH66),MAX(BV66:CC66),IF(AND(CI66&lt;&gt;0,CI66/RIGHT($CI$1,2)&gt;=0.5,CJ66=CI66),MAX(BV66:CC66),IF(AND(CE66=0,CF66=0,CG66=0,CH66=0),0,IF(CJ66/RIGHT($CJ$1,2)&lt;0.5,ROUND(BU66/RIGHT($CJ$1,2),0),MAX(BV66:CC66)))))))))</f>
        <v>20</v>
      </c>
      <c r="CO66" s="14" t="n">
        <f aca="false">CN66*3</f>
        <v>60</v>
      </c>
      <c r="CP66" s="15" t="n">
        <v>53</v>
      </c>
      <c r="CQ66" s="16" t="n">
        <f aca="false">IF((CO66-CP66)&lt;0,0,(CO66-CP66))</f>
        <v>7</v>
      </c>
      <c r="CR66" s="7"/>
    </row>
    <row r="67" customFormat="false" ht="12.75" hidden="false" customHeight="true" outlineLevel="0" collapsed="false">
      <c r="A67" s="7" t="s">
        <v>95</v>
      </c>
      <c r="B67" s="7" t="s">
        <v>161</v>
      </c>
      <c r="C67" s="8" t="n">
        <v>7000004</v>
      </c>
      <c r="D67" s="9" t="n">
        <v>1</v>
      </c>
      <c r="E67" s="9" t="n">
        <v>4</v>
      </c>
      <c r="F67" s="9" t="n">
        <v>10</v>
      </c>
      <c r="G67" s="9" t="n">
        <v>8</v>
      </c>
      <c r="H67" s="9" t="n">
        <v>3</v>
      </c>
      <c r="I67" s="9" t="n">
        <v>15</v>
      </c>
      <c r="J67" s="9" t="n">
        <v>7</v>
      </c>
      <c r="K67" s="9" t="n">
        <v>12</v>
      </c>
      <c r="L67" s="9" t="n">
        <v>11</v>
      </c>
      <c r="M67" s="9" t="n">
        <v>15</v>
      </c>
      <c r="N67" s="9" t="n">
        <v>13</v>
      </c>
      <c r="O67" s="9" t="n">
        <v>15</v>
      </c>
      <c r="P67" s="9" t="n">
        <v>16</v>
      </c>
      <c r="Q67" s="9" t="n">
        <v>6</v>
      </c>
      <c r="R67" s="9" t="n">
        <v>11</v>
      </c>
      <c r="S67" s="9" t="n">
        <v>10</v>
      </c>
      <c r="T67" s="9" t="n">
        <v>13</v>
      </c>
      <c r="U67" s="9" t="n">
        <v>12</v>
      </c>
      <c r="V67" s="9" t="n">
        <v>17</v>
      </c>
      <c r="W67" s="9" t="n">
        <v>10</v>
      </c>
      <c r="X67" s="9" t="n">
        <v>14</v>
      </c>
      <c r="Y67" s="9" t="n">
        <v>2</v>
      </c>
      <c r="Z67" s="9" t="n">
        <v>4</v>
      </c>
      <c r="AA67" s="9" t="n">
        <v>10</v>
      </c>
      <c r="AB67" s="9" t="n">
        <v>17</v>
      </c>
      <c r="AC67" s="9" t="n">
        <v>9</v>
      </c>
      <c r="AD67" s="9" t="n">
        <v>7</v>
      </c>
      <c r="AE67" s="9" t="n">
        <v>6</v>
      </c>
      <c r="AF67" s="9" t="n">
        <v>1</v>
      </c>
      <c r="AG67" s="9" t="n">
        <v>16</v>
      </c>
      <c r="AH67" s="9" t="n">
        <v>5</v>
      </c>
      <c r="AI67" s="9" t="n">
        <v>8</v>
      </c>
      <c r="AJ67" s="9" t="n">
        <v>14</v>
      </c>
      <c r="AK67" s="9" t="n">
        <v>7</v>
      </c>
      <c r="AL67" s="9" t="n">
        <v>6</v>
      </c>
      <c r="AM67" s="9" t="n">
        <v>11</v>
      </c>
      <c r="AN67" s="9" t="n">
        <v>8</v>
      </c>
      <c r="AO67" s="9" t="n">
        <v>9</v>
      </c>
      <c r="AP67" s="9" t="n">
        <v>5</v>
      </c>
      <c r="AQ67" s="9" t="n">
        <v>2</v>
      </c>
      <c r="AR67" s="9" t="n">
        <v>4</v>
      </c>
      <c r="AS67" s="9" t="n">
        <v>7</v>
      </c>
      <c r="AT67" s="9" t="n">
        <v>7</v>
      </c>
      <c r="AU67" s="9" t="n">
        <v>3</v>
      </c>
      <c r="AV67" s="9" t="n">
        <v>6</v>
      </c>
      <c r="AW67" s="9" t="n">
        <v>7</v>
      </c>
      <c r="AX67" s="9" t="n">
        <v>4</v>
      </c>
      <c r="AY67" s="9" t="n">
        <v>7</v>
      </c>
      <c r="AZ67" s="9" t="n">
        <v>13</v>
      </c>
      <c r="BA67" s="9" t="n">
        <v>19</v>
      </c>
      <c r="BB67" s="9" t="n">
        <v>4</v>
      </c>
      <c r="BC67" s="9" t="n">
        <v>8</v>
      </c>
      <c r="BD67" s="9" t="n">
        <v>9</v>
      </c>
      <c r="BE67" s="9" t="n">
        <v>15</v>
      </c>
      <c r="BF67" s="9" t="n">
        <v>11</v>
      </c>
      <c r="BG67" s="9" t="n">
        <v>7</v>
      </c>
      <c r="BH67" s="9" t="n">
        <v>5</v>
      </c>
      <c r="BI67" s="9" t="n">
        <v>12</v>
      </c>
      <c r="BJ67" s="9" t="n">
        <v>7</v>
      </c>
      <c r="BK67" s="9" t="n">
        <v>7</v>
      </c>
      <c r="BL67" s="9" t="n">
        <v>4</v>
      </c>
      <c r="BM67" s="9" t="n">
        <v>17</v>
      </c>
      <c r="BN67" s="9" t="n">
        <v>3</v>
      </c>
      <c r="BO67" s="9" t="n">
        <v>4</v>
      </c>
      <c r="BP67" s="9" t="n">
        <v>2</v>
      </c>
      <c r="BQ67" s="9" t="n">
        <v>8</v>
      </c>
      <c r="BR67" s="9" t="n">
        <v>3</v>
      </c>
      <c r="BS67" s="9" t="n">
        <v>2</v>
      </c>
      <c r="BT67" s="9"/>
      <c r="BU67" s="10" t="n">
        <v>575</v>
      </c>
      <c r="BV67" s="11" t="n">
        <f aca="false">IF(ISERROR(ROUND(MEDIAN(BQ67:BT67),0)),0,ROUND(MEDIAN(BQ67:BT67),0))</f>
        <v>3</v>
      </c>
      <c r="BW67" s="11" t="n">
        <f aca="false">IF(ISERROR(ROUND(MEDIAN(BM67:BT67),0)),0,ROUND(MEDIAN(BM67:BT67),0))</f>
        <v>3</v>
      </c>
      <c r="BX67" s="11" t="n">
        <f aca="false">IF(ISERROR(ROUND(MEDIAN(BI67:BT67),0)),0,ROUND(MEDIAN(BI67:BT67),0))</f>
        <v>4</v>
      </c>
      <c r="BY67" s="11" t="n">
        <f aca="false">IF(ISERROR(ROUND(MEDIAN(BE67:BT67),0)),0,ROUND(MEDIAN(BE67:BT67),0))</f>
        <v>7</v>
      </c>
      <c r="BZ67" s="11" t="n">
        <f aca="false">IF(ISERROR(ROUND(MEDIAN(AU67:BT67),0)),0,ROUND(MEDIAN(AU67:BT67),0))</f>
        <v>7</v>
      </c>
      <c r="CA67" s="12" t="n">
        <f aca="false">IF(ISERROR(ROUND(MEDIAN(U67:BT67),0)),0,ROUND(MEDIAN(U67:BT67),0))</f>
        <v>7</v>
      </c>
      <c r="CB67" s="12" t="n">
        <f aca="false">IF(ISERROR(ROUND(MEDIAN(BT67),0)),0,ROUND(MEDIAN(BT67),0))</f>
        <v>0</v>
      </c>
      <c r="CC67" s="12" t="n">
        <f aca="false">IF(ISERROR(ROUND(MEDIAN(D67:BT67),0)),0,ROUND(MEDIAN(D67:BT67),0))</f>
        <v>8</v>
      </c>
      <c r="CD67" s="12" t="n">
        <f aca="false">MAX(D67:BT67)</f>
        <v>19</v>
      </c>
      <c r="CE67" s="7" t="n">
        <f aca="false">COUNTA(BQ67:BT67)</f>
        <v>3</v>
      </c>
      <c r="CF67" s="7" t="n">
        <f aca="false">COUNTA(BM67:BT67)</f>
        <v>7</v>
      </c>
      <c r="CG67" s="7" t="n">
        <f aca="false">COUNTA(BI67:BT67)</f>
        <v>11</v>
      </c>
      <c r="CH67" s="7" t="n">
        <f aca="false">COUNTA(BE67:BT67)</f>
        <v>15</v>
      </c>
      <c r="CI67" s="7" t="n">
        <f aca="false">COUNTA(AU67:BT67)</f>
        <v>25</v>
      </c>
      <c r="CJ67" s="7" t="n">
        <f aca="false">COUNTA(U67:BT67)</f>
        <v>51</v>
      </c>
      <c r="CK67" s="7" t="n">
        <f aca="false">COUNTA(BT67)</f>
        <v>0</v>
      </c>
      <c r="CL67" s="7" t="n">
        <f aca="false">COUNTA(D67:BT67)</f>
        <v>68</v>
      </c>
      <c r="CM67" s="13" t="str">
        <f aca="false">IF(AND(CE67=1,CJ67=1,BT67&lt;&gt;""),"5.ENTRANTES",IF(AND(CE67&lt;&gt;0,CE67/RIGHT($CE$1,1)&gt;=0.5,CJ67=CE67),"4.RECENTES",IF(AND(CF67&lt;&gt;0,CF67/RIGHT($CF$1,1)&gt;=0.5,CJ67=CF67),"4.RECENTES",IF(AND(CG67&lt;&gt;0,CG67/RIGHT($CG$1,2)&gt;=0.5,CJ67=CG67),"4.RECENTES",IF(AND(CH67&lt;&gt;0,CH67/RIGHT($CH$1,2)&gt;=0.5,CJ67=CH67),"4.RECENTES",IF(AND(CI67&lt;&gt;0,CI67/RIGHT($CI$1,2)&gt;=0.5,CJ67=CI67),"4.RECENTES",IF(AND(CE67=0,CF67=0,CG67=0,CH67=0),"3.INATIVOS",IF(CJ67/RIGHT($CJ$1,2)&lt;0.5,"2.INTERMITENTES","1.ORDINÁRIOS"))))))))</f>
        <v>1.ORDINÁRIOS</v>
      </c>
      <c r="CN67" s="14" t="n">
        <f aca="false">IF(AND(CE67=1,CJ67=1,BT67&lt;&gt;""),BT67,IF(AND(CE67&lt;&gt;0,CE67/RIGHT($CE$1,1)&gt;=0.5,CJ67=CE67),MAX(BV67:CC67),IF(AND(CF67&lt;&gt;0,CF67/RIGHT($CF$1,1)&gt;=0.5,CJ67=CF67),MAX(BV67:CC67),IF(AND(CG67&lt;&gt;0,CG67/RIGHT($CG$1,2)&gt;=0.5,CJ67=CG67),MAX(BV67:CC67),IF(AND(CH67&lt;&gt;0,CH67/RIGHT($CH$1,2)&gt;=0.5,CJ67=CH67),MAX(BV67:CC67),IF(AND(CI67&lt;&gt;0,CI67/RIGHT($CI$1,2)&gt;=0.5,CJ67=CI67),MAX(BV67:CC67),IF(AND(CE67=0,CF67=0,CG67=0,CH67=0),0,IF(CJ67/RIGHT($CJ$1,2)&lt;0.5,ROUND(BU67/RIGHT($CJ$1,2),0),MAX(BV67:CC67)))))))))</f>
        <v>8</v>
      </c>
      <c r="CO67" s="14" t="n">
        <f aca="false">CN67*3</f>
        <v>24</v>
      </c>
      <c r="CP67" s="15" t="n">
        <v>22</v>
      </c>
      <c r="CQ67" s="16" t="n">
        <f aca="false">IF((CO67-CP67)&lt;0,0,(CO67-CP67))</f>
        <v>2</v>
      </c>
      <c r="CR67" s="7"/>
    </row>
    <row r="68" customFormat="false" ht="12.75" hidden="false" customHeight="true" outlineLevel="0" collapsed="false">
      <c r="A68" s="7" t="s">
        <v>95</v>
      </c>
      <c r="B68" s="7" t="s">
        <v>162</v>
      </c>
      <c r="C68" s="8" t="n">
        <v>5000001</v>
      </c>
      <c r="D68" s="9" t="n">
        <v>162</v>
      </c>
      <c r="E68" s="9" t="n">
        <v>627</v>
      </c>
      <c r="F68" s="9" t="n">
        <v>777</v>
      </c>
      <c r="G68" s="9" t="n">
        <v>639</v>
      </c>
      <c r="H68" s="9" t="n">
        <v>439</v>
      </c>
      <c r="I68" s="9" t="n">
        <v>1009</v>
      </c>
      <c r="J68" s="9" t="n">
        <v>312</v>
      </c>
      <c r="K68" s="9" t="n">
        <v>173</v>
      </c>
      <c r="L68" s="9" t="n">
        <v>965</v>
      </c>
      <c r="M68" s="9" t="n">
        <v>610</v>
      </c>
      <c r="N68" s="9" t="n">
        <v>407</v>
      </c>
      <c r="O68" s="9" t="n">
        <v>441</v>
      </c>
      <c r="P68" s="9" t="n">
        <v>761</v>
      </c>
      <c r="Q68" s="9" t="n">
        <v>673</v>
      </c>
      <c r="R68" s="9" t="n">
        <v>767</v>
      </c>
      <c r="S68" s="9" t="n">
        <v>426</v>
      </c>
      <c r="T68" s="9" t="n">
        <v>196</v>
      </c>
      <c r="U68" s="9" t="n">
        <v>865</v>
      </c>
      <c r="V68" s="9" t="n">
        <v>955</v>
      </c>
      <c r="W68" s="9" t="n">
        <v>516</v>
      </c>
      <c r="X68" s="9" t="n">
        <v>254</v>
      </c>
      <c r="Y68" s="9" t="n">
        <v>467</v>
      </c>
      <c r="Z68" s="9" t="n">
        <v>405</v>
      </c>
      <c r="AA68" s="9" t="n">
        <v>917</v>
      </c>
      <c r="AB68" s="9" t="n">
        <v>602</v>
      </c>
      <c r="AC68" s="9" t="n">
        <v>428</v>
      </c>
      <c r="AD68" s="9" t="n">
        <v>881</v>
      </c>
      <c r="AE68" s="9" t="n">
        <v>663</v>
      </c>
      <c r="AF68" s="9" t="n">
        <v>703</v>
      </c>
      <c r="AG68" s="9" t="n">
        <v>738</v>
      </c>
      <c r="AH68" s="9" t="n">
        <v>696</v>
      </c>
      <c r="AI68" s="9" t="n">
        <v>514</v>
      </c>
      <c r="AJ68" s="9" t="n">
        <v>792</v>
      </c>
      <c r="AK68" s="9" t="n">
        <v>372</v>
      </c>
      <c r="AL68" s="9" t="n">
        <v>647</v>
      </c>
      <c r="AM68" s="9" t="n">
        <v>825</v>
      </c>
      <c r="AN68" s="9" t="n">
        <v>654</v>
      </c>
      <c r="AO68" s="9" t="n">
        <v>432</v>
      </c>
      <c r="AP68" s="9" t="n">
        <v>492</v>
      </c>
      <c r="AQ68" s="9" t="n">
        <v>695</v>
      </c>
      <c r="AR68" s="9" t="n">
        <v>745</v>
      </c>
      <c r="AS68" s="9" t="n">
        <v>271</v>
      </c>
      <c r="AT68" s="9" t="n">
        <v>512</v>
      </c>
      <c r="AU68" s="9" t="n">
        <v>629</v>
      </c>
      <c r="AV68" s="9" t="n">
        <v>497</v>
      </c>
      <c r="AW68" s="9" t="n">
        <v>284</v>
      </c>
      <c r="AX68" s="9" t="n">
        <v>291</v>
      </c>
      <c r="AY68" s="9" t="n">
        <v>378</v>
      </c>
      <c r="AZ68" s="9" t="n">
        <v>431</v>
      </c>
      <c r="BA68" s="9" t="n">
        <v>346</v>
      </c>
      <c r="BB68" s="9" t="n">
        <v>471</v>
      </c>
      <c r="BC68" s="9" t="n">
        <v>50</v>
      </c>
      <c r="BD68" s="9" t="n">
        <v>452</v>
      </c>
      <c r="BE68" s="9" t="n">
        <v>320</v>
      </c>
      <c r="BF68" s="9" t="n">
        <v>323</v>
      </c>
      <c r="BG68" s="9" t="n">
        <v>146</v>
      </c>
      <c r="BH68" s="9" t="n">
        <v>449</v>
      </c>
      <c r="BI68" s="9" t="n">
        <v>170</v>
      </c>
      <c r="BJ68" s="9" t="n">
        <v>357</v>
      </c>
      <c r="BK68" s="9" t="n">
        <v>258</v>
      </c>
      <c r="BL68" s="9" t="n">
        <v>260</v>
      </c>
      <c r="BM68" s="9" t="n">
        <v>323</v>
      </c>
      <c r="BN68" s="9" t="n">
        <v>352</v>
      </c>
      <c r="BO68" s="9" t="n">
        <v>336</v>
      </c>
      <c r="BP68" s="9" t="n">
        <v>394</v>
      </c>
      <c r="BQ68" s="9" t="n">
        <v>291</v>
      </c>
      <c r="BR68" s="9" t="n">
        <v>313</v>
      </c>
      <c r="BS68" s="9" t="n">
        <v>376</v>
      </c>
      <c r="BT68" s="9" t="n">
        <v>139</v>
      </c>
      <c r="BU68" s="10" t="n">
        <v>34061</v>
      </c>
      <c r="BV68" s="11" t="n">
        <f aca="false">IF(ISERROR(ROUND(MEDIAN(BQ68:BT68),0)),0,ROUND(MEDIAN(BQ68:BT68),0))</f>
        <v>302</v>
      </c>
      <c r="BW68" s="11" t="n">
        <f aca="false">IF(ISERROR(ROUND(MEDIAN(BM68:BT68),0)),0,ROUND(MEDIAN(BM68:BT68),0))</f>
        <v>330</v>
      </c>
      <c r="BX68" s="11" t="n">
        <f aca="false">IF(ISERROR(ROUND(MEDIAN(BI68:BT68),0)),0,ROUND(MEDIAN(BI68:BT68),0))</f>
        <v>318</v>
      </c>
      <c r="BY68" s="11" t="n">
        <f aca="false">IF(ISERROR(ROUND(MEDIAN(BE68:BT68),0)),0,ROUND(MEDIAN(BE68:BT68),0))</f>
        <v>322</v>
      </c>
      <c r="BZ68" s="11" t="n">
        <f aca="false">IF(ISERROR(ROUND(MEDIAN(AU68:BT68),0)),0,ROUND(MEDIAN(AU68:BT68),0))</f>
        <v>330</v>
      </c>
      <c r="CA68" s="12" t="n">
        <f aca="false">IF(ISERROR(ROUND(MEDIAN(U68:BT68),0)),0,ROUND(MEDIAN(U68:BT68),0))</f>
        <v>432</v>
      </c>
      <c r="CB68" s="12" t="n">
        <f aca="false">IF(ISERROR(ROUND(MEDIAN(BT68),0)),0,ROUND(MEDIAN(BT68),0))</f>
        <v>139</v>
      </c>
      <c r="CC68" s="12" t="n">
        <f aca="false">IF(ISERROR(ROUND(MEDIAN(D68:BT68),0)),0,ROUND(MEDIAN(D68:BT68),0))</f>
        <v>441</v>
      </c>
      <c r="CD68" s="12" t="n">
        <f aca="false">MAX(D68:BT68)</f>
        <v>1009</v>
      </c>
      <c r="CE68" s="7" t="n">
        <f aca="false">COUNTA(BQ68:BT68)</f>
        <v>4</v>
      </c>
      <c r="CF68" s="7" t="n">
        <f aca="false">COUNTA(BM68:BT68)</f>
        <v>8</v>
      </c>
      <c r="CG68" s="7" t="n">
        <f aca="false">COUNTA(BI68:BT68)</f>
        <v>12</v>
      </c>
      <c r="CH68" s="7" t="n">
        <f aca="false">COUNTA(BE68:BT68)</f>
        <v>16</v>
      </c>
      <c r="CI68" s="7" t="n">
        <f aca="false">COUNTA(AU68:BT68)</f>
        <v>26</v>
      </c>
      <c r="CJ68" s="7" t="n">
        <f aca="false">COUNTA(U68:BT68)</f>
        <v>52</v>
      </c>
      <c r="CK68" s="7" t="n">
        <f aca="false">COUNTA(BT68)</f>
        <v>1</v>
      </c>
      <c r="CL68" s="7" t="n">
        <f aca="false">COUNTA(D68:BT68)</f>
        <v>69</v>
      </c>
      <c r="CM68" s="13" t="str">
        <f aca="false">IF(AND(CE68=1,CJ68=1,BT68&lt;&gt;""),"5.ENTRANTES",IF(AND(CE68&lt;&gt;0,CE68/RIGHT($CE$1,1)&gt;=0.5,CJ68=CE68),"4.RECENTES",IF(AND(CF68&lt;&gt;0,CF68/RIGHT($CF$1,1)&gt;=0.5,CJ68=CF68),"4.RECENTES",IF(AND(CG68&lt;&gt;0,CG68/RIGHT($CG$1,2)&gt;=0.5,CJ68=CG68),"4.RECENTES",IF(AND(CH68&lt;&gt;0,CH68/RIGHT($CH$1,2)&gt;=0.5,CJ68=CH68),"4.RECENTES",IF(AND(CI68&lt;&gt;0,CI68/RIGHT($CI$1,2)&gt;=0.5,CJ68=CI68),"4.RECENTES",IF(AND(CE68=0,CF68=0,CG68=0,CH68=0),"3.INATIVOS",IF(CJ68/RIGHT($CJ$1,2)&lt;0.5,"2.INTERMITENTES","1.ORDINÁRIOS"))))))))</f>
        <v>1.ORDINÁRIOS</v>
      </c>
      <c r="CN68" s="14" t="n">
        <f aca="false">IF(AND(CE68=1,CJ68=1,BT68&lt;&gt;""),BT68,IF(AND(CE68&lt;&gt;0,CE68/RIGHT($CE$1,1)&gt;=0.5,CJ68=CE68),MAX(BV68:CC68),IF(AND(CF68&lt;&gt;0,CF68/RIGHT($CF$1,1)&gt;=0.5,CJ68=CF68),MAX(BV68:CC68),IF(AND(CG68&lt;&gt;0,CG68/RIGHT($CG$1,2)&gt;=0.5,CJ68=CG68),MAX(BV68:CC68),IF(AND(CH68&lt;&gt;0,CH68/RIGHT($CH$1,2)&gt;=0.5,CJ68=CH68),MAX(BV68:CC68),IF(AND(CI68&lt;&gt;0,CI68/RIGHT($CI$1,2)&gt;=0.5,CJ68=CI68),MAX(BV68:CC68),IF(AND(CE68=0,CF68=0,CG68=0,CH68=0),0,IF(CJ68/RIGHT($CJ$1,2)&lt;0.5,ROUND(BU68/RIGHT($CJ$1,2),0),MAX(BV68:CC68)))))))))</f>
        <v>441</v>
      </c>
      <c r="CO68" s="14" t="n">
        <f aca="false">CN68*3</f>
        <v>1323</v>
      </c>
      <c r="CP68" s="15" t="n">
        <v>1197</v>
      </c>
      <c r="CQ68" s="16" t="n">
        <f aca="false">IF((CO68-CP68)&lt;0,0,(CO68-CP68))</f>
        <v>126</v>
      </c>
      <c r="CR68" s="7"/>
    </row>
    <row r="69" customFormat="false" ht="12.75" hidden="false" customHeight="true" outlineLevel="0" collapsed="false">
      <c r="A69" s="7" t="s">
        <v>95</v>
      </c>
      <c r="B69" s="7" t="s">
        <v>163</v>
      </c>
      <c r="C69" s="8" t="n">
        <v>2000014</v>
      </c>
      <c r="D69" s="9" t="n">
        <v>20</v>
      </c>
      <c r="E69" s="9" t="n">
        <v>280</v>
      </c>
      <c r="F69" s="9" t="n">
        <v>200</v>
      </c>
      <c r="G69" s="9" t="n">
        <v>80</v>
      </c>
      <c r="H69" s="9" t="n">
        <v>280</v>
      </c>
      <c r="I69" s="9" t="n">
        <v>200</v>
      </c>
      <c r="J69" s="9" t="n">
        <v>200</v>
      </c>
      <c r="K69" s="9" t="n">
        <v>200</v>
      </c>
      <c r="L69" s="9" t="n">
        <v>160</v>
      </c>
      <c r="M69" s="9" t="n">
        <v>160</v>
      </c>
      <c r="N69" s="9" t="n">
        <v>200</v>
      </c>
      <c r="O69" s="9" t="n">
        <v>200</v>
      </c>
      <c r="P69" s="9" t="n">
        <v>200</v>
      </c>
      <c r="Q69" s="9" t="n">
        <v>120</v>
      </c>
      <c r="R69" s="9" t="n">
        <v>320</v>
      </c>
      <c r="S69" s="9" t="n">
        <v>320</v>
      </c>
      <c r="T69" s="9" t="n">
        <v>180</v>
      </c>
      <c r="U69" s="9" t="n">
        <v>120</v>
      </c>
      <c r="V69" s="9" t="n">
        <v>100</v>
      </c>
      <c r="W69" s="9" t="n">
        <v>240</v>
      </c>
      <c r="X69" s="9" t="n">
        <v>60</v>
      </c>
      <c r="Y69" s="9" t="n">
        <v>190</v>
      </c>
      <c r="Z69" s="9" t="n">
        <v>80</v>
      </c>
      <c r="AA69" s="9" t="n">
        <v>160</v>
      </c>
      <c r="AB69" s="9" t="n">
        <v>140</v>
      </c>
      <c r="AC69" s="9" t="n">
        <v>40</v>
      </c>
      <c r="AD69" s="9" t="n">
        <v>160</v>
      </c>
      <c r="AE69" s="9" t="n">
        <v>180</v>
      </c>
      <c r="AF69" s="9" t="n">
        <v>120</v>
      </c>
      <c r="AG69" s="9" t="n">
        <v>120</v>
      </c>
      <c r="AH69" s="9" t="n">
        <v>260</v>
      </c>
      <c r="AI69" s="9" t="n">
        <v>300</v>
      </c>
      <c r="AJ69" s="9" t="n">
        <v>220</v>
      </c>
      <c r="AK69" s="9" t="n">
        <v>160</v>
      </c>
      <c r="AL69" s="9" t="n">
        <v>340</v>
      </c>
      <c r="AM69" s="9" t="n">
        <v>160</v>
      </c>
      <c r="AN69" s="9" t="n">
        <v>480</v>
      </c>
      <c r="AO69" s="9" t="n">
        <v>180</v>
      </c>
      <c r="AP69" s="9" t="n">
        <v>500</v>
      </c>
      <c r="AQ69" s="9" t="n">
        <v>400</v>
      </c>
      <c r="AR69" s="9" t="n">
        <v>280</v>
      </c>
      <c r="AS69" s="9" t="n">
        <v>240</v>
      </c>
      <c r="AT69" s="9" t="n">
        <v>180</v>
      </c>
      <c r="AU69" s="9" t="n">
        <v>170</v>
      </c>
      <c r="AV69" s="9" t="n">
        <v>280</v>
      </c>
      <c r="AW69" s="9" t="n">
        <v>100</v>
      </c>
      <c r="AX69" s="9" t="n">
        <v>300</v>
      </c>
      <c r="AY69" s="9" t="n">
        <v>180</v>
      </c>
      <c r="AZ69" s="9" t="n">
        <v>60</v>
      </c>
      <c r="BA69" s="9" t="n">
        <v>160</v>
      </c>
      <c r="BB69" s="9" t="n">
        <v>320</v>
      </c>
      <c r="BC69" s="9" t="n">
        <v>240</v>
      </c>
      <c r="BD69" s="9" t="n">
        <v>140</v>
      </c>
      <c r="BE69" s="9" t="n">
        <v>140</v>
      </c>
      <c r="BF69" s="9" t="n">
        <v>180</v>
      </c>
      <c r="BG69" s="9" t="n">
        <v>120</v>
      </c>
      <c r="BH69" s="9" t="n">
        <v>80</v>
      </c>
      <c r="BI69" s="9" t="n">
        <v>80</v>
      </c>
      <c r="BJ69" s="9" t="n">
        <v>340</v>
      </c>
      <c r="BK69" s="9" t="n">
        <v>220</v>
      </c>
      <c r="BL69" s="9" t="n">
        <v>120</v>
      </c>
      <c r="BM69" s="9" t="n">
        <v>100</v>
      </c>
      <c r="BN69" s="9" t="n">
        <v>80</v>
      </c>
      <c r="BO69" s="9" t="n">
        <v>140</v>
      </c>
      <c r="BP69" s="9" t="n">
        <v>160</v>
      </c>
      <c r="BQ69" s="9" t="n">
        <v>260</v>
      </c>
      <c r="BR69" s="9" t="n">
        <v>260</v>
      </c>
      <c r="BS69" s="9" t="n">
        <v>180</v>
      </c>
      <c r="BT69" s="9"/>
      <c r="BU69" s="10" t="n">
        <v>13140</v>
      </c>
      <c r="BV69" s="11" t="n">
        <f aca="false">IF(ISERROR(ROUND(MEDIAN(BQ69:BT69),0)),0,ROUND(MEDIAN(BQ69:BT69),0))</f>
        <v>260</v>
      </c>
      <c r="BW69" s="11" t="n">
        <f aca="false">IF(ISERROR(ROUND(MEDIAN(BM69:BT69),0)),0,ROUND(MEDIAN(BM69:BT69),0))</f>
        <v>160</v>
      </c>
      <c r="BX69" s="11" t="n">
        <f aca="false">IF(ISERROR(ROUND(MEDIAN(BI69:BT69),0)),0,ROUND(MEDIAN(BI69:BT69),0))</f>
        <v>160</v>
      </c>
      <c r="BY69" s="11" t="n">
        <f aca="false">IF(ISERROR(ROUND(MEDIAN(BE69:BT69),0)),0,ROUND(MEDIAN(BE69:BT69),0))</f>
        <v>140</v>
      </c>
      <c r="BZ69" s="11" t="n">
        <f aca="false">IF(ISERROR(ROUND(MEDIAN(AU69:BT69),0)),0,ROUND(MEDIAN(AU69:BT69),0))</f>
        <v>160</v>
      </c>
      <c r="CA69" s="12" t="n">
        <f aca="false">IF(ISERROR(ROUND(MEDIAN(U69:BT69),0)),0,ROUND(MEDIAN(U69:BT69),0))</f>
        <v>170</v>
      </c>
      <c r="CB69" s="12" t="n">
        <f aca="false">IF(ISERROR(ROUND(MEDIAN(BT69),0)),0,ROUND(MEDIAN(BT69),0))</f>
        <v>0</v>
      </c>
      <c r="CC69" s="12" t="n">
        <f aca="false">IF(ISERROR(ROUND(MEDIAN(D69:BT69),0)),0,ROUND(MEDIAN(D69:BT69),0))</f>
        <v>180</v>
      </c>
      <c r="CD69" s="12" t="n">
        <f aca="false">MAX(D69:BT69)</f>
        <v>500</v>
      </c>
      <c r="CE69" s="7" t="n">
        <f aca="false">COUNTA(BQ69:BT69)</f>
        <v>3</v>
      </c>
      <c r="CF69" s="7" t="n">
        <f aca="false">COUNTA(BM69:BT69)</f>
        <v>7</v>
      </c>
      <c r="CG69" s="7" t="n">
        <f aca="false">COUNTA(BI69:BT69)</f>
        <v>11</v>
      </c>
      <c r="CH69" s="7" t="n">
        <f aca="false">COUNTA(BE69:BT69)</f>
        <v>15</v>
      </c>
      <c r="CI69" s="7" t="n">
        <f aca="false">COUNTA(AU69:BT69)</f>
        <v>25</v>
      </c>
      <c r="CJ69" s="7" t="n">
        <f aca="false">COUNTA(U69:BT69)</f>
        <v>51</v>
      </c>
      <c r="CK69" s="7" t="n">
        <f aca="false">COUNTA(BT69)</f>
        <v>0</v>
      </c>
      <c r="CL69" s="7" t="n">
        <f aca="false">COUNTA(D69:BT69)</f>
        <v>68</v>
      </c>
      <c r="CM69" s="13" t="str">
        <f aca="false">IF(AND(CE69=1,CJ69=1,BT69&lt;&gt;""),"5.ENTRANTES",IF(AND(CE69&lt;&gt;0,CE69/RIGHT($CE$1,1)&gt;=0.5,CJ69=CE69),"4.RECENTES",IF(AND(CF69&lt;&gt;0,CF69/RIGHT($CF$1,1)&gt;=0.5,CJ69=CF69),"4.RECENTES",IF(AND(CG69&lt;&gt;0,CG69/RIGHT($CG$1,2)&gt;=0.5,CJ69=CG69),"4.RECENTES",IF(AND(CH69&lt;&gt;0,CH69/RIGHT($CH$1,2)&gt;=0.5,CJ69=CH69),"4.RECENTES",IF(AND(CI69&lt;&gt;0,CI69/RIGHT($CI$1,2)&gt;=0.5,CJ69=CI69),"4.RECENTES",IF(AND(CE69=0,CF69=0,CG69=0,CH69=0),"3.INATIVOS",IF(CJ69/RIGHT($CJ$1,2)&lt;0.5,"2.INTERMITENTES","1.ORDINÁRIOS"))))))))</f>
        <v>1.ORDINÁRIOS</v>
      </c>
      <c r="CN69" s="14" t="n">
        <f aca="false">IF(AND(CE69=1,CJ69=1,BT69&lt;&gt;""),BT69,IF(AND(CE69&lt;&gt;0,CE69/RIGHT($CE$1,1)&gt;=0.5,CJ69=CE69),MAX(BV69:CC69),IF(AND(CF69&lt;&gt;0,CF69/RIGHT($CF$1,1)&gt;=0.5,CJ69=CF69),MAX(BV69:CC69),IF(AND(CG69&lt;&gt;0,CG69/RIGHT($CG$1,2)&gt;=0.5,CJ69=CG69),MAX(BV69:CC69),IF(AND(CH69&lt;&gt;0,CH69/RIGHT($CH$1,2)&gt;=0.5,CJ69=CH69),MAX(BV69:CC69),IF(AND(CI69&lt;&gt;0,CI69/RIGHT($CI$1,2)&gt;=0.5,CJ69=CI69),MAX(BV69:CC69),IF(AND(CE69=0,CF69=0,CG69=0,CH69=0),0,IF(CJ69/RIGHT($CJ$1,2)&lt;0.5,ROUND(BU69/RIGHT($CJ$1,2),0),MAX(BV69:CC69)))))))))</f>
        <v>260</v>
      </c>
      <c r="CO69" s="14" t="n">
        <f aca="false">CN69*3</f>
        <v>780</v>
      </c>
      <c r="CP69" s="15" t="n">
        <v>660</v>
      </c>
      <c r="CQ69" s="16" t="n">
        <f aca="false">IF((CO69-CP69)&lt;0,0,(CO69-CP69))</f>
        <v>120</v>
      </c>
      <c r="CR69" s="7"/>
    </row>
    <row r="70" customFormat="false" ht="12.75" hidden="false" customHeight="true" outlineLevel="0" collapsed="false">
      <c r="A70" s="7" t="s">
        <v>95</v>
      </c>
      <c r="B70" s="7" t="s">
        <v>164</v>
      </c>
      <c r="C70" s="8" t="n">
        <v>1000003</v>
      </c>
      <c r="D70" s="9"/>
      <c r="E70" s="9" t="n">
        <v>110</v>
      </c>
      <c r="F70" s="9" t="n">
        <v>30</v>
      </c>
      <c r="G70" s="9" t="n">
        <v>30</v>
      </c>
      <c r="H70" s="9"/>
      <c r="I70" s="9" t="n">
        <v>90</v>
      </c>
      <c r="J70" s="9" t="n">
        <v>30</v>
      </c>
      <c r="K70" s="9" t="n">
        <v>30</v>
      </c>
      <c r="L70" s="9" t="n">
        <v>60</v>
      </c>
      <c r="M70" s="9" t="n">
        <v>30</v>
      </c>
      <c r="N70" s="9" t="n">
        <v>90</v>
      </c>
      <c r="O70" s="9" t="n">
        <v>30</v>
      </c>
      <c r="P70" s="9"/>
      <c r="Q70" s="9" t="n">
        <v>30</v>
      </c>
      <c r="R70" s="9" t="n">
        <v>150</v>
      </c>
      <c r="S70" s="9" t="n">
        <v>30</v>
      </c>
      <c r="T70" s="9"/>
      <c r="U70" s="9"/>
      <c r="V70" s="9" t="n">
        <v>60</v>
      </c>
      <c r="W70" s="9" t="n">
        <v>60</v>
      </c>
      <c r="X70" s="9" t="n">
        <v>90</v>
      </c>
      <c r="Y70" s="9"/>
      <c r="Z70" s="9" t="n">
        <v>60</v>
      </c>
      <c r="AA70" s="9" t="n">
        <v>90</v>
      </c>
      <c r="AB70" s="9" t="n">
        <v>30</v>
      </c>
      <c r="AC70" s="9" t="n">
        <v>60</v>
      </c>
      <c r="AD70" s="9"/>
      <c r="AE70" s="9" t="n">
        <v>120</v>
      </c>
      <c r="AF70" s="9" t="n">
        <v>60</v>
      </c>
      <c r="AG70" s="9" t="n">
        <v>30</v>
      </c>
      <c r="AH70" s="9"/>
      <c r="AI70" s="9" t="n">
        <v>30</v>
      </c>
      <c r="AJ70" s="9" t="n">
        <v>30</v>
      </c>
      <c r="AK70" s="9" t="n">
        <v>60</v>
      </c>
      <c r="AL70" s="9" t="n">
        <v>30</v>
      </c>
      <c r="AM70" s="9"/>
      <c r="AN70" s="9" t="n">
        <v>90</v>
      </c>
      <c r="AO70" s="9"/>
      <c r="AP70" s="9" t="n">
        <v>30</v>
      </c>
      <c r="AQ70" s="9" t="n">
        <v>30</v>
      </c>
      <c r="AR70" s="9" t="n">
        <v>90</v>
      </c>
      <c r="AS70" s="9" t="n">
        <v>30</v>
      </c>
      <c r="AT70" s="9" t="n">
        <v>60</v>
      </c>
      <c r="AU70" s="9"/>
      <c r="AV70" s="9" t="n">
        <v>30</v>
      </c>
      <c r="AW70" s="9" t="n">
        <v>30</v>
      </c>
      <c r="AX70" s="9"/>
      <c r="AY70" s="9"/>
      <c r="AZ70" s="9" t="n">
        <v>30</v>
      </c>
      <c r="BA70" s="9" t="n">
        <v>30</v>
      </c>
      <c r="BB70" s="9"/>
      <c r="BC70" s="9"/>
      <c r="BD70" s="9"/>
      <c r="BE70" s="9"/>
      <c r="BF70" s="9" t="n">
        <v>30</v>
      </c>
      <c r="BG70" s="9"/>
      <c r="BH70" s="9" t="n">
        <v>30</v>
      </c>
      <c r="BI70" s="9" t="n">
        <v>30</v>
      </c>
      <c r="BJ70" s="9"/>
      <c r="BK70" s="9"/>
      <c r="BL70" s="9" t="n">
        <v>40</v>
      </c>
      <c r="BM70" s="9"/>
      <c r="BN70" s="9" t="n">
        <v>60</v>
      </c>
      <c r="BO70" s="9" t="n">
        <v>30</v>
      </c>
      <c r="BP70" s="9"/>
      <c r="BQ70" s="9"/>
      <c r="BR70" s="9"/>
      <c r="BS70" s="9"/>
      <c r="BT70" s="9" t="n">
        <v>30</v>
      </c>
      <c r="BU70" s="10" t="n">
        <v>2250</v>
      </c>
      <c r="BV70" s="11" t="n">
        <f aca="false">IF(ISERROR(ROUND(MEDIAN(BQ70:BT70),0)),0,ROUND(MEDIAN(BQ70:BT70),0))</f>
        <v>30</v>
      </c>
      <c r="BW70" s="11" t="n">
        <f aca="false">IF(ISERROR(ROUND(MEDIAN(BM70:BT70),0)),0,ROUND(MEDIAN(BM70:BT70),0))</f>
        <v>30</v>
      </c>
      <c r="BX70" s="11" t="n">
        <f aca="false">IF(ISERROR(ROUND(MEDIAN(BI70:BT70),0)),0,ROUND(MEDIAN(BI70:BT70),0))</f>
        <v>30</v>
      </c>
      <c r="BY70" s="11" t="n">
        <f aca="false">IF(ISERROR(ROUND(MEDIAN(BE70:BT70),0)),0,ROUND(MEDIAN(BE70:BT70),0))</f>
        <v>30</v>
      </c>
      <c r="BZ70" s="11" t="n">
        <f aca="false">IF(ISERROR(ROUND(MEDIAN(AU70:BT70),0)),0,ROUND(MEDIAN(AU70:BT70),0))</f>
        <v>30</v>
      </c>
      <c r="CA70" s="12" t="n">
        <f aca="false">IF(ISERROR(ROUND(MEDIAN(U70:BT70),0)),0,ROUND(MEDIAN(U70:BT70),0))</f>
        <v>30</v>
      </c>
      <c r="CB70" s="12" t="n">
        <f aca="false">IF(ISERROR(ROUND(MEDIAN(BT70),0)),0,ROUND(MEDIAN(BT70),0))</f>
        <v>30</v>
      </c>
      <c r="CC70" s="12" t="n">
        <f aca="false">IF(ISERROR(ROUND(MEDIAN(D70:BT70),0)),0,ROUND(MEDIAN(D70:BT70),0))</f>
        <v>30</v>
      </c>
      <c r="CD70" s="12" t="n">
        <f aca="false">MAX(D70:BT70)</f>
        <v>150</v>
      </c>
      <c r="CE70" s="7" t="n">
        <f aca="false">COUNTA(BQ70:BT70)</f>
        <v>1</v>
      </c>
      <c r="CF70" s="7" t="n">
        <f aca="false">COUNTA(BM70:BT70)</f>
        <v>3</v>
      </c>
      <c r="CG70" s="7" t="n">
        <f aca="false">COUNTA(BI70:BT70)</f>
        <v>5</v>
      </c>
      <c r="CH70" s="7" t="n">
        <f aca="false">COUNTA(BE70:BT70)</f>
        <v>7</v>
      </c>
      <c r="CI70" s="7" t="n">
        <f aca="false">COUNTA(AU70:BT70)</f>
        <v>11</v>
      </c>
      <c r="CJ70" s="7" t="n">
        <f aca="false">COUNTA(U70:BT70)</f>
        <v>31</v>
      </c>
      <c r="CK70" s="7" t="n">
        <f aca="false">COUNTA(BT70)</f>
        <v>1</v>
      </c>
      <c r="CL70" s="7" t="n">
        <f aca="false">COUNTA(D70:BT70)</f>
        <v>44</v>
      </c>
      <c r="CM70" s="13" t="str">
        <f aca="false">IF(AND(CE70=1,CJ70=1,BT70&lt;&gt;""),"5.ENTRANTES",IF(AND(CE70&lt;&gt;0,CE70/RIGHT($CE$1,1)&gt;=0.5,CJ70=CE70),"4.RECENTES",IF(AND(CF70&lt;&gt;0,CF70/RIGHT($CF$1,1)&gt;=0.5,CJ70=CF70),"4.RECENTES",IF(AND(CG70&lt;&gt;0,CG70/RIGHT($CG$1,2)&gt;=0.5,CJ70=CG70),"4.RECENTES",IF(AND(CH70&lt;&gt;0,CH70/RIGHT($CH$1,2)&gt;=0.5,CJ70=CH70),"4.RECENTES",IF(AND(CI70&lt;&gt;0,CI70/RIGHT($CI$1,2)&gt;=0.5,CJ70=CI70),"4.RECENTES",IF(AND(CE70=0,CF70=0,CG70=0,CH70=0),"3.INATIVOS",IF(CJ70/RIGHT($CJ$1,2)&lt;0.5,"2.INTERMITENTES","1.ORDINÁRIOS"))))))))</f>
        <v>1.ORDINÁRIOS</v>
      </c>
      <c r="CN70" s="14" t="n">
        <f aca="false">IF(AND(CE70=1,CJ70=1,BT70&lt;&gt;""),BT70,IF(AND(CE70&lt;&gt;0,CE70/RIGHT($CE$1,1)&gt;=0.5,CJ70=CE70),MAX(BV70:CC70),IF(AND(CF70&lt;&gt;0,CF70/RIGHT($CF$1,1)&gt;=0.5,CJ70=CF70),MAX(BV70:CC70),IF(AND(CG70&lt;&gt;0,CG70/RIGHT($CG$1,2)&gt;=0.5,CJ70=CG70),MAX(BV70:CC70),IF(AND(CH70&lt;&gt;0,CH70/RIGHT($CH$1,2)&gt;=0.5,CJ70=CH70),MAX(BV70:CC70),IF(AND(CI70&lt;&gt;0,CI70/RIGHT($CI$1,2)&gt;=0.5,CJ70=CI70),MAX(BV70:CC70),IF(AND(CE70=0,CF70=0,CG70=0,CH70=0),0,IF(CJ70/RIGHT($CJ$1,2)&lt;0.5,ROUND(BU70/RIGHT($CJ$1,2),0),MAX(BV70:CC70)))))))))</f>
        <v>30</v>
      </c>
      <c r="CO70" s="14" t="n">
        <f aca="false">CN70*3</f>
        <v>90</v>
      </c>
      <c r="CP70" s="15" t="n">
        <v>70</v>
      </c>
      <c r="CQ70" s="16" t="n">
        <f aca="false">IF((CO70-CP70)&lt;0,0,(CO70-CP70))</f>
        <v>20</v>
      </c>
      <c r="CR70" s="7"/>
    </row>
    <row r="71" customFormat="false" ht="12.75" hidden="false" customHeight="true" outlineLevel="0" collapsed="false">
      <c r="A71" s="7" t="s">
        <v>95</v>
      </c>
      <c r="B71" s="7" t="s">
        <v>165</v>
      </c>
      <c r="C71" s="8" t="n">
        <v>21001030</v>
      </c>
      <c r="D71" s="9" t="n">
        <v>240</v>
      </c>
      <c r="E71" s="9" t="n">
        <v>1830</v>
      </c>
      <c r="F71" s="9" t="n">
        <v>660</v>
      </c>
      <c r="G71" s="9" t="n">
        <v>1590</v>
      </c>
      <c r="H71" s="9" t="n">
        <v>900</v>
      </c>
      <c r="I71" s="9" t="n">
        <v>1440</v>
      </c>
      <c r="J71" s="9" t="n">
        <v>1020</v>
      </c>
      <c r="K71" s="9" t="n">
        <v>690</v>
      </c>
      <c r="L71" s="9" t="n">
        <v>1200</v>
      </c>
      <c r="M71" s="9" t="n">
        <v>1380</v>
      </c>
      <c r="N71" s="9" t="n">
        <v>1470</v>
      </c>
      <c r="O71" s="9" t="n">
        <v>870</v>
      </c>
      <c r="P71" s="9" t="n">
        <v>1380</v>
      </c>
      <c r="Q71" s="9" t="n">
        <v>930</v>
      </c>
      <c r="R71" s="9" t="n">
        <v>1500</v>
      </c>
      <c r="S71" s="9" t="n">
        <v>630</v>
      </c>
      <c r="T71" s="9" t="n">
        <v>1170</v>
      </c>
      <c r="U71" s="9" t="n">
        <v>1710</v>
      </c>
      <c r="V71" s="9" t="n">
        <v>960</v>
      </c>
      <c r="W71" s="9" t="n">
        <v>1440</v>
      </c>
      <c r="X71" s="9" t="n">
        <v>1020</v>
      </c>
      <c r="Y71" s="9" t="n">
        <v>1530</v>
      </c>
      <c r="Z71" s="9" t="n">
        <v>930</v>
      </c>
      <c r="AA71" s="9" t="n">
        <v>1020</v>
      </c>
      <c r="AB71" s="9" t="n">
        <v>1350</v>
      </c>
      <c r="AC71" s="9" t="n">
        <v>1410</v>
      </c>
      <c r="AD71" s="9" t="n">
        <v>1290</v>
      </c>
      <c r="AE71" s="9" t="n">
        <v>1290</v>
      </c>
      <c r="AF71" s="9" t="n">
        <v>840</v>
      </c>
      <c r="AG71" s="9" t="n">
        <v>1860</v>
      </c>
      <c r="AH71" s="9" t="n">
        <v>1560</v>
      </c>
      <c r="AI71" s="9" t="n">
        <v>1710</v>
      </c>
      <c r="AJ71" s="9" t="n">
        <v>1980</v>
      </c>
      <c r="AK71" s="9" t="n">
        <v>1110</v>
      </c>
      <c r="AL71" s="9" t="n">
        <v>1770</v>
      </c>
      <c r="AM71" s="9" t="n">
        <v>1260</v>
      </c>
      <c r="AN71" s="9" t="n">
        <v>1830</v>
      </c>
      <c r="AO71" s="9" t="n">
        <v>1410</v>
      </c>
      <c r="AP71" s="9" t="n">
        <v>1170</v>
      </c>
      <c r="AQ71" s="9" t="n">
        <v>1100</v>
      </c>
      <c r="AR71" s="9" t="n">
        <v>1940</v>
      </c>
      <c r="AS71" s="9" t="n">
        <v>1110</v>
      </c>
      <c r="AT71" s="9" t="n">
        <v>1260</v>
      </c>
      <c r="AU71" s="9" t="n">
        <v>870</v>
      </c>
      <c r="AV71" s="9" t="n">
        <v>1470</v>
      </c>
      <c r="AW71" s="9" t="n">
        <v>1260</v>
      </c>
      <c r="AX71" s="9" t="n">
        <v>1165</v>
      </c>
      <c r="AY71" s="9" t="n">
        <v>1020</v>
      </c>
      <c r="AZ71" s="9" t="n">
        <v>1140</v>
      </c>
      <c r="BA71" s="9" t="n">
        <v>750</v>
      </c>
      <c r="BB71" s="9" t="n">
        <v>1440</v>
      </c>
      <c r="BC71" s="9" t="n">
        <v>870</v>
      </c>
      <c r="BD71" s="9" t="n">
        <v>930</v>
      </c>
      <c r="BE71" s="9" t="n">
        <v>810</v>
      </c>
      <c r="BF71" s="9" t="n">
        <v>900</v>
      </c>
      <c r="BG71" s="9" t="n">
        <v>1365</v>
      </c>
      <c r="BH71" s="9" t="n">
        <v>1020</v>
      </c>
      <c r="BI71" s="9" t="n">
        <v>1380</v>
      </c>
      <c r="BJ71" s="9" t="n">
        <v>1290</v>
      </c>
      <c r="BK71" s="9" t="n">
        <v>1380</v>
      </c>
      <c r="BL71" s="9" t="n">
        <v>1260</v>
      </c>
      <c r="BM71" s="9" t="n">
        <v>1050</v>
      </c>
      <c r="BN71" s="9" t="n">
        <v>1380</v>
      </c>
      <c r="BO71" s="9" t="n">
        <v>1920</v>
      </c>
      <c r="BP71" s="9" t="n">
        <v>2130</v>
      </c>
      <c r="BQ71" s="9" t="n">
        <v>1200</v>
      </c>
      <c r="BR71" s="9" t="n">
        <v>1050</v>
      </c>
      <c r="BS71" s="9" t="n">
        <v>1020</v>
      </c>
      <c r="BT71" s="9" t="n">
        <v>990</v>
      </c>
      <c r="BU71" s="10" t="n">
        <v>85820</v>
      </c>
      <c r="BV71" s="11" t="n">
        <f aca="false">IF(ISERROR(ROUND(MEDIAN(BQ71:BT71),0)),0,ROUND(MEDIAN(BQ71:BT71),0))</f>
        <v>1035</v>
      </c>
      <c r="BW71" s="11" t="n">
        <f aca="false">IF(ISERROR(ROUND(MEDIAN(BM71:BT71),0)),0,ROUND(MEDIAN(BM71:BT71),0))</f>
        <v>1125</v>
      </c>
      <c r="BX71" s="11" t="n">
        <f aca="false">IF(ISERROR(ROUND(MEDIAN(BI71:BT71),0)),0,ROUND(MEDIAN(BI71:BT71),0))</f>
        <v>1275</v>
      </c>
      <c r="BY71" s="11" t="n">
        <f aca="false">IF(ISERROR(ROUND(MEDIAN(BE71:BT71),0)),0,ROUND(MEDIAN(BE71:BT71),0))</f>
        <v>1230</v>
      </c>
      <c r="BZ71" s="11" t="n">
        <f aca="false">IF(ISERROR(ROUND(MEDIAN(AU71:BT71),0)),0,ROUND(MEDIAN(AU71:BT71),0))</f>
        <v>1153</v>
      </c>
      <c r="CA71" s="12" t="n">
        <f aca="false">IF(ISERROR(ROUND(MEDIAN(U71:BT71),0)),0,ROUND(MEDIAN(U71:BT71),0))</f>
        <v>1260</v>
      </c>
      <c r="CB71" s="12" t="n">
        <f aca="false">IF(ISERROR(ROUND(MEDIAN(BT71),0)),0,ROUND(MEDIAN(BT71),0))</f>
        <v>990</v>
      </c>
      <c r="CC71" s="12" t="n">
        <f aca="false">IF(ISERROR(ROUND(MEDIAN(D71:BT71),0)),0,ROUND(MEDIAN(D71:BT71),0))</f>
        <v>1260</v>
      </c>
      <c r="CD71" s="12" t="n">
        <f aca="false">MAX(D71:BT71)</f>
        <v>2130</v>
      </c>
      <c r="CE71" s="7" t="n">
        <f aca="false">COUNTA(BQ71:BT71)</f>
        <v>4</v>
      </c>
      <c r="CF71" s="7" t="n">
        <f aca="false">COUNTA(BM71:BT71)</f>
        <v>8</v>
      </c>
      <c r="CG71" s="7" t="n">
        <f aca="false">COUNTA(BI71:BT71)</f>
        <v>12</v>
      </c>
      <c r="CH71" s="7" t="n">
        <f aca="false">COUNTA(BE71:BT71)</f>
        <v>16</v>
      </c>
      <c r="CI71" s="7" t="n">
        <f aca="false">COUNTA(AU71:BT71)</f>
        <v>26</v>
      </c>
      <c r="CJ71" s="7" t="n">
        <f aca="false">COUNTA(U71:BT71)</f>
        <v>52</v>
      </c>
      <c r="CK71" s="7" t="n">
        <f aca="false">COUNTA(BT71)</f>
        <v>1</v>
      </c>
      <c r="CL71" s="7" t="n">
        <f aca="false">COUNTA(D71:BT71)</f>
        <v>69</v>
      </c>
      <c r="CM71" s="13" t="str">
        <f aca="false">IF(AND(CE71=1,CJ71=1,BT71&lt;&gt;""),"5.ENTRANTES",IF(AND(CE71&lt;&gt;0,CE71/RIGHT($CE$1,1)&gt;=0.5,CJ71=CE71),"4.RECENTES",IF(AND(CF71&lt;&gt;0,CF71/RIGHT($CF$1,1)&gt;=0.5,CJ71=CF71),"4.RECENTES",IF(AND(CG71&lt;&gt;0,CG71/RIGHT($CG$1,2)&gt;=0.5,CJ71=CG71),"4.RECENTES",IF(AND(CH71&lt;&gt;0,CH71/RIGHT($CH$1,2)&gt;=0.5,CJ71=CH71),"4.RECENTES",IF(AND(CI71&lt;&gt;0,CI71/RIGHT($CI$1,2)&gt;=0.5,CJ71=CI71),"4.RECENTES",IF(AND(CE71=0,CF71=0,CG71=0,CH71=0),"3.INATIVOS",IF(CJ71/RIGHT($CJ$1,2)&lt;0.5,"2.INTERMITENTES","1.ORDINÁRIOS"))))))))</f>
        <v>1.ORDINÁRIOS</v>
      </c>
      <c r="CN71" s="14" t="n">
        <f aca="false">IF(AND(CE71=1,CJ71=1,BT71&lt;&gt;""),BT71,IF(AND(CE71&lt;&gt;0,CE71/RIGHT($CE$1,1)&gt;=0.5,CJ71=CE71),MAX(BV71:CC71),IF(AND(CF71&lt;&gt;0,CF71/RIGHT($CF$1,1)&gt;=0.5,CJ71=CF71),MAX(BV71:CC71),IF(AND(CG71&lt;&gt;0,CG71/RIGHT($CG$1,2)&gt;=0.5,CJ71=CG71),MAX(BV71:CC71),IF(AND(CH71&lt;&gt;0,CH71/RIGHT($CH$1,2)&gt;=0.5,CJ71=CH71),MAX(BV71:CC71),IF(AND(CI71&lt;&gt;0,CI71/RIGHT($CI$1,2)&gt;=0.5,CJ71=CI71),MAX(BV71:CC71),IF(AND(CE71=0,CF71=0,CG71=0,CH71=0),0,IF(CJ71/RIGHT($CJ$1,2)&lt;0.5,ROUND(BU71/RIGHT($CJ$1,2),0),MAX(BV71:CC71)))))))))</f>
        <v>1275</v>
      </c>
      <c r="CO71" s="14" t="n">
        <f aca="false">CN71*3</f>
        <v>3825</v>
      </c>
      <c r="CP71" s="15" t="n">
        <v>2220</v>
      </c>
      <c r="CQ71" s="16" t="n">
        <f aca="false">IF((CO71-CP71)&lt;0,0,(CO71-CP71))</f>
        <v>1605</v>
      </c>
      <c r="CR71" s="7"/>
    </row>
    <row r="72" customFormat="false" ht="12.75" hidden="false" customHeight="true" outlineLevel="0" collapsed="false">
      <c r="A72" s="7" t="s">
        <v>95</v>
      </c>
      <c r="B72" s="7" t="s">
        <v>166</v>
      </c>
      <c r="C72" s="8" t="n">
        <v>323001001</v>
      </c>
      <c r="D72" s="9" t="n">
        <v>670</v>
      </c>
      <c r="E72" s="9" t="n">
        <v>2310</v>
      </c>
      <c r="F72" s="9" t="n">
        <v>3360</v>
      </c>
      <c r="G72" s="9" t="n">
        <v>3550</v>
      </c>
      <c r="H72" s="9" t="n">
        <v>2060</v>
      </c>
      <c r="I72" s="9" t="n">
        <v>3860</v>
      </c>
      <c r="J72" s="9" t="n">
        <v>3360</v>
      </c>
      <c r="K72" s="9" t="n">
        <v>2590</v>
      </c>
      <c r="L72" s="9" t="n">
        <v>3960</v>
      </c>
      <c r="M72" s="9" t="n">
        <v>3430</v>
      </c>
      <c r="N72" s="9" t="n">
        <v>3550</v>
      </c>
      <c r="O72" s="9" t="n">
        <v>3650</v>
      </c>
      <c r="P72" s="9" t="n">
        <v>3780</v>
      </c>
      <c r="Q72" s="9" t="n">
        <v>3380</v>
      </c>
      <c r="R72" s="9" t="n">
        <v>4180</v>
      </c>
      <c r="S72" s="9" t="n">
        <v>3590</v>
      </c>
      <c r="T72" s="9" t="n">
        <v>4400</v>
      </c>
      <c r="U72" s="9" t="n">
        <v>3140</v>
      </c>
      <c r="V72" s="9" t="n">
        <v>4230</v>
      </c>
      <c r="W72" s="9" t="n">
        <v>4370</v>
      </c>
      <c r="X72" s="9" t="n">
        <v>4920</v>
      </c>
      <c r="Y72" s="9" t="n">
        <v>4400</v>
      </c>
      <c r="Z72" s="9" t="n">
        <v>3740</v>
      </c>
      <c r="AA72" s="9" t="n">
        <v>5630</v>
      </c>
      <c r="AB72" s="9" t="n">
        <v>5300</v>
      </c>
      <c r="AC72" s="9" t="n">
        <v>5284</v>
      </c>
      <c r="AD72" s="9" t="n">
        <v>4386</v>
      </c>
      <c r="AE72" s="9" t="n">
        <v>5240</v>
      </c>
      <c r="AF72" s="9" t="n">
        <v>3140</v>
      </c>
      <c r="AG72" s="9" t="n">
        <v>5320</v>
      </c>
      <c r="AH72" s="9" t="n">
        <v>5050</v>
      </c>
      <c r="AI72" s="9" t="n">
        <v>4510</v>
      </c>
      <c r="AJ72" s="9" t="n">
        <v>4960</v>
      </c>
      <c r="AK72" s="9" t="n">
        <v>4110</v>
      </c>
      <c r="AL72" s="9" t="n">
        <v>5458</v>
      </c>
      <c r="AM72" s="9" t="n">
        <v>4232</v>
      </c>
      <c r="AN72" s="9" t="n">
        <v>5280</v>
      </c>
      <c r="AO72" s="9" t="n">
        <v>2720</v>
      </c>
      <c r="AP72" s="9" t="n">
        <v>5285</v>
      </c>
      <c r="AQ72" s="9" t="n">
        <v>4510</v>
      </c>
      <c r="AR72" s="9" t="n">
        <v>3361</v>
      </c>
      <c r="AS72" s="9" t="n">
        <v>4152</v>
      </c>
      <c r="AT72" s="9" t="n">
        <v>3340</v>
      </c>
      <c r="AU72" s="9" t="n">
        <v>2727</v>
      </c>
      <c r="AV72" s="9" t="n">
        <v>2870</v>
      </c>
      <c r="AW72" s="9" t="n">
        <v>2930</v>
      </c>
      <c r="AX72" s="9" t="n">
        <v>3050</v>
      </c>
      <c r="AY72" s="9" t="n">
        <v>2670</v>
      </c>
      <c r="AZ72" s="9" t="n">
        <v>3142</v>
      </c>
      <c r="BA72" s="9" t="n">
        <v>3870</v>
      </c>
      <c r="BB72" s="9" t="n">
        <v>3460</v>
      </c>
      <c r="BC72" s="9" t="n">
        <v>3330</v>
      </c>
      <c r="BD72" s="9" t="n">
        <v>3754</v>
      </c>
      <c r="BE72" s="9" t="n">
        <v>3784</v>
      </c>
      <c r="BF72" s="9" t="n">
        <v>4620</v>
      </c>
      <c r="BG72" s="9" t="n">
        <v>3866</v>
      </c>
      <c r="BH72" s="9" t="n">
        <v>3850</v>
      </c>
      <c r="BI72" s="9" t="n">
        <v>3840</v>
      </c>
      <c r="BJ72" s="9" t="n">
        <v>3850</v>
      </c>
      <c r="BK72" s="9" t="n">
        <v>3690</v>
      </c>
      <c r="BL72" s="9" t="n">
        <v>3230</v>
      </c>
      <c r="BM72" s="9" t="n">
        <v>3130</v>
      </c>
      <c r="BN72" s="9" t="n">
        <v>3520</v>
      </c>
      <c r="BO72" s="9" t="n">
        <v>3430</v>
      </c>
      <c r="BP72" s="9" t="n">
        <v>2794</v>
      </c>
      <c r="BQ72" s="9" t="n">
        <v>2940</v>
      </c>
      <c r="BR72" s="9" t="n">
        <v>2596</v>
      </c>
      <c r="BS72" s="9" t="n">
        <v>1860</v>
      </c>
      <c r="BT72" s="9" t="n">
        <v>1900</v>
      </c>
      <c r="BU72" s="10" t="n">
        <v>256451</v>
      </c>
      <c r="BV72" s="11" t="n">
        <f aca="false">IF(ISERROR(ROUND(MEDIAN(BQ72:BT72),0)),0,ROUND(MEDIAN(BQ72:BT72),0))</f>
        <v>2248</v>
      </c>
      <c r="BW72" s="11" t="n">
        <f aca="false">IF(ISERROR(ROUND(MEDIAN(BM72:BT72),0)),0,ROUND(MEDIAN(BM72:BT72),0))</f>
        <v>2867</v>
      </c>
      <c r="BX72" s="11" t="n">
        <f aca="false">IF(ISERROR(ROUND(MEDIAN(BI72:BT72),0)),0,ROUND(MEDIAN(BI72:BT72),0))</f>
        <v>3180</v>
      </c>
      <c r="BY72" s="11" t="n">
        <f aca="false">IF(ISERROR(ROUND(MEDIAN(BE72:BT72),0)),0,ROUND(MEDIAN(BE72:BT72),0))</f>
        <v>3475</v>
      </c>
      <c r="BZ72" s="11" t="n">
        <f aca="false">IF(ISERROR(ROUND(MEDIAN(AU72:BT72),0)),0,ROUND(MEDIAN(AU72:BT72),0))</f>
        <v>3280</v>
      </c>
      <c r="CA72" s="12" t="n">
        <f aca="false">IF(ISERROR(ROUND(MEDIAN(U72:BT72),0)),0,ROUND(MEDIAN(U72:BT72),0))</f>
        <v>3812</v>
      </c>
      <c r="CB72" s="12" t="n">
        <f aca="false">IF(ISERROR(ROUND(MEDIAN(BT72),0)),0,ROUND(MEDIAN(BT72),0))</f>
        <v>1900</v>
      </c>
      <c r="CC72" s="12" t="n">
        <f aca="false">IF(ISERROR(ROUND(MEDIAN(D72:BT72),0)),0,ROUND(MEDIAN(D72:BT72),0))</f>
        <v>3690</v>
      </c>
      <c r="CD72" s="12" t="n">
        <f aca="false">MAX(D72:BT72)</f>
        <v>5630</v>
      </c>
      <c r="CE72" s="7" t="n">
        <f aca="false">COUNTA(BQ72:BT72)</f>
        <v>4</v>
      </c>
      <c r="CF72" s="7" t="n">
        <f aca="false">COUNTA(BM72:BT72)</f>
        <v>8</v>
      </c>
      <c r="CG72" s="7" t="n">
        <f aca="false">COUNTA(BI72:BT72)</f>
        <v>12</v>
      </c>
      <c r="CH72" s="7" t="n">
        <f aca="false">COUNTA(BE72:BT72)</f>
        <v>16</v>
      </c>
      <c r="CI72" s="7" t="n">
        <f aca="false">COUNTA(AU72:BT72)</f>
        <v>26</v>
      </c>
      <c r="CJ72" s="7" t="n">
        <f aca="false">COUNTA(U72:BT72)</f>
        <v>52</v>
      </c>
      <c r="CK72" s="7" t="n">
        <f aca="false">COUNTA(BT72)</f>
        <v>1</v>
      </c>
      <c r="CL72" s="7" t="n">
        <f aca="false">COUNTA(D72:BT72)</f>
        <v>69</v>
      </c>
      <c r="CM72" s="13" t="str">
        <f aca="false">IF(AND(CE72=1,CJ72=1,BT72&lt;&gt;""),"5.ENTRANTES",IF(AND(CE72&lt;&gt;0,CE72/RIGHT($CE$1,1)&gt;=0.5,CJ72=CE72),"4.RECENTES",IF(AND(CF72&lt;&gt;0,CF72/RIGHT($CF$1,1)&gt;=0.5,CJ72=CF72),"4.RECENTES",IF(AND(CG72&lt;&gt;0,CG72/RIGHT($CG$1,2)&gt;=0.5,CJ72=CG72),"4.RECENTES",IF(AND(CH72&lt;&gt;0,CH72/RIGHT($CH$1,2)&gt;=0.5,CJ72=CH72),"4.RECENTES",IF(AND(CI72&lt;&gt;0,CI72/RIGHT($CI$1,2)&gt;=0.5,CJ72=CI72),"4.RECENTES",IF(AND(CE72=0,CF72=0,CG72=0,CH72=0),"3.INATIVOS",IF(CJ72/RIGHT($CJ$1,2)&lt;0.5,"2.INTERMITENTES","1.ORDINÁRIOS"))))))))</f>
        <v>1.ORDINÁRIOS</v>
      </c>
      <c r="CN72" s="14" t="n">
        <f aca="false">IF(AND(CE72=1,CJ72=1,BT72&lt;&gt;""),BT72,IF(AND(CE72&lt;&gt;0,CE72/RIGHT($CE$1,1)&gt;=0.5,CJ72=CE72),MAX(BV72:CC72),IF(AND(CF72&lt;&gt;0,CF72/RIGHT($CF$1,1)&gt;=0.5,CJ72=CF72),MAX(BV72:CC72),IF(AND(CG72&lt;&gt;0,CG72/RIGHT($CG$1,2)&gt;=0.5,CJ72=CG72),MAX(BV72:CC72),IF(AND(CH72&lt;&gt;0,CH72/RIGHT($CH$1,2)&gt;=0.5,CJ72=CH72),MAX(BV72:CC72),IF(AND(CI72&lt;&gt;0,CI72/RIGHT($CI$1,2)&gt;=0.5,CJ72=CI72),MAX(BV72:CC72),IF(AND(CE72=0,CF72=0,CG72=0,CH72=0),0,IF(CJ72/RIGHT($CJ$1,2)&lt;0.5,ROUND(BU72/RIGHT($CJ$1,2),0),MAX(BV72:CC72)))))))))</f>
        <v>3812</v>
      </c>
      <c r="CO72" s="14" t="n">
        <f aca="false">CN72*3</f>
        <v>11436</v>
      </c>
      <c r="CP72" s="15" t="n">
        <v>9090</v>
      </c>
      <c r="CQ72" s="16" t="n">
        <f aca="false">IF((CO72-CP72)&lt;0,0,(CO72-CP72))</f>
        <v>2346</v>
      </c>
      <c r="CR72" s="7"/>
    </row>
    <row r="73" customFormat="false" ht="12.75" hidden="false" customHeight="true" outlineLevel="0" collapsed="false">
      <c r="A73" s="7" t="s">
        <v>95</v>
      </c>
      <c r="B73" s="7" t="s">
        <v>167</v>
      </c>
      <c r="C73" s="8" t="n">
        <v>2000015</v>
      </c>
      <c r="D73" s="9" t="n">
        <v>16</v>
      </c>
      <c r="E73" s="9" t="n">
        <v>70</v>
      </c>
      <c r="F73" s="9" t="n">
        <v>145</v>
      </c>
      <c r="G73" s="9" t="n">
        <v>194</v>
      </c>
      <c r="H73" s="9" t="n">
        <v>78</v>
      </c>
      <c r="I73" s="9" t="n">
        <v>153</v>
      </c>
      <c r="J73" s="9" t="n">
        <v>153</v>
      </c>
      <c r="K73" s="9" t="n">
        <v>96</v>
      </c>
      <c r="L73" s="9" t="n">
        <v>188</v>
      </c>
      <c r="M73" s="9" t="n">
        <v>117</v>
      </c>
      <c r="N73" s="9" t="n">
        <v>85</v>
      </c>
      <c r="O73" s="9" t="n">
        <v>124</v>
      </c>
      <c r="P73" s="9" t="n">
        <v>169</v>
      </c>
      <c r="Q73" s="9" t="n">
        <v>93</v>
      </c>
      <c r="R73" s="9" t="n">
        <v>132</v>
      </c>
      <c r="S73" s="9" t="n">
        <v>98</v>
      </c>
      <c r="T73" s="9" t="n">
        <v>65</v>
      </c>
      <c r="U73" s="9" t="n">
        <v>99</v>
      </c>
      <c r="V73" s="9" t="n">
        <v>137</v>
      </c>
      <c r="W73" s="9" t="n">
        <v>142</v>
      </c>
      <c r="X73" s="9" t="n">
        <v>112</v>
      </c>
      <c r="Y73" s="9" t="n">
        <v>121</v>
      </c>
      <c r="Z73" s="9" t="n">
        <v>88</v>
      </c>
      <c r="AA73" s="9" t="n">
        <v>161</v>
      </c>
      <c r="AB73" s="9" t="n">
        <v>153</v>
      </c>
      <c r="AC73" s="9" t="n">
        <v>161</v>
      </c>
      <c r="AD73" s="9" t="n">
        <v>126</v>
      </c>
      <c r="AE73" s="9" t="n">
        <v>191</v>
      </c>
      <c r="AF73" s="9" t="n">
        <v>111</v>
      </c>
      <c r="AG73" s="9" t="n">
        <v>205</v>
      </c>
      <c r="AH73" s="9" t="n">
        <v>198</v>
      </c>
      <c r="AI73" s="9" t="n">
        <v>142</v>
      </c>
      <c r="AJ73" s="9" t="n">
        <v>188</v>
      </c>
      <c r="AK73" s="9" t="n">
        <v>122</v>
      </c>
      <c r="AL73" s="9" t="n">
        <v>125</v>
      </c>
      <c r="AM73" s="9" t="n">
        <v>121</v>
      </c>
      <c r="AN73" s="9" t="n">
        <v>108</v>
      </c>
      <c r="AO73" s="9" t="n">
        <v>78</v>
      </c>
      <c r="AP73" s="9" t="n">
        <v>117</v>
      </c>
      <c r="AQ73" s="9" t="n">
        <v>115</v>
      </c>
      <c r="AR73" s="9" t="n">
        <v>166</v>
      </c>
      <c r="AS73" s="9" t="n">
        <v>106</v>
      </c>
      <c r="AT73" s="9" t="n">
        <v>85</v>
      </c>
      <c r="AU73" s="9" t="n">
        <v>51</v>
      </c>
      <c r="AV73" s="9" t="n">
        <v>81</v>
      </c>
      <c r="AW73" s="9" t="n">
        <v>47</v>
      </c>
      <c r="AX73" s="9" t="n">
        <v>69</v>
      </c>
      <c r="AY73" s="9" t="n">
        <v>50</v>
      </c>
      <c r="AZ73" s="9" t="n">
        <v>84</v>
      </c>
      <c r="BA73" s="9" t="n">
        <v>109</v>
      </c>
      <c r="BB73" s="9" t="n">
        <v>74</v>
      </c>
      <c r="BC73" s="9" t="n">
        <v>76</v>
      </c>
      <c r="BD73" s="9" t="n">
        <v>100</v>
      </c>
      <c r="BE73" s="9" t="n">
        <v>69</v>
      </c>
      <c r="BF73" s="9" t="n">
        <v>63</v>
      </c>
      <c r="BG73" s="9" t="n">
        <v>82</v>
      </c>
      <c r="BH73" s="9" t="n">
        <v>83</v>
      </c>
      <c r="BI73" s="9" t="n">
        <v>95</v>
      </c>
      <c r="BJ73" s="9" t="n">
        <v>107</v>
      </c>
      <c r="BK73" s="9" t="n">
        <v>109</v>
      </c>
      <c r="BL73" s="9" t="n">
        <v>86</v>
      </c>
      <c r="BM73" s="9" t="n">
        <v>66</v>
      </c>
      <c r="BN73" s="9" t="n">
        <v>68</v>
      </c>
      <c r="BO73" s="9" t="n">
        <v>80</v>
      </c>
      <c r="BP73" s="9" t="n">
        <v>79</v>
      </c>
      <c r="BQ73" s="9" t="n">
        <v>47</v>
      </c>
      <c r="BR73" s="9" t="n">
        <v>84</v>
      </c>
      <c r="BS73" s="9" t="n">
        <v>23</v>
      </c>
      <c r="BT73" s="9" t="n">
        <v>37</v>
      </c>
      <c r="BU73" s="10" t="n">
        <v>7373</v>
      </c>
      <c r="BV73" s="11" t="n">
        <f aca="false">IF(ISERROR(ROUND(MEDIAN(BQ73:BT73),0)),0,ROUND(MEDIAN(BQ73:BT73),0))</f>
        <v>42</v>
      </c>
      <c r="BW73" s="11" t="n">
        <f aca="false">IF(ISERROR(ROUND(MEDIAN(BM73:BT73),0)),0,ROUND(MEDIAN(BM73:BT73),0))</f>
        <v>67</v>
      </c>
      <c r="BX73" s="11" t="n">
        <f aca="false">IF(ISERROR(ROUND(MEDIAN(BI73:BT73),0)),0,ROUND(MEDIAN(BI73:BT73),0))</f>
        <v>80</v>
      </c>
      <c r="BY73" s="11" t="n">
        <f aca="false">IF(ISERROR(ROUND(MEDIAN(BE73:BT73),0)),0,ROUND(MEDIAN(BE73:BT73),0))</f>
        <v>80</v>
      </c>
      <c r="BZ73" s="11" t="n">
        <f aca="false">IF(ISERROR(ROUND(MEDIAN(AU73:BT73),0)),0,ROUND(MEDIAN(AU73:BT73),0))</f>
        <v>78</v>
      </c>
      <c r="CA73" s="12" t="n">
        <f aca="false">IF(ISERROR(ROUND(MEDIAN(U73:BT73),0)),0,ROUND(MEDIAN(U73:BT73),0))</f>
        <v>100</v>
      </c>
      <c r="CB73" s="12" t="n">
        <f aca="false">IF(ISERROR(ROUND(MEDIAN(BT73),0)),0,ROUND(MEDIAN(BT73),0))</f>
        <v>37</v>
      </c>
      <c r="CC73" s="12" t="n">
        <f aca="false">IF(ISERROR(ROUND(MEDIAN(D73:BT73),0)),0,ROUND(MEDIAN(D73:BT73),0))</f>
        <v>100</v>
      </c>
      <c r="CD73" s="12" t="n">
        <f aca="false">MAX(D73:BT73)</f>
        <v>205</v>
      </c>
      <c r="CE73" s="7" t="n">
        <f aca="false">COUNTA(BQ73:BT73)</f>
        <v>4</v>
      </c>
      <c r="CF73" s="7" t="n">
        <f aca="false">COUNTA(BM73:BT73)</f>
        <v>8</v>
      </c>
      <c r="CG73" s="7" t="n">
        <f aca="false">COUNTA(BI73:BT73)</f>
        <v>12</v>
      </c>
      <c r="CH73" s="7" t="n">
        <f aca="false">COUNTA(BE73:BT73)</f>
        <v>16</v>
      </c>
      <c r="CI73" s="7" t="n">
        <f aca="false">COUNTA(AU73:BT73)</f>
        <v>26</v>
      </c>
      <c r="CJ73" s="7" t="n">
        <f aca="false">COUNTA(U73:BT73)</f>
        <v>52</v>
      </c>
      <c r="CK73" s="7" t="n">
        <f aca="false">COUNTA(BT73)</f>
        <v>1</v>
      </c>
      <c r="CL73" s="7" t="n">
        <f aca="false">COUNTA(D73:BT73)</f>
        <v>69</v>
      </c>
      <c r="CM73" s="13" t="str">
        <f aca="false">IF(AND(CE73=1,CJ73=1,BT73&lt;&gt;""),"5.ENTRANTES",IF(AND(CE73&lt;&gt;0,CE73/RIGHT($CE$1,1)&gt;=0.5,CJ73=CE73),"4.RECENTES",IF(AND(CF73&lt;&gt;0,CF73/RIGHT($CF$1,1)&gt;=0.5,CJ73=CF73),"4.RECENTES",IF(AND(CG73&lt;&gt;0,CG73/RIGHT($CG$1,2)&gt;=0.5,CJ73=CG73),"4.RECENTES",IF(AND(CH73&lt;&gt;0,CH73/RIGHT($CH$1,2)&gt;=0.5,CJ73=CH73),"4.RECENTES",IF(AND(CI73&lt;&gt;0,CI73/RIGHT($CI$1,2)&gt;=0.5,CJ73=CI73),"4.RECENTES",IF(AND(CE73=0,CF73=0,CG73=0,CH73=0),"3.INATIVOS",IF(CJ73/RIGHT($CJ$1,2)&lt;0.5,"2.INTERMITENTES","1.ORDINÁRIOS"))))))))</f>
        <v>1.ORDINÁRIOS</v>
      </c>
      <c r="CN73" s="14" t="n">
        <f aca="false">IF(AND(CE73=1,CJ73=1,BT73&lt;&gt;""),BT73,IF(AND(CE73&lt;&gt;0,CE73/RIGHT($CE$1,1)&gt;=0.5,CJ73=CE73),MAX(BV73:CC73),IF(AND(CF73&lt;&gt;0,CF73/RIGHT($CF$1,1)&gt;=0.5,CJ73=CF73),MAX(BV73:CC73),IF(AND(CG73&lt;&gt;0,CG73/RIGHT($CG$1,2)&gt;=0.5,CJ73=CG73),MAX(BV73:CC73),IF(AND(CH73&lt;&gt;0,CH73/RIGHT($CH$1,2)&gt;=0.5,CJ73=CH73),MAX(BV73:CC73),IF(AND(CI73&lt;&gt;0,CI73/RIGHT($CI$1,2)&gt;=0.5,CJ73=CI73),MAX(BV73:CC73),IF(AND(CE73=0,CF73=0,CG73=0,CH73=0),0,IF(CJ73/RIGHT($CJ$1,2)&lt;0.5,ROUND(BU73/RIGHT($CJ$1,2),0),MAX(BV73:CC73)))))))))</f>
        <v>100</v>
      </c>
      <c r="CO73" s="14" t="n">
        <f aca="false">CN73*3</f>
        <v>300</v>
      </c>
      <c r="CP73" s="15" t="n">
        <v>263</v>
      </c>
      <c r="CQ73" s="16" t="n">
        <f aca="false">IF((CO73-CP73)&lt;0,0,(CO73-CP73))</f>
        <v>37</v>
      </c>
      <c r="CR73" s="7"/>
    </row>
    <row r="74" customFormat="false" ht="12.75" hidden="false" customHeight="true" outlineLevel="0" collapsed="false">
      <c r="A74" s="7" t="s">
        <v>95</v>
      </c>
      <c r="B74" s="7" t="s">
        <v>168</v>
      </c>
      <c r="C74" s="8" t="n">
        <v>307001001</v>
      </c>
      <c r="D74" s="9"/>
      <c r="E74" s="9" t="n">
        <v>270</v>
      </c>
      <c r="F74" s="9" t="n">
        <v>540</v>
      </c>
      <c r="G74" s="9" t="n">
        <v>240</v>
      </c>
      <c r="H74" s="9" t="n">
        <v>150</v>
      </c>
      <c r="I74" s="9" t="n">
        <v>180</v>
      </c>
      <c r="J74" s="9" t="n">
        <v>450</v>
      </c>
      <c r="K74" s="9" t="n">
        <v>390</v>
      </c>
      <c r="L74" s="9" t="n">
        <v>180</v>
      </c>
      <c r="M74" s="9" t="n">
        <v>240</v>
      </c>
      <c r="N74" s="9" t="n">
        <v>330</v>
      </c>
      <c r="O74" s="9" t="n">
        <v>390</v>
      </c>
      <c r="P74" s="9" t="n">
        <v>60</v>
      </c>
      <c r="Q74" s="9" t="n">
        <v>240</v>
      </c>
      <c r="R74" s="9" t="n">
        <v>300</v>
      </c>
      <c r="S74" s="9" t="n">
        <v>450</v>
      </c>
      <c r="T74" s="9" t="n">
        <v>90</v>
      </c>
      <c r="U74" s="9" t="n">
        <v>240</v>
      </c>
      <c r="V74" s="9" t="n">
        <v>330</v>
      </c>
      <c r="W74" s="9" t="n">
        <v>270</v>
      </c>
      <c r="X74" s="9" t="n">
        <v>240</v>
      </c>
      <c r="Y74" s="9" t="n">
        <v>120</v>
      </c>
      <c r="Z74" s="9" t="n">
        <v>270</v>
      </c>
      <c r="AA74" s="9" t="n">
        <v>300</v>
      </c>
      <c r="AB74" s="9" t="n">
        <v>240</v>
      </c>
      <c r="AC74" s="9" t="n">
        <v>360</v>
      </c>
      <c r="AD74" s="9" t="n">
        <v>180</v>
      </c>
      <c r="AE74" s="9" t="n">
        <v>600</v>
      </c>
      <c r="AF74" s="9" t="n">
        <v>180</v>
      </c>
      <c r="AG74" s="9" t="n">
        <v>420</v>
      </c>
      <c r="AH74" s="9" t="n">
        <v>660</v>
      </c>
      <c r="AI74" s="9" t="n">
        <v>510</v>
      </c>
      <c r="AJ74" s="9" t="n">
        <v>510</v>
      </c>
      <c r="AK74" s="9" t="n">
        <v>360</v>
      </c>
      <c r="AL74" s="9" t="n">
        <v>480</v>
      </c>
      <c r="AM74" s="9" t="n">
        <v>630</v>
      </c>
      <c r="AN74" s="9" t="n">
        <v>660</v>
      </c>
      <c r="AO74" s="9" t="n">
        <v>450</v>
      </c>
      <c r="AP74" s="9" t="n">
        <v>480</v>
      </c>
      <c r="AQ74" s="9" t="n">
        <v>480</v>
      </c>
      <c r="AR74" s="9" t="n">
        <v>720</v>
      </c>
      <c r="AS74" s="9" t="n">
        <v>420</v>
      </c>
      <c r="AT74" s="9" t="n">
        <v>480</v>
      </c>
      <c r="AU74" s="9" t="n">
        <v>360</v>
      </c>
      <c r="AV74" s="9" t="n">
        <v>570</v>
      </c>
      <c r="AW74" s="9" t="n">
        <v>480</v>
      </c>
      <c r="AX74" s="9" t="n">
        <v>300</v>
      </c>
      <c r="AY74" s="9" t="n">
        <v>330</v>
      </c>
      <c r="AZ74" s="9" t="n">
        <v>330</v>
      </c>
      <c r="BA74" s="9" t="n">
        <v>240</v>
      </c>
      <c r="BB74" s="9" t="n">
        <v>330</v>
      </c>
      <c r="BC74" s="9" t="n">
        <v>420</v>
      </c>
      <c r="BD74" s="9" t="n">
        <v>210</v>
      </c>
      <c r="BE74" s="9" t="n">
        <v>360</v>
      </c>
      <c r="BF74" s="9" t="n">
        <v>90</v>
      </c>
      <c r="BG74" s="9" t="n">
        <v>390</v>
      </c>
      <c r="BH74" s="9" t="n">
        <v>180</v>
      </c>
      <c r="BI74" s="9" t="n">
        <v>300</v>
      </c>
      <c r="BJ74" s="9" t="n">
        <v>180</v>
      </c>
      <c r="BK74" s="9" t="n">
        <v>150</v>
      </c>
      <c r="BL74" s="9" t="n">
        <v>300</v>
      </c>
      <c r="BM74" s="9" t="n">
        <v>210</v>
      </c>
      <c r="BN74" s="9" t="n">
        <v>330</v>
      </c>
      <c r="BO74" s="9" t="n">
        <v>270</v>
      </c>
      <c r="BP74" s="9" t="n">
        <v>270</v>
      </c>
      <c r="BQ74" s="9" t="n">
        <v>360</v>
      </c>
      <c r="BR74" s="9" t="n">
        <v>120</v>
      </c>
      <c r="BS74" s="9" t="n">
        <v>360</v>
      </c>
      <c r="BT74" s="9" t="n">
        <v>60</v>
      </c>
      <c r="BU74" s="10" t="n">
        <v>22590</v>
      </c>
      <c r="BV74" s="11" t="n">
        <f aca="false">IF(ISERROR(ROUND(MEDIAN(BQ74:BT74),0)),0,ROUND(MEDIAN(BQ74:BT74),0))</f>
        <v>240</v>
      </c>
      <c r="BW74" s="11" t="n">
        <f aca="false">IF(ISERROR(ROUND(MEDIAN(BM74:BT74),0)),0,ROUND(MEDIAN(BM74:BT74),0))</f>
        <v>270</v>
      </c>
      <c r="BX74" s="11" t="n">
        <f aca="false">IF(ISERROR(ROUND(MEDIAN(BI74:BT74),0)),0,ROUND(MEDIAN(BI74:BT74),0))</f>
        <v>270</v>
      </c>
      <c r="BY74" s="11" t="n">
        <f aca="false">IF(ISERROR(ROUND(MEDIAN(BE74:BT74),0)),0,ROUND(MEDIAN(BE74:BT74),0))</f>
        <v>270</v>
      </c>
      <c r="BZ74" s="11" t="n">
        <f aca="false">IF(ISERROR(ROUND(MEDIAN(AU74:BT74),0)),0,ROUND(MEDIAN(AU74:BT74),0))</f>
        <v>300</v>
      </c>
      <c r="CA74" s="12" t="n">
        <f aca="false">IF(ISERROR(ROUND(MEDIAN(U74:BT74),0)),0,ROUND(MEDIAN(U74:BT74),0))</f>
        <v>330</v>
      </c>
      <c r="CB74" s="12" t="n">
        <f aca="false">IF(ISERROR(ROUND(MEDIAN(BT74),0)),0,ROUND(MEDIAN(BT74),0))</f>
        <v>60</v>
      </c>
      <c r="CC74" s="12" t="n">
        <f aca="false">IF(ISERROR(ROUND(MEDIAN(D74:BT74),0)),0,ROUND(MEDIAN(D74:BT74),0))</f>
        <v>330</v>
      </c>
      <c r="CD74" s="12" t="n">
        <f aca="false">MAX(D74:BT74)</f>
        <v>720</v>
      </c>
      <c r="CE74" s="7" t="n">
        <f aca="false">COUNTA(BQ74:BT74)</f>
        <v>4</v>
      </c>
      <c r="CF74" s="7" t="n">
        <f aca="false">COUNTA(BM74:BT74)</f>
        <v>8</v>
      </c>
      <c r="CG74" s="7" t="n">
        <f aca="false">COUNTA(BI74:BT74)</f>
        <v>12</v>
      </c>
      <c r="CH74" s="7" t="n">
        <f aca="false">COUNTA(BE74:BT74)</f>
        <v>16</v>
      </c>
      <c r="CI74" s="7" t="n">
        <f aca="false">COUNTA(AU74:BT74)</f>
        <v>26</v>
      </c>
      <c r="CJ74" s="7" t="n">
        <f aca="false">COUNTA(U74:BT74)</f>
        <v>52</v>
      </c>
      <c r="CK74" s="7" t="n">
        <f aca="false">COUNTA(BT74)</f>
        <v>1</v>
      </c>
      <c r="CL74" s="7" t="n">
        <f aca="false">COUNTA(D74:BT74)</f>
        <v>68</v>
      </c>
      <c r="CM74" s="13" t="str">
        <f aca="false">IF(AND(CE74=1,CJ74=1,BT74&lt;&gt;""),"5.ENTRANTES",IF(AND(CE74&lt;&gt;0,CE74/RIGHT($CE$1,1)&gt;=0.5,CJ74=CE74),"4.RECENTES",IF(AND(CF74&lt;&gt;0,CF74/RIGHT($CF$1,1)&gt;=0.5,CJ74=CF74),"4.RECENTES",IF(AND(CG74&lt;&gt;0,CG74/RIGHT($CG$1,2)&gt;=0.5,CJ74=CG74),"4.RECENTES",IF(AND(CH74&lt;&gt;0,CH74/RIGHT($CH$1,2)&gt;=0.5,CJ74=CH74),"4.RECENTES",IF(AND(CI74&lt;&gt;0,CI74/RIGHT($CI$1,2)&gt;=0.5,CJ74=CI74),"4.RECENTES",IF(AND(CE74=0,CF74=0,CG74=0,CH74=0),"3.INATIVOS",IF(CJ74/RIGHT($CJ$1,2)&lt;0.5,"2.INTERMITENTES","1.ORDINÁRIOS"))))))))</f>
        <v>1.ORDINÁRIOS</v>
      </c>
      <c r="CN74" s="14" t="n">
        <f aca="false">IF(AND(CE74=1,CJ74=1,BT74&lt;&gt;""),BT74,IF(AND(CE74&lt;&gt;0,CE74/RIGHT($CE$1,1)&gt;=0.5,CJ74=CE74),MAX(BV74:CC74),IF(AND(CF74&lt;&gt;0,CF74/RIGHT($CF$1,1)&gt;=0.5,CJ74=CF74),MAX(BV74:CC74),IF(AND(CG74&lt;&gt;0,CG74/RIGHT($CG$1,2)&gt;=0.5,CJ74=CG74),MAX(BV74:CC74),IF(AND(CH74&lt;&gt;0,CH74/RIGHT($CH$1,2)&gt;=0.5,CJ74=CH74),MAX(BV74:CC74),IF(AND(CI74&lt;&gt;0,CI74/RIGHT($CI$1,2)&gt;=0.5,CJ74=CI74),MAX(BV74:CC74),IF(AND(CE74=0,CF74=0,CG74=0,CH74=0),0,IF(CJ74/RIGHT($CJ$1,2)&lt;0.5,ROUND(BU74/RIGHT($CJ$1,2),0),MAX(BV74:CC74)))))))))</f>
        <v>330</v>
      </c>
      <c r="CO74" s="14" t="n">
        <f aca="false">CN74*3</f>
        <v>990</v>
      </c>
      <c r="CP74" s="15" t="n">
        <v>690</v>
      </c>
      <c r="CQ74" s="16" t="n">
        <f aca="false">IF((CO74-CP74)&lt;0,0,(CO74-CP74))</f>
        <v>300</v>
      </c>
      <c r="CR74" s="7"/>
    </row>
    <row r="75" customFormat="false" ht="12.75" hidden="false" customHeight="true" outlineLevel="0" collapsed="false">
      <c r="A75" s="7" t="s">
        <v>95</v>
      </c>
      <c r="B75" s="7" t="s">
        <v>169</v>
      </c>
      <c r="C75" s="8" t="n">
        <v>21001094</v>
      </c>
      <c r="D75" s="9" t="n">
        <v>30</v>
      </c>
      <c r="E75" s="9" t="n">
        <v>60</v>
      </c>
      <c r="F75" s="9" t="n">
        <v>90</v>
      </c>
      <c r="G75" s="9" t="n">
        <v>60</v>
      </c>
      <c r="H75" s="9" t="n">
        <v>30</v>
      </c>
      <c r="I75" s="9" t="n">
        <v>30</v>
      </c>
      <c r="J75" s="9" t="n">
        <v>150</v>
      </c>
      <c r="K75" s="9" t="n">
        <v>93</v>
      </c>
      <c r="L75" s="9"/>
      <c r="M75" s="9"/>
      <c r="N75" s="9" t="n">
        <v>150</v>
      </c>
      <c r="O75" s="9" t="n">
        <v>120</v>
      </c>
      <c r="P75" s="9" t="n">
        <v>60</v>
      </c>
      <c r="Q75" s="9" t="n">
        <v>30</v>
      </c>
      <c r="R75" s="9" t="n">
        <v>30</v>
      </c>
      <c r="S75" s="9" t="n">
        <v>120</v>
      </c>
      <c r="T75" s="9" t="n">
        <v>60</v>
      </c>
      <c r="U75" s="9" t="n">
        <v>170</v>
      </c>
      <c r="V75" s="9" t="n">
        <v>60</v>
      </c>
      <c r="W75" s="9" t="n">
        <v>120</v>
      </c>
      <c r="X75" s="9" t="n">
        <v>30</v>
      </c>
      <c r="Y75" s="9"/>
      <c r="Z75" s="9" t="n">
        <v>60</v>
      </c>
      <c r="AA75" s="9" t="n">
        <v>150</v>
      </c>
      <c r="AB75" s="9" t="n">
        <v>120</v>
      </c>
      <c r="AC75" s="9"/>
      <c r="AD75" s="9" t="n">
        <v>90</v>
      </c>
      <c r="AE75" s="9" t="n">
        <v>30</v>
      </c>
      <c r="AF75" s="9"/>
      <c r="AG75" s="9"/>
      <c r="AH75" s="9"/>
      <c r="AI75" s="9"/>
      <c r="AJ75" s="9"/>
      <c r="AK75" s="9"/>
      <c r="AL75" s="9" t="n">
        <v>90</v>
      </c>
      <c r="AM75" s="9"/>
      <c r="AN75" s="9"/>
      <c r="AO75" s="9"/>
      <c r="AP75" s="9" t="n">
        <v>30</v>
      </c>
      <c r="AQ75" s="9"/>
      <c r="AR75" s="9"/>
      <c r="AS75" s="9"/>
      <c r="AT75" s="9"/>
      <c r="AU75" s="9"/>
      <c r="AV75" s="9"/>
      <c r="AW75" s="9" t="n">
        <v>60</v>
      </c>
      <c r="AX75" s="9" t="n">
        <v>120</v>
      </c>
      <c r="AY75" s="9" t="n">
        <v>60</v>
      </c>
      <c r="AZ75" s="9" t="n">
        <v>30</v>
      </c>
      <c r="BA75" s="9" t="n">
        <v>150</v>
      </c>
      <c r="BB75" s="9" t="n">
        <v>60</v>
      </c>
      <c r="BC75" s="9" t="n">
        <v>60</v>
      </c>
      <c r="BD75" s="9" t="n">
        <v>30</v>
      </c>
      <c r="BE75" s="9" t="n">
        <v>150</v>
      </c>
      <c r="BF75" s="9" t="n">
        <v>150</v>
      </c>
      <c r="BG75" s="9" t="n">
        <v>150</v>
      </c>
      <c r="BH75" s="9"/>
      <c r="BI75" s="9" t="n">
        <v>120</v>
      </c>
      <c r="BJ75" s="9" t="n">
        <v>210</v>
      </c>
      <c r="BK75" s="9" t="n">
        <v>30</v>
      </c>
      <c r="BL75" s="9" t="n">
        <v>90</v>
      </c>
      <c r="BM75" s="9" t="n">
        <v>30</v>
      </c>
      <c r="BN75" s="9" t="n">
        <v>150</v>
      </c>
      <c r="BO75" s="9" t="n">
        <v>60</v>
      </c>
      <c r="BP75" s="9" t="n">
        <v>90</v>
      </c>
      <c r="BQ75" s="9" t="n">
        <v>30</v>
      </c>
      <c r="BR75" s="9" t="n">
        <v>90</v>
      </c>
      <c r="BS75" s="9" t="n">
        <v>150</v>
      </c>
      <c r="BT75" s="9" t="n">
        <v>60</v>
      </c>
      <c r="BU75" s="10" t="n">
        <v>4193</v>
      </c>
      <c r="BV75" s="11" t="n">
        <f aca="false">IF(ISERROR(ROUND(MEDIAN(BQ75:BT75),0)),0,ROUND(MEDIAN(BQ75:BT75),0))</f>
        <v>75</v>
      </c>
      <c r="BW75" s="11" t="n">
        <f aca="false">IF(ISERROR(ROUND(MEDIAN(BM75:BT75),0)),0,ROUND(MEDIAN(BM75:BT75),0))</f>
        <v>75</v>
      </c>
      <c r="BX75" s="11" t="n">
        <f aca="false">IF(ISERROR(ROUND(MEDIAN(BI75:BT75),0)),0,ROUND(MEDIAN(BI75:BT75),0))</f>
        <v>90</v>
      </c>
      <c r="BY75" s="11" t="n">
        <f aca="false">IF(ISERROR(ROUND(MEDIAN(BE75:BT75),0)),0,ROUND(MEDIAN(BE75:BT75),0))</f>
        <v>90</v>
      </c>
      <c r="BZ75" s="11" t="n">
        <f aca="false">IF(ISERROR(ROUND(MEDIAN(AU75:BT75),0)),0,ROUND(MEDIAN(AU75:BT75),0))</f>
        <v>90</v>
      </c>
      <c r="CA75" s="12" t="n">
        <f aca="false">IF(ISERROR(ROUND(MEDIAN(U75:BT75),0)),0,ROUND(MEDIAN(U75:BT75),0))</f>
        <v>90</v>
      </c>
      <c r="CB75" s="12" t="n">
        <f aca="false">IF(ISERROR(ROUND(MEDIAN(BT75),0)),0,ROUND(MEDIAN(BT75),0))</f>
        <v>60</v>
      </c>
      <c r="CC75" s="12" t="n">
        <f aca="false">IF(ISERROR(ROUND(MEDIAN(D75:BT75),0)),0,ROUND(MEDIAN(D75:BT75),0))</f>
        <v>60</v>
      </c>
      <c r="CD75" s="12" t="n">
        <f aca="false">MAX(D75:BT75)</f>
        <v>210</v>
      </c>
      <c r="CE75" s="7" t="n">
        <f aca="false">COUNTA(BQ75:BT75)</f>
        <v>4</v>
      </c>
      <c r="CF75" s="7" t="n">
        <f aca="false">COUNTA(BM75:BT75)</f>
        <v>8</v>
      </c>
      <c r="CG75" s="7" t="n">
        <f aca="false">COUNTA(BI75:BT75)</f>
        <v>12</v>
      </c>
      <c r="CH75" s="7" t="n">
        <f aca="false">COUNTA(BE75:BT75)</f>
        <v>15</v>
      </c>
      <c r="CI75" s="7" t="n">
        <f aca="false">COUNTA(AU75:BT75)</f>
        <v>23</v>
      </c>
      <c r="CJ75" s="7" t="n">
        <f aca="false">COUNTA(U75:BT75)</f>
        <v>34</v>
      </c>
      <c r="CK75" s="7" t="n">
        <f aca="false">COUNTA(BT75)</f>
        <v>1</v>
      </c>
      <c r="CL75" s="7" t="n">
        <f aca="false">COUNTA(D75:BT75)</f>
        <v>49</v>
      </c>
      <c r="CM75" s="13" t="str">
        <f aca="false">IF(AND(CE75=1,CJ75=1,BT75&lt;&gt;""),"5.ENTRANTES",IF(AND(CE75&lt;&gt;0,CE75/RIGHT($CE$1,1)&gt;=0.5,CJ75=CE75),"4.RECENTES",IF(AND(CF75&lt;&gt;0,CF75/RIGHT($CF$1,1)&gt;=0.5,CJ75=CF75),"4.RECENTES",IF(AND(CG75&lt;&gt;0,CG75/RIGHT($CG$1,2)&gt;=0.5,CJ75=CG75),"4.RECENTES",IF(AND(CH75&lt;&gt;0,CH75/RIGHT($CH$1,2)&gt;=0.5,CJ75=CH75),"4.RECENTES",IF(AND(CI75&lt;&gt;0,CI75/RIGHT($CI$1,2)&gt;=0.5,CJ75=CI75),"4.RECENTES",IF(AND(CE75=0,CF75=0,CG75=0,CH75=0),"3.INATIVOS",IF(CJ75/RIGHT($CJ$1,2)&lt;0.5,"2.INTERMITENTES","1.ORDINÁRIOS"))))))))</f>
        <v>1.ORDINÁRIOS</v>
      </c>
      <c r="CN75" s="14" t="n">
        <f aca="false">IF(AND(CE75=1,CJ75=1,BT75&lt;&gt;""),BT75,IF(AND(CE75&lt;&gt;0,CE75/RIGHT($CE$1,1)&gt;=0.5,CJ75=CE75),MAX(BV75:CC75),IF(AND(CF75&lt;&gt;0,CF75/RIGHT($CF$1,1)&gt;=0.5,CJ75=CF75),MAX(BV75:CC75),IF(AND(CG75&lt;&gt;0,CG75/RIGHT($CG$1,2)&gt;=0.5,CJ75=CG75),MAX(BV75:CC75),IF(AND(CH75&lt;&gt;0,CH75/RIGHT($CH$1,2)&gt;=0.5,CJ75=CH75),MAX(BV75:CC75),IF(AND(CI75&lt;&gt;0,CI75/RIGHT($CI$1,2)&gt;=0.5,CJ75=CI75),MAX(BV75:CC75),IF(AND(CE75=0,CF75=0,CG75=0,CH75=0),0,IF(CJ75/RIGHT($CJ$1,2)&lt;0.5,ROUND(BU75/RIGHT($CJ$1,2),0),MAX(BV75:CC75)))))))))</f>
        <v>90</v>
      </c>
      <c r="CO75" s="14" t="n">
        <f aca="false">CN75*3</f>
        <v>270</v>
      </c>
      <c r="CP75" s="15" t="n">
        <v>270</v>
      </c>
      <c r="CQ75" s="16" t="n">
        <f aca="false">IF((CO75-CP75)&lt;0,0,(CO75-CP75))</f>
        <v>0</v>
      </c>
      <c r="CR75" s="7"/>
    </row>
    <row r="76" customFormat="false" ht="12.75" hidden="false" customHeight="true" outlineLevel="0" collapsed="false">
      <c r="A76" s="7" t="s">
        <v>95</v>
      </c>
      <c r="B76" s="7" t="s">
        <v>170</v>
      </c>
      <c r="C76" s="8" t="n">
        <v>11001002</v>
      </c>
      <c r="D76" s="9"/>
      <c r="E76" s="9" t="n">
        <v>5</v>
      </c>
      <c r="F76" s="9" t="n">
        <v>19</v>
      </c>
      <c r="G76" s="9" t="n">
        <v>23</v>
      </c>
      <c r="H76" s="9" t="n">
        <v>9</v>
      </c>
      <c r="I76" s="9" t="n">
        <v>14</v>
      </c>
      <c r="J76" s="9" t="n">
        <v>15</v>
      </c>
      <c r="K76" s="9" t="n">
        <v>16</v>
      </c>
      <c r="L76" s="9" t="n">
        <v>20</v>
      </c>
      <c r="M76" s="9" t="n">
        <v>13</v>
      </c>
      <c r="N76" s="9" t="n">
        <v>10</v>
      </c>
      <c r="O76" s="9" t="n">
        <v>13</v>
      </c>
      <c r="P76" s="9" t="n">
        <v>21</v>
      </c>
      <c r="Q76" s="9" t="n">
        <v>20</v>
      </c>
      <c r="R76" s="9" t="n">
        <v>18</v>
      </c>
      <c r="S76" s="9" t="n">
        <v>10</v>
      </c>
      <c r="T76" s="9" t="n">
        <v>26</v>
      </c>
      <c r="U76" s="9" t="n">
        <v>24</v>
      </c>
      <c r="V76" s="9" t="n">
        <v>30</v>
      </c>
      <c r="W76" s="9" t="n">
        <v>37</v>
      </c>
      <c r="X76" s="9" t="n">
        <v>29</v>
      </c>
      <c r="Y76" s="9" t="n">
        <v>12</v>
      </c>
      <c r="Z76" s="9" t="n">
        <v>13</v>
      </c>
      <c r="AA76" s="9" t="n">
        <v>31</v>
      </c>
      <c r="AB76" s="9" t="n">
        <v>42</v>
      </c>
      <c r="AC76" s="9" t="n">
        <v>45</v>
      </c>
      <c r="AD76" s="9" t="n">
        <v>29</v>
      </c>
      <c r="AE76" s="9" t="n">
        <v>33</v>
      </c>
      <c r="AF76" s="9" t="n">
        <v>28</v>
      </c>
      <c r="AG76" s="9" t="n">
        <v>31</v>
      </c>
      <c r="AH76" s="9" t="n">
        <v>35</v>
      </c>
      <c r="AI76" s="9" t="n">
        <v>23</v>
      </c>
      <c r="AJ76" s="9" t="n">
        <v>28</v>
      </c>
      <c r="AK76" s="9" t="n">
        <v>25</v>
      </c>
      <c r="AL76" s="9" t="n">
        <v>17</v>
      </c>
      <c r="AM76" s="9" t="n">
        <v>19</v>
      </c>
      <c r="AN76" s="9" t="n">
        <v>18</v>
      </c>
      <c r="AO76" s="9" t="n">
        <v>12</v>
      </c>
      <c r="AP76" s="9" t="n">
        <v>15</v>
      </c>
      <c r="AQ76" s="9" t="n">
        <v>11</v>
      </c>
      <c r="AR76" s="9" t="n">
        <v>14</v>
      </c>
      <c r="AS76" s="9" t="n">
        <v>14</v>
      </c>
      <c r="AT76" s="9" t="n">
        <v>9</v>
      </c>
      <c r="AU76" s="9" t="n">
        <v>3</v>
      </c>
      <c r="AV76" s="9" t="n">
        <v>6</v>
      </c>
      <c r="AW76" s="9" t="n">
        <v>17</v>
      </c>
      <c r="AX76" s="9" t="n">
        <v>8</v>
      </c>
      <c r="AY76" s="9" t="n">
        <v>3</v>
      </c>
      <c r="AZ76" s="9" t="n">
        <v>8</v>
      </c>
      <c r="BA76" s="9" t="n">
        <v>10</v>
      </c>
      <c r="BB76" s="9" t="n">
        <v>8</v>
      </c>
      <c r="BC76" s="9" t="n">
        <v>3</v>
      </c>
      <c r="BD76" s="9" t="n">
        <v>7</v>
      </c>
      <c r="BE76" s="9" t="n">
        <v>10</v>
      </c>
      <c r="BF76" s="9" t="n">
        <v>6</v>
      </c>
      <c r="BG76" s="9" t="n">
        <v>9</v>
      </c>
      <c r="BH76" s="9" t="n">
        <v>10</v>
      </c>
      <c r="BI76" s="9" t="n">
        <v>8</v>
      </c>
      <c r="BJ76" s="9" t="n">
        <v>14</v>
      </c>
      <c r="BK76" s="9" t="n">
        <v>9</v>
      </c>
      <c r="BL76" s="9" t="n">
        <v>10</v>
      </c>
      <c r="BM76" s="9" t="n">
        <v>16</v>
      </c>
      <c r="BN76" s="9" t="n">
        <v>8</v>
      </c>
      <c r="BO76" s="9" t="n">
        <v>6</v>
      </c>
      <c r="BP76" s="9" t="n">
        <v>8</v>
      </c>
      <c r="BQ76" s="9" t="n">
        <v>15</v>
      </c>
      <c r="BR76" s="9" t="n">
        <v>12</v>
      </c>
      <c r="BS76" s="9" t="n">
        <v>6</v>
      </c>
      <c r="BT76" s="9" t="n">
        <v>6</v>
      </c>
      <c r="BU76" s="10" t="n">
        <v>1102</v>
      </c>
      <c r="BV76" s="11" t="n">
        <f aca="false">IF(ISERROR(ROUND(MEDIAN(BQ76:BT76),0)),0,ROUND(MEDIAN(BQ76:BT76),0))</f>
        <v>9</v>
      </c>
      <c r="BW76" s="11" t="n">
        <f aca="false">IF(ISERROR(ROUND(MEDIAN(BM76:BT76),0)),0,ROUND(MEDIAN(BM76:BT76),0))</f>
        <v>8</v>
      </c>
      <c r="BX76" s="11" t="n">
        <f aca="false">IF(ISERROR(ROUND(MEDIAN(BI76:BT76),0)),0,ROUND(MEDIAN(BI76:BT76),0))</f>
        <v>9</v>
      </c>
      <c r="BY76" s="11" t="n">
        <f aca="false">IF(ISERROR(ROUND(MEDIAN(BE76:BT76),0)),0,ROUND(MEDIAN(BE76:BT76),0))</f>
        <v>9</v>
      </c>
      <c r="BZ76" s="11" t="n">
        <f aca="false">IF(ISERROR(ROUND(MEDIAN(AU76:BT76),0)),0,ROUND(MEDIAN(AU76:BT76),0))</f>
        <v>8</v>
      </c>
      <c r="CA76" s="12" t="n">
        <f aca="false">IF(ISERROR(ROUND(MEDIAN(U76:BT76),0)),0,ROUND(MEDIAN(U76:BT76),0))</f>
        <v>13</v>
      </c>
      <c r="CB76" s="12" t="n">
        <f aca="false">IF(ISERROR(ROUND(MEDIAN(BT76),0)),0,ROUND(MEDIAN(BT76),0))</f>
        <v>6</v>
      </c>
      <c r="CC76" s="12" t="n">
        <f aca="false">IF(ISERROR(ROUND(MEDIAN(D76:BT76),0)),0,ROUND(MEDIAN(D76:BT76),0))</f>
        <v>14</v>
      </c>
      <c r="CD76" s="12" t="n">
        <f aca="false">MAX(D76:BT76)</f>
        <v>45</v>
      </c>
      <c r="CE76" s="7" t="n">
        <f aca="false">COUNTA(BQ76:BT76)</f>
        <v>4</v>
      </c>
      <c r="CF76" s="7" t="n">
        <f aca="false">COUNTA(BM76:BT76)</f>
        <v>8</v>
      </c>
      <c r="CG76" s="7" t="n">
        <f aca="false">COUNTA(BI76:BT76)</f>
        <v>12</v>
      </c>
      <c r="CH76" s="7" t="n">
        <f aca="false">COUNTA(BE76:BT76)</f>
        <v>16</v>
      </c>
      <c r="CI76" s="7" t="n">
        <f aca="false">COUNTA(AU76:BT76)</f>
        <v>26</v>
      </c>
      <c r="CJ76" s="7" t="n">
        <f aca="false">COUNTA(U76:BT76)</f>
        <v>52</v>
      </c>
      <c r="CK76" s="7" t="n">
        <f aca="false">COUNTA(BT76)</f>
        <v>1</v>
      </c>
      <c r="CL76" s="7" t="n">
        <f aca="false">COUNTA(D76:BT76)</f>
        <v>68</v>
      </c>
      <c r="CM76" s="13" t="str">
        <f aca="false">IF(AND(CE76=1,CJ76=1,BT76&lt;&gt;""),"5.ENTRANTES",IF(AND(CE76&lt;&gt;0,CE76/RIGHT($CE$1,1)&gt;=0.5,CJ76=CE76),"4.RECENTES",IF(AND(CF76&lt;&gt;0,CF76/RIGHT($CF$1,1)&gt;=0.5,CJ76=CF76),"4.RECENTES",IF(AND(CG76&lt;&gt;0,CG76/RIGHT($CG$1,2)&gt;=0.5,CJ76=CG76),"4.RECENTES",IF(AND(CH76&lt;&gt;0,CH76/RIGHT($CH$1,2)&gt;=0.5,CJ76=CH76),"4.RECENTES",IF(AND(CI76&lt;&gt;0,CI76/RIGHT($CI$1,2)&gt;=0.5,CJ76=CI76),"4.RECENTES",IF(AND(CE76=0,CF76=0,CG76=0,CH76=0),"3.INATIVOS",IF(CJ76/RIGHT($CJ$1,2)&lt;0.5,"2.INTERMITENTES","1.ORDINÁRIOS"))))))))</f>
        <v>1.ORDINÁRIOS</v>
      </c>
      <c r="CN76" s="14" t="n">
        <f aca="false">IF(AND(CE76=1,CJ76=1,BT76&lt;&gt;""),BT76,IF(AND(CE76&lt;&gt;0,CE76/RIGHT($CE$1,1)&gt;=0.5,CJ76=CE76),MAX(BV76:CC76),IF(AND(CF76&lt;&gt;0,CF76/RIGHT($CF$1,1)&gt;=0.5,CJ76=CF76),MAX(BV76:CC76),IF(AND(CG76&lt;&gt;0,CG76/RIGHT($CG$1,2)&gt;=0.5,CJ76=CG76),MAX(BV76:CC76),IF(AND(CH76&lt;&gt;0,CH76/RIGHT($CH$1,2)&gt;=0.5,CJ76=CH76),MAX(BV76:CC76),IF(AND(CI76&lt;&gt;0,CI76/RIGHT($CI$1,2)&gt;=0.5,CJ76=CI76),MAX(BV76:CC76),IF(AND(CE76=0,CF76=0,CG76=0,CH76=0),0,IF(CJ76/RIGHT($CJ$1,2)&lt;0.5,ROUND(BU76/RIGHT($CJ$1,2),0),MAX(BV76:CC76)))))))))</f>
        <v>14</v>
      </c>
      <c r="CO76" s="14" t="n">
        <f aca="false">CN76*3</f>
        <v>42</v>
      </c>
      <c r="CP76" s="15" t="n">
        <v>34</v>
      </c>
      <c r="CQ76" s="16" t="n">
        <f aca="false">IF((CO76-CP76)&lt;0,0,(CO76-CP76))</f>
        <v>8</v>
      </c>
      <c r="CR76" s="7"/>
    </row>
    <row r="77" customFormat="false" ht="12.75" hidden="false" customHeight="true" outlineLevel="0" collapsed="false">
      <c r="A77" s="7" t="s">
        <v>95</v>
      </c>
      <c r="B77" s="7" t="s">
        <v>171</v>
      </c>
      <c r="C77" s="8" t="n">
        <v>2000144</v>
      </c>
      <c r="D77" s="9"/>
      <c r="E77" s="9"/>
      <c r="F77" s="9" t="n">
        <v>1</v>
      </c>
      <c r="G77" s="9" t="n">
        <v>1</v>
      </c>
      <c r="H77" s="9"/>
      <c r="I77" s="9" t="n">
        <v>1</v>
      </c>
      <c r="J77" s="9"/>
      <c r="K77" s="9"/>
      <c r="L77" s="9" t="n">
        <v>3</v>
      </c>
      <c r="M77" s="9"/>
      <c r="N77" s="9"/>
      <c r="O77" s="9"/>
      <c r="P77" s="9"/>
      <c r="Q77" s="9"/>
      <c r="R77" s="9"/>
      <c r="S77" s="9" t="n">
        <v>1</v>
      </c>
      <c r="T77" s="9"/>
      <c r="U77" s="9"/>
      <c r="V77" s="9"/>
      <c r="W77" s="9"/>
      <c r="X77" s="9"/>
      <c r="Y77" s="9" t="n">
        <v>1</v>
      </c>
      <c r="Z77" s="9"/>
      <c r="AA77" s="9"/>
      <c r="AB77" s="9"/>
      <c r="AC77" s="9" t="n">
        <v>1</v>
      </c>
      <c r="AD77" s="9" t="n">
        <v>1</v>
      </c>
      <c r="AE77" s="9"/>
      <c r="AF77" s="9" t="n">
        <v>2</v>
      </c>
      <c r="AG77" s="9" t="n">
        <v>1</v>
      </c>
      <c r="AH77" s="9" t="n">
        <v>2</v>
      </c>
      <c r="AI77" s="9" t="n">
        <v>3</v>
      </c>
      <c r="AJ77" s="9" t="n">
        <v>3</v>
      </c>
      <c r="AK77" s="9" t="n">
        <v>2</v>
      </c>
      <c r="AL77" s="9" t="n">
        <v>1</v>
      </c>
      <c r="AM77" s="9" t="n">
        <v>1</v>
      </c>
      <c r="AN77" s="9" t="n">
        <v>2</v>
      </c>
      <c r="AO77" s="9"/>
      <c r="AP77" s="9" t="n">
        <v>4</v>
      </c>
      <c r="AQ77" s="9"/>
      <c r="AR77" s="9"/>
      <c r="AS77" s="9" t="n">
        <v>2</v>
      </c>
      <c r="AT77" s="9"/>
      <c r="AU77" s="9"/>
      <c r="AV77" s="9"/>
      <c r="AW77" s="9"/>
      <c r="AX77" s="9"/>
      <c r="AY77" s="9"/>
      <c r="AZ77" s="9"/>
      <c r="BA77" s="9" t="n">
        <v>2</v>
      </c>
      <c r="BB77" s="9" t="n">
        <v>1</v>
      </c>
      <c r="BC77" s="9"/>
      <c r="BD77" s="9"/>
      <c r="BE77" s="9"/>
      <c r="BF77" s="9" t="n">
        <v>1</v>
      </c>
      <c r="BG77" s="9" t="n">
        <v>1</v>
      </c>
      <c r="BH77" s="9" t="n">
        <v>6</v>
      </c>
      <c r="BI77" s="9" t="n">
        <v>4</v>
      </c>
      <c r="BJ77" s="9"/>
      <c r="BK77" s="9" t="n">
        <v>1</v>
      </c>
      <c r="BL77" s="9"/>
      <c r="BM77" s="9"/>
      <c r="BN77" s="9" t="n">
        <v>2</v>
      </c>
      <c r="BO77" s="9"/>
      <c r="BP77" s="9" t="n">
        <v>1</v>
      </c>
      <c r="BQ77" s="9"/>
      <c r="BR77" s="9"/>
      <c r="BS77" s="9"/>
      <c r="BT77" s="9"/>
      <c r="BU77" s="10" t="n">
        <v>52</v>
      </c>
      <c r="BV77" s="11" t="n">
        <f aca="false">IF(ISERROR(ROUND(MEDIAN(BQ77:BT77),0)),0,ROUND(MEDIAN(BQ77:BT77),0))</f>
        <v>0</v>
      </c>
      <c r="BW77" s="11" t="n">
        <f aca="false">IF(ISERROR(ROUND(MEDIAN(BM77:BT77),0)),0,ROUND(MEDIAN(BM77:BT77),0))</f>
        <v>2</v>
      </c>
      <c r="BX77" s="11" t="n">
        <f aca="false">IF(ISERROR(ROUND(MEDIAN(BI77:BT77),0)),0,ROUND(MEDIAN(BI77:BT77),0))</f>
        <v>2</v>
      </c>
      <c r="BY77" s="11" t="n">
        <f aca="false">IF(ISERROR(ROUND(MEDIAN(BE77:BT77),0)),0,ROUND(MEDIAN(BE77:BT77),0))</f>
        <v>1</v>
      </c>
      <c r="BZ77" s="11" t="n">
        <f aca="false">IF(ISERROR(ROUND(MEDIAN(AU77:BT77),0)),0,ROUND(MEDIAN(AU77:BT77),0))</f>
        <v>1</v>
      </c>
      <c r="CA77" s="12" t="n">
        <f aca="false">IF(ISERROR(ROUND(MEDIAN(U77:BT77),0)),0,ROUND(MEDIAN(U77:BT77),0))</f>
        <v>2</v>
      </c>
      <c r="CB77" s="12" t="n">
        <f aca="false">IF(ISERROR(ROUND(MEDIAN(BT77),0)),0,ROUND(MEDIAN(BT77),0))</f>
        <v>0</v>
      </c>
      <c r="CC77" s="12" t="n">
        <f aca="false">IF(ISERROR(ROUND(MEDIAN(D77:BT77),0)),0,ROUND(MEDIAN(D77:BT77),0))</f>
        <v>1</v>
      </c>
      <c r="CD77" s="12" t="n">
        <f aca="false">MAX(D77:BT77)</f>
        <v>6</v>
      </c>
      <c r="CE77" s="7" t="n">
        <f aca="false">COUNTA(BQ77:BT77)</f>
        <v>0</v>
      </c>
      <c r="CF77" s="7" t="n">
        <f aca="false">COUNTA(BM77:BT77)</f>
        <v>2</v>
      </c>
      <c r="CG77" s="7" t="n">
        <f aca="false">COUNTA(BI77:BT77)</f>
        <v>4</v>
      </c>
      <c r="CH77" s="7" t="n">
        <f aca="false">COUNTA(BE77:BT77)</f>
        <v>7</v>
      </c>
      <c r="CI77" s="7" t="n">
        <f aca="false">COUNTA(AU77:BT77)</f>
        <v>9</v>
      </c>
      <c r="CJ77" s="7" t="n">
        <f aca="false">COUNTA(U77:BT77)</f>
        <v>23</v>
      </c>
      <c r="CK77" s="7" t="n">
        <f aca="false">COUNTA(BT77)</f>
        <v>0</v>
      </c>
      <c r="CL77" s="7" t="n">
        <f aca="false">COUNTA(D77:BT77)</f>
        <v>28</v>
      </c>
      <c r="CM77" s="17" t="str">
        <f aca="false">IF(AND(CE77=1,CJ77=1,BT77&lt;&gt;""),"5.ENTRANTES",IF(AND(CE77&lt;&gt;0,CE77/RIGHT($CE$1,1)&gt;=0.5,CJ77=CE77),"4.RECENTES",IF(AND(CF77&lt;&gt;0,CF77/RIGHT($CF$1,1)&gt;=0.5,CJ77=CF77),"4.RECENTES",IF(AND(CG77&lt;&gt;0,CG77/RIGHT($CG$1,2)&gt;=0.5,CJ77=CG77),"4.RECENTES",IF(AND(CH77&lt;&gt;0,CH77/RIGHT($CH$1,2)&gt;=0.5,CJ77=CH77),"4.RECENTES",IF(AND(CI77&lt;&gt;0,CI77/RIGHT($CI$1,2)&gt;=0.5,CJ77=CI77),"4.RECENTES",IF(AND(CE77=0,CF77=0,CG77=0,CH77=0),"3.INATIVOS",IF(CJ77/RIGHT($CJ$1,2)&lt;0.5,"2.INTERMITENTES","1.ORDINÁRIOS"))))))))</f>
        <v>2.INTERMITENTES</v>
      </c>
      <c r="CN77" s="18" t="n">
        <f aca="false">IF(AND(CE77=1,CJ77=1,BT77&lt;&gt;""),BT77,IF(AND(CE77&lt;&gt;0,CE77/RIGHT($CE$1,1)&gt;=0.5,CJ77=CE77),MAX(BV77:CC77),IF(AND(CF77&lt;&gt;0,CF77/RIGHT($CF$1,1)&gt;=0.5,CJ77=CF77),MAX(BV77:CC77),IF(AND(CG77&lt;&gt;0,CG77/RIGHT($CG$1,2)&gt;=0.5,CJ77=CG77),MAX(BV77:CC77),IF(AND(CH77&lt;&gt;0,CH77/RIGHT($CH$1,2)&gt;=0.5,CJ77=CH77),MAX(BV77:CC77),IF(AND(CI77&lt;&gt;0,CI77/RIGHT($CI$1,2)&gt;=0.5,CJ77=CI77),MAX(BV77:CC77),IF(AND(CE77=0,CF77=0,CG77=0,CH77=0),0,IF(CJ77/RIGHT($CJ$1,2)&lt;0.5,ROUND(BU77/RIGHT($CJ$1,2),0),MAX(BV77:CC77)))))))))</f>
        <v>1</v>
      </c>
      <c r="CO77" s="18" t="n">
        <f aca="false">CD77</f>
        <v>6</v>
      </c>
      <c r="CP77" s="15" t="n">
        <v>16</v>
      </c>
      <c r="CQ77" s="16" t="n">
        <f aca="false">IF((CO77-CP77)&lt;0,0,(CO77-CP77))</f>
        <v>0</v>
      </c>
      <c r="CR77" s="7"/>
    </row>
    <row r="78" customFormat="false" ht="12.75" hidden="false" customHeight="true" outlineLevel="0" collapsed="false">
      <c r="A78" s="7" t="s">
        <v>95</v>
      </c>
      <c r="B78" s="7" t="s">
        <v>172</v>
      </c>
      <c r="C78" s="8" t="n">
        <v>21001061</v>
      </c>
      <c r="D78" s="9"/>
      <c r="E78" s="9" t="n">
        <v>4</v>
      </c>
      <c r="F78" s="9" t="n">
        <v>7</v>
      </c>
      <c r="G78" s="9" t="n">
        <v>10</v>
      </c>
      <c r="H78" s="9" t="n">
        <v>12</v>
      </c>
      <c r="I78" s="9" t="n">
        <v>5</v>
      </c>
      <c r="J78" s="9" t="n">
        <v>1</v>
      </c>
      <c r="K78" s="9" t="n">
        <v>2</v>
      </c>
      <c r="L78" s="9" t="n">
        <v>7</v>
      </c>
      <c r="M78" s="9" t="n">
        <v>4</v>
      </c>
      <c r="N78" s="9"/>
      <c r="O78" s="9" t="n">
        <v>1</v>
      </c>
      <c r="P78" s="9" t="n">
        <v>2</v>
      </c>
      <c r="Q78" s="9"/>
      <c r="R78" s="9"/>
      <c r="S78" s="9"/>
      <c r="T78" s="9"/>
      <c r="U78" s="9"/>
      <c r="V78" s="9" t="n">
        <v>2</v>
      </c>
      <c r="W78" s="9" t="n">
        <v>2</v>
      </c>
      <c r="X78" s="9" t="n">
        <v>6</v>
      </c>
      <c r="Y78" s="9" t="n">
        <v>1</v>
      </c>
      <c r="Z78" s="9" t="n">
        <v>2</v>
      </c>
      <c r="AA78" s="9" t="n">
        <v>10</v>
      </c>
      <c r="AB78" s="9" t="n">
        <v>12</v>
      </c>
      <c r="AC78" s="9" t="n">
        <v>10</v>
      </c>
      <c r="AD78" s="9" t="n">
        <v>5</v>
      </c>
      <c r="AE78" s="9" t="n">
        <v>12</v>
      </c>
      <c r="AF78" s="9" t="n">
        <v>3</v>
      </c>
      <c r="AG78" s="9" t="n">
        <v>5</v>
      </c>
      <c r="AH78" s="9" t="n">
        <v>9</v>
      </c>
      <c r="AI78" s="9" t="n">
        <v>17</v>
      </c>
      <c r="AJ78" s="9" t="n">
        <v>11</v>
      </c>
      <c r="AK78" s="9" t="n">
        <v>5</v>
      </c>
      <c r="AL78" s="9" t="n">
        <v>4</v>
      </c>
      <c r="AM78" s="9" t="n">
        <v>1</v>
      </c>
      <c r="AN78" s="9" t="n">
        <v>4</v>
      </c>
      <c r="AO78" s="9" t="n">
        <v>5</v>
      </c>
      <c r="AP78" s="9" t="n">
        <v>2</v>
      </c>
      <c r="AQ78" s="9" t="n">
        <v>3</v>
      </c>
      <c r="AR78" s="9" t="n">
        <v>8</v>
      </c>
      <c r="AS78" s="9" t="n">
        <v>9</v>
      </c>
      <c r="AT78" s="9" t="n">
        <v>16</v>
      </c>
      <c r="AU78" s="9" t="n">
        <v>4</v>
      </c>
      <c r="AV78" s="9" t="n">
        <v>4</v>
      </c>
      <c r="AW78" s="9" t="n">
        <v>7</v>
      </c>
      <c r="AX78" s="9" t="n">
        <v>3</v>
      </c>
      <c r="AY78" s="9" t="n">
        <v>9</v>
      </c>
      <c r="AZ78" s="9" t="n">
        <v>2</v>
      </c>
      <c r="BA78" s="9" t="n">
        <v>7</v>
      </c>
      <c r="BB78" s="9" t="n">
        <v>11</v>
      </c>
      <c r="BC78" s="9" t="n">
        <v>7</v>
      </c>
      <c r="BD78" s="9" t="n">
        <v>4</v>
      </c>
      <c r="BE78" s="9" t="n">
        <v>8</v>
      </c>
      <c r="BF78" s="9" t="n">
        <v>9</v>
      </c>
      <c r="BG78" s="9" t="n">
        <v>10</v>
      </c>
      <c r="BH78" s="9" t="n">
        <v>14</v>
      </c>
      <c r="BI78" s="9" t="n">
        <v>14</v>
      </c>
      <c r="BJ78" s="9" t="n">
        <v>16</v>
      </c>
      <c r="BK78" s="9" t="n">
        <v>3</v>
      </c>
      <c r="BL78" s="9" t="n">
        <v>7</v>
      </c>
      <c r="BM78" s="9" t="n">
        <v>8</v>
      </c>
      <c r="BN78" s="9" t="n">
        <v>8</v>
      </c>
      <c r="BO78" s="9" t="n">
        <v>4</v>
      </c>
      <c r="BP78" s="9" t="n">
        <v>4</v>
      </c>
      <c r="BQ78" s="9"/>
      <c r="BR78" s="9" t="n">
        <v>4</v>
      </c>
      <c r="BS78" s="9" t="n">
        <v>9</v>
      </c>
      <c r="BT78" s="9" t="n">
        <v>6</v>
      </c>
      <c r="BU78" s="10" t="n">
        <v>401</v>
      </c>
      <c r="BV78" s="11" t="n">
        <f aca="false">IF(ISERROR(ROUND(MEDIAN(BQ78:BT78),0)),0,ROUND(MEDIAN(BQ78:BT78),0))</f>
        <v>6</v>
      </c>
      <c r="BW78" s="11" t="n">
        <f aca="false">IF(ISERROR(ROUND(MEDIAN(BM78:BT78),0)),0,ROUND(MEDIAN(BM78:BT78),0))</f>
        <v>6</v>
      </c>
      <c r="BX78" s="11" t="n">
        <f aca="false">IF(ISERROR(ROUND(MEDIAN(BI78:BT78),0)),0,ROUND(MEDIAN(BI78:BT78),0))</f>
        <v>7</v>
      </c>
      <c r="BY78" s="11" t="n">
        <f aca="false">IF(ISERROR(ROUND(MEDIAN(BE78:BT78),0)),0,ROUND(MEDIAN(BE78:BT78),0))</f>
        <v>8</v>
      </c>
      <c r="BZ78" s="11" t="n">
        <f aca="false">IF(ISERROR(ROUND(MEDIAN(AU78:BT78),0)),0,ROUND(MEDIAN(AU78:BT78),0))</f>
        <v>7</v>
      </c>
      <c r="CA78" s="12" t="n">
        <f aca="false">IF(ISERROR(ROUND(MEDIAN(U78:BT78),0)),0,ROUND(MEDIAN(U78:BT78),0))</f>
        <v>7</v>
      </c>
      <c r="CB78" s="12" t="n">
        <f aca="false">IF(ISERROR(ROUND(MEDIAN(BT78),0)),0,ROUND(MEDIAN(BT78),0))</f>
        <v>6</v>
      </c>
      <c r="CC78" s="12" t="n">
        <f aca="false">IF(ISERROR(ROUND(MEDIAN(D78:BT78),0)),0,ROUND(MEDIAN(D78:BT78),0))</f>
        <v>6</v>
      </c>
      <c r="CD78" s="12" t="n">
        <f aca="false">MAX(D78:BT78)</f>
        <v>17</v>
      </c>
      <c r="CE78" s="7" t="n">
        <f aca="false">COUNTA(BQ78:BT78)</f>
        <v>3</v>
      </c>
      <c r="CF78" s="7" t="n">
        <f aca="false">COUNTA(BM78:BT78)</f>
        <v>7</v>
      </c>
      <c r="CG78" s="7" t="n">
        <f aca="false">COUNTA(BI78:BT78)</f>
        <v>11</v>
      </c>
      <c r="CH78" s="7" t="n">
        <f aca="false">COUNTA(BE78:BT78)</f>
        <v>15</v>
      </c>
      <c r="CI78" s="7" t="n">
        <f aca="false">COUNTA(AU78:BT78)</f>
        <v>25</v>
      </c>
      <c r="CJ78" s="7" t="n">
        <f aca="false">COUNTA(U78:BT78)</f>
        <v>50</v>
      </c>
      <c r="CK78" s="7" t="n">
        <f aca="false">COUNTA(BT78)</f>
        <v>1</v>
      </c>
      <c r="CL78" s="7" t="n">
        <f aca="false">COUNTA(D78:BT78)</f>
        <v>61</v>
      </c>
      <c r="CM78" s="13" t="str">
        <f aca="false">IF(AND(CE78=1,CJ78=1,BT78&lt;&gt;""),"5.ENTRANTES",IF(AND(CE78&lt;&gt;0,CE78/RIGHT($CE$1,1)&gt;=0.5,CJ78=CE78),"4.RECENTES",IF(AND(CF78&lt;&gt;0,CF78/RIGHT($CF$1,1)&gt;=0.5,CJ78=CF78),"4.RECENTES",IF(AND(CG78&lt;&gt;0,CG78/RIGHT($CG$1,2)&gt;=0.5,CJ78=CG78),"4.RECENTES",IF(AND(CH78&lt;&gt;0,CH78/RIGHT($CH$1,2)&gt;=0.5,CJ78=CH78),"4.RECENTES",IF(AND(CI78&lt;&gt;0,CI78/RIGHT($CI$1,2)&gt;=0.5,CJ78=CI78),"4.RECENTES",IF(AND(CE78=0,CF78=0,CG78=0,CH78=0),"3.INATIVOS",IF(CJ78/RIGHT($CJ$1,2)&lt;0.5,"2.INTERMITENTES","1.ORDINÁRIOS"))))))))</f>
        <v>1.ORDINÁRIOS</v>
      </c>
      <c r="CN78" s="14" t="n">
        <f aca="false">IF(AND(CE78=1,CJ78=1,BT78&lt;&gt;""),BT78,IF(AND(CE78&lt;&gt;0,CE78/RIGHT($CE$1,1)&gt;=0.5,CJ78=CE78),MAX(BV78:CC78),IF(AND(CF78&lt;&gt;0,CF78/RIGHT($CF$1,1)&gt;=0.5,CJ78=CF78),MAX(BV78:CC78),IF(AND(CG78&lt;&gt;0,CG78/RIGHT($CG$1,2)&gt;=0.5,CJ78=CG78),MAX(BV78:CC78),IF(AND(CH78&lt;&gt;0,CH78/RIGHT($CH$1,2)&gt;=0.5,CJ78=CH78),MAX(BV78:CC78),IF(AND(CI78&lt;&gt;0,CI78/RIGHT($CI$1,2)&gt;=0.5,CJ78=CI78),MAX(BV78:CC78),IF(AND(CE78=0,CF78=0,CG78=0,CH78=0),0,IF(CJ78/RIGHT($CJ$1,2)&lt;0.5,ROUND(BU78/RIGHT($CJ$1,2),0),MAX(BV78:CC78)))))))))</f>
        <v>8</v>
      </c>
      <c r="CO78" s="14" t="n">
        <f aca="false">CN78*3</f>
        <v>24</v>
      </c>
      <c r="CP78" s="15" t="n">
        <v>22</v>
      </c>
      <c r="CQ78" s="16" t="n">
        <f aca="false">IF((CO78-CP78)&lt;0,0,(CO78-CP78))</f>
        <v>2</v>
      </c>
      <c r="CR78" s="7"/>
    </row>
    <row r="79" customFormat="false" ht="12.75" hidden="false" customHeight="true" outlineLevel="0" collapsed="false">
      <c r="A79" s="7" t="s">
        <v>95</v>
      </c>
      <c r="B79" s="7" t="s">
        <v>173</v>
      </c>
      <c r="C79" s="8" t="n">
        <v>1000016</v>
      </c>
      <c r="D79" s="9"/>
      <c r="E79" s="9"/>
      <c r="F79" s="9"/>
      <c r="G79" s="9"/>
      <c r="H79" s="9"/>
      <c r="I79" s="9"/>
      <c r="J79" s="9"/>
      <c r="K79" s="9"/>
      <c r="L79" s="9" t="n">
        <v>180</v>
      </c>
      <c r="M79" s="9"/>
      <c r="N79" s="9"/>
      <c r="O79" s="9"/>
      <c r="P79" s="9" t="n">
        <v>60</v>
      </c>
      <c r="Q79" s="9"/>
      <c r="R79" s="9"/>
      <c r="S79" s="9"/>
      <c r="T79" s="9" t="n">
        <v>80</v>
      </c>
      <c r="U79" s="9"/>
      <c r="V79" s="9"/>
      <c r="W79" s="9"/>
      <c r="X79" s="9"/>
      <c r="Y79" s="9"/>
      <c r="Z79" s="9" t="n">
        <v>120</v>
      </c>
      <c r="AA79" s="9"/>
      <c r="AB79" s="9"/>
      <c r="AC79" s="9"/>
      <c r="AD79" s="9"/>
      <c r="AE79" s="9"/>
      <c r="AF79" s="9"/>
      <c r="AG79" s="9" t="n">
        <v>40</v>
      </c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 t="n">
        <v>60</v>
      </c>
      <c r="BS79" s="9"/>
      <c r="BT79" s="9"/>
      <c r="BU79" s="10" t="n">
        <v>540</v>
      </c>
      <c r="BV79" s="11" t="n">
        <f aca="false">IF(ISERROR(ROUND(MEDIAN(BQ79:BT79),0)),0,ROUND(MEDIAN(BQ79:BT79),0))</f>
        <v>60</v>
      </c>
      <c r="BW79" s="11" t="n">
        <f aca="false">IF(ISERROR(ROUND(MEDIAN(BM79:BT79),0)),0,ROUND(MEDIAN(BM79:BT79),0))</f>
        <v>60</v>
      </c>
      <c r="BX79" s="11" t="n">
        <f aca="false">IF(ISERROR(ROUND(MEDIAN(BI79:BT79),0)),0,ROUND(MEDIAN(BI79:BT79),0))</f>
        <v>60</v>
      </c>
      <c r="BY79" s="11" t="n">
        <f aca="false">IF(ISERROR(ROUND(MEDIAN(BE79:BT79),0)),0,ROUND(MEDIAN(BE79:BT79),0))</f>
        <v>60</v>
      </c>
      <c r="BZ79" s="11" t="n">
        <f aca="false">IF(ISERROR(ROUND(MEDIAN(AU79:BT79),0)),0,ROUND(MEDIAN(AU79:BT79),0))</f>
        <v>60</v>
      </c>
      <c r="CA79" s="12" t="n">
        <f aca="false">IF(ISERROR(ROUND(MEDIAN(U79:BT79),0)),0,ROUND(MEDIAN(U79:BT79),0))</f>
        <v>60</v>
      </c>
      <c r="CB79" s="12" t="n">
        <f aca="false">IF(ISERROR(ROUND(MEDIAN(BT79),0)),0,ROUND(MEDIAN(BT79),0))</f>
        <v>0</v>
      </c>
      <c r="CC79" s="12" t="n">
        <f aca="false">IF(ISERROR(ROUND(MEDIAN(D79:BT79),0)),0,ROUND(MEDIAN(D79:BT79),0))</f>
        <v>70</v>
      </c>
      <c r="CD79" s="12" t="n">
        <f aca="false">MAX(D79:BT79)</f>
        <v>180</v>
      </c>
      <c r="CE79" s="7" t="n">
        <f aca="false">COUNTA(BQ79:BT79)</f>
        <v>1</v>
      </c>
      <c r="CF79" s="7" t="n">
        <f aca="false">COUNTA(BM79:BT79)</f>
        <v>1</v>
      </c>
      <c r="CG79" s="7" t="n">
        <f aca="false">COUNTA(BI79:BT79)</f>
        <v>1</v>
      </c>
      <c r="CH79" s="7" t="n">
        <f aca="false">COUNTA(BE79:BT79)</f>
        <v>1</v>
      </c>
      <c r="CI79" s="7" t="n">
        <f aca="false">COUNTA(AU79:BT79)</f>
        <v>1</v>
      </c>
      <c r="CJ79" s="7" t="n">
        <f aca="false">COUNTA(U79:BT79)</f>
        <v>3</v>
      </c>
      <c r="CK79" s="7" t="n">
        <f aca="false">COUNTA(BT79)</f>
        <v>0</v>
      </c>
      <c r="CL79" s="7" t="n">
        <f aca="false">COUNTA(D79:BT79)</f>
        <v>6</v>
      </c>
      <c r="CM79" s="17" t="str">
        <f aca="false">IF(AND(CE79=1,CJ79=1,BT79&lt;&gt;""),"5.ENTRANTES",IF(AND(CE79&lt;&gt;0,CE79/RIGHT($CE$1,1)&gt;=0.5,CJ79=CE79),"4.RECENTES",IF(AND(CF79&lt;&gt;0,CF79/RIGHT($CF$1,1)&gt;=0.5,CJ79=CF79),"4.RECENTES",IF(AND(CG79&lt;&gt;0,CG79/RIGHT($CG$1,2)&gt;=0.5,CJ79=CG79),"4.RECENTES",IF(AND(CH79&lt;&gt;0,CH79/RIGHT($CH$1,2)&gt;=0.5,CJ79=CH79),"4.RECENTES",IF(AND(CI79&lt;&gt;0,CI79/RIGHT($CI$1,2)&gt;=0.5,CJ79=CI79),"4.RECENTES",IF(AND(CE79=0,CF79=0,CG79=0,CH79=0),"3.INATIVOS",IF(CJ79/RIGHT($CJ$1,2)&lt;0.5,"2.INTERMITENTES","1.ORDINÁRIOS"))))))))</f>
        <v>2.INTERMITENTES</v>
      </c>
      <c r="CN79" s="18" t="n">
        <f aca="false">IF(AND(CE79=1,CJ79=1,BT79&lt;&gt;""),BT79,IF(AND(CE79&lt;&gt;0,CE79/RIGHT($CE$1,1)&gt;=0.5,CJ79=CE79),MAX(BV79:CC79),IF(AND(CF79&lt;&gt;0,CF79/RIGHT($CF$1,1)&gt;=0.5,CJ79=CF79),MAX(BV79:CC79),IF(AND(CG79&lt;&gt;0,CG79/RIGHT($CG$1,2)&gt;=0.5,CJ79=CG79),MAX(BV79:CC79),IF(AND(CH79&lt;&gt;0,CH79/RIGHT($CH$1,2)&gt;=0.5,CJ79=CH79),MAX(BV79:CC79),IF(AND(CI79&lt;&gt;0,CI79/RIGHT($CI$1,2)&gt;=0.5,CJ79=CI79),MAX(BV79:CC79),IF(AND(CE79=0,CF79=0,CG79=0,CH79=0),0,IF(CJ79/RIGHT($CJ$1,2)&lt;0.5,ROUND(BU79/RIGHT($CJ$1,2),0),MAX(BV79:CC79)))))))))</f>
        <v>10</v>
      </c>
      <c r="CO79" s="18" t="n">
        <f aca="false">CD79</f>
        <v>180</v>
      </c>
      <c r="CP79" s="15" t="n">
        <v>330</v>
      </c>
      <c r="CQ79" s="16" t="n">
        <f aca="false">IF((CO79-CP79)&lt;0,0,(CO79-CP79))</f>
        <v>0</v>
      </c>
      <c r="CR79" s="7"/>
    </row>
    <row r="80" customFormat="false" ht="12.75" hidden="false" customHeight="true" outlineLevel="0" collapsed="false">
      <c r="A80" s="7" t="s">
        <v>95</v>
      </c>
      <c r="B80" s="7" t="s">
        <v>174</v>
      </c>
      <c r="C80" s="8" t="n">
        <v>304001003</v>
      </c>
      <c r="D80" s="9"/>
      <c r="E80" s="9" t="n">
        <v>21</v>
      </c>
      <c r="F80" s="9" t="n">
        <v>28</v>
      </c>
      <c r="G80" s="9" t="n">
        <v>30</v>
      </c>
      <c r="H80" s="9"/>
      <c r="I80" s="9" t="n">
        <v>20</v>
      </c>
      <c r="J80" s="9" t="n">
        <v>10</v>
      </c>
      <c r="K80" s="9" t="n">
        <v>1</v>
      </c>
      <c r="L80" s="9" t="n">
        <v>28</v>
      </c>
      <c r="M80" s="9"/>
      <c r="N80" s="9" t="n">
        <v>38</v>
      </c>
      <c r="O80" s="9" t="n">
        <v>20</v>
      </c>
      <c r="P80" s="9" t="n">
        <v>27</v>
      </c>
      <c r="Q80" s="9" t="n">
        <v>10</v>
      </c>
      <c r="R80" s="9" t="n">
        <v>11</v>
      </c>
      <c r="S80" s="9" t="n">
        <v>23</v>
      </c>
      <c r="T80" s="9" t="n">
        <v>10</v>
      </c>
      <c r="U80" s="9" t="n">
        <v>10</v>
      </c>
      <c r="V80" s="9"/>
      <c r="W80" s="9"/>
      <c r="X80" s="9" t="n">
        <v>10</v>
      </c>
      <c r="Y80" s="9" t="n">
        <v>15</v>
      </c>
      <c r="Z80" s="9" t="n">
        <v>22</v>
      </c>
      <c r="AA80" s="9" t="n">
        <v>12</v>
      </c>
      <c r="AB80" s="9"/>
      <c r="AC80" s="9" t="n">
        <v>4</v>
      </c>
      <c r="AD80" s="9" t="n">
        <v>17</v>
      </c>
      <c r="AE80" s="9" t="n">
        <v>8</v>
      </c>
      <c r="AF80" s="9"/>
      <c r="AG80" s="9"/>
      <c r="AH80" s="9" t="n">
        <v>42</v>
      </c>
      <c r="AI80" s="9"/>
      <c r="AJ80" s="9" t="n">
        <v>20</v>
      </c>
      <c r="AK80" s="9"/>
      <c r="AL80" s="9"/>
      <c r="AM80" s="9"/>
      <c r="AN80" s="9" t="n">
        <v>2</v>
      </c>
      <c r="AO80" s="9"/>
      <c r="AP80" s="9"/>
      <c r="AQ80" s="9" t="n">
        <v>10</v>
      </c>
      <c r="AR80" s="9"/>
      <c r="AS80" s="9" t="n">
        <v>40</v>
      </c>
      <c r="AT80" s="9"/>
      <c r="AU80" s="9" t="n">
        <v>25</v>
      </c>
      <c r="AV80" s="9" t="n">
        <v>42</v>
      </c>
      <c r="AW80" s="9" t="n">
        <v>30</v>
      </c>
      <c r="AX80" s="9"/>
      <c r="AY80" s="9" t="n">
        <v>2</v>
      </c>
      <c r="AZ80" s="9" t="n">
        <v>18</v>
      </c>
      <c r="BA80" s="9" t="n">
        <v>29</v>
      </c>
      <c r="BB80" s="9" t="n">
        <v>63</v>
      </c>
      <c r="BC80" s="9"/>
      <c r="BD80" s="9" t="n">
        <v>28</v>
      </c>
      <c r="BE80" s="9" t="n">
        <v>31</v>
      </c>
      <c r="BF80" s="9" t="n">
        <v>10</v>
      </c>
      <c r="BG80" s="9" t="n">
        <v>34</v>
      </c>
      <c r="BH80" s="9" t="n">
        <v>76</v>
      </c>
      <c r="BI80" s="9"/>
      <c r="BJ80" s="9"/>
      <c r="BK80" s="9"/>
      <c r="BL80" s="9"/>
      <c r="BM80" s="9"/>
      <c r="BN80" s="9" t="n">
        <v>70</v>
      </c>
      <c r="BO80" s="9" t="n">
        <v>21</v>
      </c>
      <c r="BP80" s="9" t="n">
        <v>60</v>
      </c>
      <c r="BQ80" s="9" t="n">
        <v>60</v>
      </c>
      <c r="BR80" s="9" t="n">
        <v>28</v>
      </c>
      <c r="BS80" s="9"/>
      <c r="BT80" s="9"/>
      <c r="BU80" s="10" t="n">
        <v>1116</v>
      </c>
      <c r="BV80" s="11" t="n">
        <f aca="false">IF(ISERROR(ROUND(MEDIAN(BQ80:BT80),0)),0,ROUND(MEDIAN(BQ80:BT80),0))</f>
        <v>44</v>
      </c>
      <c r="BW80" s="11" t="n">
        <f aca="false">IF(ISERROR(ROUND(MEDIAN(BM80:BT80),0)),0,ROUND(MEDIAN(BM80:BT80),0))</f>
        <v>60</v>
      </c>
      <c r="BX80" s="11" t="n">
        <f aca="false">IF(ISERROR(ROUND(MEDIAN(BI80:BT80),0)),0,ROUND(MEDIAN(BI80:BT80),0))</f>
        <v>60</v>
      </c>
      <c r="BY80" s="11" t="n">
        <f aca="false">IF(ISERROR(ROUND(MEDIAN(BE80:BT80),0)),0,ROUND(MEDIAN(BE80:BT80),0))</f>
        <v>34</v>
      </c>
      <c r="BZ80" s="11" t="n">
        <f aca="false">IF(ISERROR(ROUND(MEDIAN(AU80:BT80),0)),0,ROUND(MEDIAN(AU80:BT80),0))</f>
        <v>30</v>
      </c>
      <c r="CA80" s="12" t="n">
        <f aca="false">IF(ISERROR(ROUND(MEDIAN(U80:BT80),0)),0,ROUND(MEDIAN(U80:BT80),0))</f>
        <v>24</v>
      </c>
      <c r="CB80" s="12" t="n">
        <f aca="false">IF(ISERROR(ROUND(MEDIAN(BT80),0)),0,ROUND(MEDIAN(BT80),0))</f>
        <v>0</v>
      </c>
      <c r="CC80" s="12" t="n">
        <f aca="false">IF(ISERROR(ROUND(MEDIAN(D80:BT80),0)),0,ROUND(MEDIAN(D80:BT80),0))</f>
        <v>22</v>
      </c>
      <c r="CD80" s="12" t="n">
        <f aca="false">MAX(D80:BT80)</f>
        <v>76</v>
      </c>
      <c r="CE80" s="7" t="n">
        <f aca="false">COUNTA(BQ80:BT80)</f>
        <v>2</v>
      </c>
      <c r="CF80" s="7" t="n">
        <f aca="false">COUNTA(BM80:BT80)</f>
        <v>5</v>
      </c>
      <c r="CG80" s="7" t="n">
        <f aca="false">COUNTA(BI80:BT80)</f>
        <v>5</v>
      </c>
      <c r="CH80" s="7" t="n">
        <f aca="false">COUNTA(BE80:BT80)</f>
        <v>9</v>
      </c>
      <c r="CI80" s="7" t="n">
        <f aca="false">COUNTA(AU80:BT80)</f>
        <v>17</v>
      </c>
      <c r="CJ80" s="7" t="n">
        <f aca="false">COUNTA(U80:BT80)</f>
        <v>30</v>
      </c>
      <c r="CK80" s="7" t="n">
        <f aca="false">COUNTA(BT80)</f>
        <v>0</v>
      </c>
      <c r="CL80" s="7" t="n">
        <f aca="false">COUNTA(D80:BT80)</f>
        <v>44</v>
      </c>
      <c r="CM80" s="13" t="str">
        <f aca="false">IF(AND(CE80=1,CJ80=1,BT80&lt;&gt;""),"5.ENTRANTES",IF(AND(CE80&lt;&gt;0,CE80/RIGHT($CE$1,1)&gt;=0.5,CJ80=CE80),"4.RECENTES",IF(AND(CF80&lt;&gt;0,CF80/RIGHT($CF$1,1)&gt;=0.5,CJ80=CF80),"4.RECENTES",IF(AND(CG80&lt;&gt;0,CG80/RIGHT($CG$1,2)&gt;=0.5,CJ80=CG80),"4.RECENTES",IF(AND(CH80&lt;&gt;0,CH80/RIGHT($CH$1,2)&gt;=0.5,CJ80=CH80),"4.RECENTES",IF(AND(CI80&lt;&gt;0,CI80/RIGHT($CI$1,2)&gt;=0.5,CJ80=CI80),"4.RECENTES",IF(AND(CE80=0,CF80=0,CG80=0,CH80=0),"3.INATIVOS",IF(CJ80/RIGHT($CJ$1,2)&lt;0.5,"2.INTERMITENTES","1.ORDINÁRIOS"))))))))</f>
        <v>1.ORDINÁRIOS</v>
      </c>
      <c r="CN80" s="14" t="n">
        <f aca="false">IF(AND(CE80=1,CJ80=1,BT80&lt;&gt;""),BT80,IF(AND(CE80&lt;&gt;0,CE80/RIGHT($CE$1,1)&gt;=0.5,CJ80=CE80),MAX(BV80:CC80),IF(AND(CF80&lt;&gt;0,CF80/RIGHT($CF$1,1)&gt;=0.5,CJ80=CF80),MAX(BV80:CC80),IF(AND(CG80&lt;&gt;0,CG80/RIGHT($CG$1,2)&gt;=0.5,CJ80=CG80),MAX(BV80:CC80),IF(AND(CH80&lt;&gt;0,CH80/RIGHT($CH$1,2)&gt;=0.5,CJ80=CH80),MAX(BV80:CC80),IF(AND(CI80&lt;&gt;0,CI80/RIGHT($CI$1,2)&gt;=0.5,CJ80=CI80),MAX(BV80:CC80),IF(AND(CE80=0,CF80=0,CG80=0,CH80=0),0,IF(CJ80/RIGHT($CJ$1,2)&lt;0.5,ROUND(BU80/RIGHT($CJ$1,2),0),MAX(BV80:CC80)))))))))</f>
        <v>60</v>
      </c>
      <c r="CO80" s="14" t="n">
        <f aca="false">CN80*3</f>
        <v>180</v>
      </c>
      <c r="CP80" s="15" t="n">
        <v>67</v>
      </c>
      <c r="CQ80" s="16" t="n">
        <f aca="false">IF((CO80-CP80)&lt;0,0,(CO80-CP80))</f>
        <v>113</v>
      </c>
      <c r="CR80" s="7"/>
    </row>
    <row r="81" customFormat="false" ht="12.75" hidden="false" customHeight="true" outlineLevel="0" collapsed="false">
      <c r="A81" s="7" t="s">
        <v>95</v>
      </c>
      <c r="B81" s="7" t="s">
        <v>175</v>
      </c>
      <c r="C81" s="8" t="n">
        <v>303003001</v>
      </c>
      <c r="D81" s="9" t="n">
        <v>60</v>
      </c>
      <c r="E81" s="9" t="n">
        <v>210</v>
      </c>
      <c r="F81" s="9" t="n">
        <v>660</v>
      </c>
      <c r="G81" s="9" t="n">
        <v>390</v>
      </c>
      <c r="H81" s="9" t="n">
        <v>210</v>
      </c>
      <c r="I81" s="9" t="n">
        <v>390</v>
      </c>
      <c r="J81" s="9" t="n">
        <v>420</v>
      </c>
      <c r="K81" s="9" t="n">
        <v>150</v>
      </c>
      <c r="L81" s="9" t="n">
        <v>480</v>
      </c>
      <c r="M81" s="9" t="n">
        <v>450</v>
      </c>
      <c r="N81" s="9" t="n">
        <v>660</v>
      </c>
      <c r="O81" s="9" t="n">
        <v>210</v>
      </c>
      <c r="P81" s="9" t="n">
        <v>670</v>
      </c>
      <c r="Q81" s="9" t="n">
        <v>330</v>
      </c>
      <c r="R81" s="9" t="n">
        <v>270</v>
      </c>
      <c r="S81" s="9" t="n">
        <v>690</v>
      </c>
      <c r="T81" s="9" t="n">
        <v>300</v>
      </c>
      <c r="U81" s="9" t="n">
        <v>450</v>
      </c>
      <c r="V81" s="9" t="n">
        <v>390</v>
      </c>
      <c r="W81" s="9" t="n">
        <v>340</v>
      </c>
      <c r="X81" s="9" t="n">
        <v>300</v>
      </c>
      <c r="Y81" s="9" t="n">
        <v>514</v>
      </c>
      <c r="Z81" s="9" t="n">
        <v>270</v>
      </c>
      <c r="AA81" s="9" t="n">
        <v>450</v>
      </c>
      <c r="AB81" s="9" t="n">
        <v>360</v>
      </c>
      <c r="AC81" s="9" t="n">
        <v>420</v>
      </c>
      <c r="AD81" s="9" t="n">
        <v>450</v>
      </c>
      <c r="AE81" s="9" t="n">
        <v>420</v>
      </c>
      <c r="AF81" s="9" t="n">
        <v>330</v>
      </c>
      <c r="AG81" s="9" t="n">
        <v>300</v>
      </c>
      <c r="AH81" s="9" t="n">
        <v>600</v>
      </c>
      <c r="AI81" s="9" t="n">
        <v>540</v>
      </c>
      <c r="AJ81" s="9" t="n">
        <v>210</v>
      </c>
      <c r="AK81" s="9" t="n">
        <v>360</v>
      </c>
      <c r="AL81" s="9" t="n">
        <v>300</v>
      </c>
      <c r="AM81" s="9" t="n">
        <v>450</v>
      </c>
      <c r="AN81" s="9" t="n">
        <v>540</v>
      </c>
      <c r="AO81" s="9" t="n">
        <v>300</v>
      </c>
      <c r="AP81" s="9" t="n">
        <v>480</v>
      </c>
      <c r="AQ81" s="9" t="n">
        <v>420</v>
      </c>
      <c r="AR81" s="9" t="n">
        <v>510</v>
      </c>
      <c r="AS81" s="9" t="n">
        <v>300</v>
      </c>
      <c r="AT81" s="9" t="n">
        <v>300</v>
      </c>
      <c r="AU81" s="9" t="n">
        <v>185</v>
      </c>
      <c r="AV81" s="9" t="n">
        <v>390</v>
      </c>
      <c r="AW81" s="9" t="n">
        <v>330</v>
      </c>
      <c r="AX81" s="9" t="n">
        <v>480</v>
      </c>
      <c r="AY81" s="9" t="n">
        <v>60</v>
      </c>
      <c r="AZ81" s="9" t="n">
        <v>165</v>
      </c>
      <c r="BA81" s="9" t="n">
        <v>360</v>
      </c>
      <c r="BB81" s="9" t="n">
        <v>240</v>
      </c>
      <c r="BC81" s="9" t="n">
        <v>420</v>
      </c>
      <c r="BD81" s="9" t="n">
        <v>60</v>
      </c>
      <c r="BE81" s="9" t="n">
        <v>330</v>
      </c>
      <c r="BF81" s="9" t="n">
        <v>330</v>
      </c>
      <c r="BG81" s="9" t="n">
        <v>360</v>
      </c>
      <c r="BH81" s="9" t="n">
        <v>300</v>
      </c>
      <c r="BI81" s="9" t="n">
        <v>180</v>
      </c>
      <c r="BJ81" s="9" t="n">
        <v>540</v>
      </c>
      <c r="BK81" s="9" t="n">
        <v>240</v>
      </c>
      <c r="BL81" s="9" t="n">
        <v>240</v>
      </c>
      <c r="BM81" s="9" t="n">
        <v>345</v>
      </c>
      <c r="BN81" s="9" t="n">
        <v>300</v>
      </c>
      <c r="BO81" s="9" t="n">
        <v>420</v>
      </c>
      <c r="BP81" s="9" t="n">
        <v>280</v>
      </c>
      <c r="BQ81" s="9" t="n">
        <v>300</v>
      </c>
      <c r="BR81" s="9" t="n">
        <v>210</v>
      </c>
      <c r="BS81" s="9" t="n">
        <v>210</v>
      </c>
      <c r="BT81" s="9" t="n">
        <v>300</v>
      </c>
      <c r="BU81" s="10" t="n">
        <v>24429</v>
      </c>
      <c r="BV81" s="11" t="n">
        <f aca="false">IF(ISERROR(ROUND(MEDIAN(BQ81:BT81),0)),0,ROUND(MEDIAN(BQ81:BT81),0))</f>
        <v>255</v>
      </c>
      <c r="BW81" s="11" t="n">
        <f aca="false">IF(ISERROR(ROUND(MEDIAN(BM81:BT81),0)),0,ROUND(MEDIAN(BM81:BT81),0))</f>
        <v>300</v>
      </c>
      <c r="BX81" s="11" t="n">
        <f aca="false">IF(ISERROR(ROUND(MEDIAN(BI81:BT81),0)),0,ROUND(MEDIAN(BI81:BT81),0))</f>
        <v>290</v>
      </c>
      <c r="BY81" s="11" t="n">
        <f aca="false">IF(ISERROR(ROUND(MEDIAN(BE81:BT81),0)),0,ROUND(MEDIAN(BE81:BT81),0))</f>
        <v>300</v>
      </c>
      <c r="BZ81" s="11" t="n">
        <f aca="false">IF(ISERROR(ROUND(MEDIAN(AU81:BT81),0)),0,ROUND(MEDIAN(AU81:BT81),0))</f>
        <v>300</v>
      </c>
      <c r="CA81" s="12" t="n">
        <f aca="false">IF(ISERROR(ROUND(MEDIAN(U81:BT81),0)),0,ROUND(MEDIAN(U81:BT81),0))</f>
        <v>330</v>
      </c>
      <c r="CB81" s="12" t="n">
        <f aca="false">IF(ISERROR(ROUND(MEDIAN(BT81),0)),0,ROUND(MEDIAN(BT81),0))</f>
        <v>300</v>
      </c>
      <c r="CC81" s="12" t="n">
        <f aca="false">IF(ISERROR(ROUND(MEDIAN(D81:BT81),0)),0,ROUND(MEDIAN(D81:BT81),0))</f>
        <v>330</v>
      </c>
      <c r="CD81" s="12" t="n">
        <f aca="false">MAX(D81:BT81)</f>
        <v>690</v>
      </c>
      <c r="CE81" s="7" t="n">
        <f aca="false">COUNTA(BQ81:BT81)</f>
        <v>4</v>
      </c>
      <c r="CF81" s="7" t="n">
        <f aca="false">COUNTA(BM81:BT81)</f>
        <v>8</v>
      </c>
      <c r="CG81" s="7" t="n">
        <f aca="false">COUNTA(BI81:BT81)</f>
        <v>12</v>
      </c>
      <c r="CH81" s="7" t="n">
        <f aca="false">COUNTA(BE81:BT81)</f>
        <v>16</v>
      </c>
      <c r="CI81" s="7" t="n">
        <f aca="false">COUNTA(AU81:BT81)</f>
        <v>26</v>
      </c>
      <c r="CJ81" s="7" t="n">
        <f aca="false">COUNTA(U81:BT81)</f>
        <v>52</v>
      </c>
      <c r="CK81" s="7" t="n">
        <f aca="false">COUNTA(BT81)</f>
        <v>1</v>
      </c>
      <c r="CL81" s="7" t="n">
        <f aca="false">COUNTA(D81:BT81)</f>
        <v>69</v>
      </c>
      <c r="CM81" s="13" t="str">
        <f aca="false">IF(AND(CE81=1,CJ81=1,BT81&lt;&gt;""),"5.ENTRANTES",IF(AND(CE81&lt;&gt;0,CE81/RIGHT($CE$1,1)&gt;=0.5,CJ81=CE81),"4.RECENTES",IF(AND(CF81&lt;&gt;0,CF81/RIGHT($CF$1,1)&gt;=0.5,CJ81=CF81),"4.RECENTES",IF(AND(CG81&lt;&gt;0,CG81/RIGHT($CG$1,2)&gt;=0.5,CJ81=CG81),"4.RECENTES",IF(AND(CH81&lt;&gt;0,CH81/RIGHT($CH$1,2)&gt;=0.5,CJ81=CH81),"4.RECENTES",IF(AND(CI81&lt;&gt;0,CI81/RIGHT($CI$1,2)&gt;=0.5,CJ81=CI81),"4.RECENTES",IF(AND(CE81=0,CF81=0,CG81=0,CH81=0),"3.INATIVOS",IF(CJ81/RIGHT($CJ$1,2)&lt;0.5,"2.INTERMITENTES","1.ORDINÁRIOS"))))))))</f>
        <v>1.ORDINÁRIOS</v>
      </c>
      <c r="CN81" s="14" t="n">
        <f aca="false">IF(AND(CE81=1,CJ81=1,BT81&lt;&gt;""),BT81,IF(AND(CE81&lt;&gt;0,CE81/RIGHT($CE$1,1)&gt;=0.5,CJ81=CE81),MAX(BV81:CC81),IF(AND(CF81&lt;&gt;0,CF81/RIGHT($CF$1,1)&gt;=0.5,CJ81=CF81),MAX(BV81:CC81),IF(AND(CG81&lt;&gt;0,CG81/RIGHT($CG$1,2)&gt;=0.5,CJ81=CG81),MAX(BV81:CC81),IF(AND(CH81&lt;&gt;0,CH81/RIGHT($CH$1,2)&gt;=0.5,CJ81=CH81),MAX(BV81:CC81),IF(AND(CI81&lt;&gt;0,CI81/RIGHT($CI$1,2)&gt;=0.5,CJ81=CI81),MAX(BV81:CC81),IF(AND(CE81=0,CF81=0,CG81=0,CH81=0),0,IF(CJ81/RIGHT($CJ$1,2)&lt;0.5,ROUND(BU81/RIGHT($CJ$1,2),0),MAX(BV81:CC81)))))))))</f>
        <v>330</v>
      </c>
      <c r="CO81" s="14" t="n">
        <f aca="false">CN81*3</f>
        <v>990</v>
      </c>
      <c r="CP81" s="15" t="n">
        <v>770</v>
      </c>
      <c r="CQ81" s="16" t="n">
        <f aca="false">IF((CO81-CP81)&lt;0,0,(CO81-CP81))</f>
        <v>220</v>
      </c>
      <c r="CR81" s="7"/>
    </row>
    <row r="82" customFormat="false" ht="12.75" hidden="false" customHeight="true" outlineLevel="0" collapsed="false">
      <c r="A82" s="7" t="s">
        <v>95</v>
      </c>
      <c r="B82" s="7" t="s">
        <v>176</v>
      </c>
      <c r="C82" s="8" t="n">
        <v>9000008</v>
      </c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 t="n">
        <v>2</v>
      </c>
      <c r="Q82" s="9"/>
      <c r="R82" s="9"/>
      <c r="S82" s="9"/>
      <c r="T82" s="9"/>
      <c r="U82" s="9"/>
      <c r="V82" s="9"/>
      <c r="W82" s="9" t="n">
        <v>1</v>
      </c>
      <c r="X82" s="9"/>
      <c r="Y82" s="9"/>
      <c r="Z82" s="9"/>
      <c r="AA82" s="9"/>
      <c r="AB82" s="9"/>
      <c r="AC82" s="9" t="n">
        <v>2</v>
      </c>
      <c r="AD82" s="9"/>
      <c r="AE82" s="9" t="n">
        <v>2</v>
      </c>
      <c r="AF82" s="9"/>
      <c r="AG82" s="9"/>
      <c r="AH82" s="9"/>
      <c r="AI82" s="9"/>
      <c r="AJ82" s="9" t="n">
        <v>1</v>
      </c>
      <c r="AK82" s="9" t="n">
        <v>2</v>
      </c>
      <c r="AL82" s="9" t="n">
        <v>2</v>
      </c>
      <c r="AM82" s="9"/>
      <c r="AN82" s="9"/>
      <c r="AO82" s="9"/>
      <c r="AP82" s="9"/>
      <c r="AQ82" s="9"/>
      <c r="AR82" s="9"/>
      <c r="AS82" s="9" t="n">
        <v>4</v>
      </c>
      <c r="AT82" s="9"/>
      <c r="AU82" s="9"/>
      <c r="AV82" s="9"/>
      <c r="AW82" s="9"/>
      <c r="AX82" s="9" t="n">
        <v>2</v>
      </c>
      <c r="AY82" s="9"/>
      <c r="AZ82" s="9"/>
      <c r="BA82" s="9"/>
      <c r="BB82" s="9"/>
      <c r="BC82" s="9" t="n">
        <v>2</v>
      </c>
      <c r="BD82" s="9"/>
      <c r="BE82" s="9" t="n">
        <v>1</v>
      </c>
      <c r="BF82" s="9" t="n">
        <v>3</v>
      </c>
      <c r="BG82" s="9"/>
      <c r="BH82" s="9"/>
      <c r="BI82" s="9" t="n">
        <v>2</v>
      </c>
      <c r="BJ82" s="9" t="n">
        <v>2</v>
      </c>
      <c r="BK82" s="9" t="n">
        <v>1</v>
      </c>
      <c r="BL82" s="9" t="n">
        <v>1</v>
      </c>
      <c r="BM82" s="9" t="n">
        <v>1</v>
      </c>
      <c r="BN82" s="9"/>
      <c r="BO82" s="9" t="n">
        <v>1</v>
      </c>
      <c r="BP82" s="9"/>
      <c r="BQ82" s="9" t="n">
        <v>2</v>
      </c>
      <c r="BR82" s="9"/>
      <c r="BS82" s="9"/>
      <c r="BT82" s="9"/>
      <c r="BU82" s="10" t="n">
        <v>34</v>
      </c>
      <c r="BV82" s="11" t="n">
        <f aca="false">IF(ISERROR(ROUND(MEDIAN(BQ82:BT82),0)),0,ROUND(MEDIAN(BQ82:BT82),0))</f>
        <v>2</v>
      </c>
      <c r="BW82" s="11" t="n">
        <f aca="false">IF(ISERROR(ROUND(MEDIAN(BM82:BT82),0)),0,ROUND(MEDIAN(BM82:BT82),0))</f>
        <v>1</v>
      </c>
      <c r="BX82" s="11" t="n">
        <f aca="false">IF(ISERROR(ROUND(MEDIAN(BI82:BT82),0)),0,ROUND(MEDIAN(BI82:BT82),0))</f>
        <v>1</v>
      </c>
      <c r="BY82" s="11" t="n">
        <f aca="false">IF(ISERROR(ROUND(MEDIAN(BE82:BT82),0)),0,ROUND(MEDIAN(BE82:BT82),0))</f>
        <v>1</v>
      </c>
      <c r="BZ82" s="11" t="n">
        <f aca="false">IF(ISERROR(ROUND(MEDIAN(AU82:BT82),0)),0,ROUND(MEDIAN(AU82:BT82),0))</f>
        <v>2</v>
      </c>
      <c r="CA82" s="12" t="n">
        <f aca="false">IF(ISERROR(ROUND(MEDIAN(U82:BT82),0)),0,ROUND(MEDIAN(U82:BT82),0))</f>
        <v>2</v>
      </c>
      <c r="CB82" s="12" t="n">
        <f aca="false">IF(ISERROR(ROUND(MEDIAN(BT82),0)),0,ROUND(MEDIAN(BT82),0))</f>
        <v>0</v>
      </c>
      <c r="CC82" s="12" t="n">
        <f aca="false">IF(ISERROR(ROUND(MEDIAN(D82:BT82),0)),0,ROUND(MEDIAN(D82:BT82),0))</f>
        <v>2</v>
      </c>
      <c r="CD82" s="12" t="n">
        <f aca="false">MAX(D82:BT82)</f>
        <v>4</v>
      </c>
      <c r="CE82" s="7" t="n">
        <f aca="false">COUNTA(BQ82:BT82)</f>
        <v>1</v>
      </c>
      <c r="CF82" s="7" t="n">
        <f aca="false">COUNTA(BM82:BT82)</f>
        <v>3</v>
      </c>
      <c r="CG82" s="7" t="n">
        <f aca="false">COUNTA(BI82:BT82)</f>
        <v>7</v>
      </c>
      <c r="CH82" s="7" t="n">
        <f aca="false">COUNTA(BE82:BT82)</f>
        <v>9</v>
      </c>
      <c r="CI82" s="7" t="n">
        <f aca="false">COUNTA(AU82:BT82)</f>
        <v>11</v>
      </c>
      <c r="CJ82" s="7" t="n">
        <f aca="false">COUNTA(U82:BT82)</f>
        <v>18</v>
      </c>
      <c r="CK82" s="7" t="n">
        <f aca="false">COUNTA(BT82)</f>
        <v>0</v>
      </c>
      <c r="CL82" s="7" t="n">
        <f aca="false">COUNTA(D82:BT82)</f>
        <v>19</v>
      </c>
      <c r="CM82" s="17" t="str">
        <f aca="false">IF(AND(CE82=1,CJ82=1,BT82&lt;&gt;""),"5.ENTRANTES",IF(AND(CE82&lt;&gt;0,CE82/RIGHT($CE$1,1)&gt;=0.5,CJ82=CE82),"4.RECENTES",IF(AND(CF82&lt;&gt;0,CF82/RIGHT($CF$1,1)&gt;=0.5,CJ82=CF82),"4.RECENTES",IF(AND(CG82&lt;&gt;0,CG82/RIGHT($CG$1,2)&gt;=0.5,CJ82=CG82),"4.RECENTES",IF(AND(CH82&lt;&gt;0,CH82/RIGHT($CH$1,2)&gt;=0.5,CJ82=CH82),"4.RECENTES",IF(AND(CI82&lt;&gt;0,CI82/RIGHT($CI$1,2)&gt;=0.5,CJ82=CI82),"4.RECENTES",IF(AND(CE82=0,CF82=0,CG82=0,CH82=0),"3.INATIVOS",IF(CJ82/RIGHT($CJ$1,2)&lt;0.5,"2.INTERMITENTES","1.ORDINÁRIOS"))))))))</f>
        <v>2.INTERMITENTES</v>
      </c>
      <c r="CN82" s="18" t="n">
        <f aca="false">IF(AND(CE82=1,CJ82=1,BT82&lt;&gt;""),BT82,IF(AND(CE82&lt;&gt;0,CE82/RIGHT($CE$1,1)&gt;=0.5,CJ82=CE82),MAX(BV82:CC82),IF(AND(CF82&lt;&gt;0,CF82/RIGHT($CF$1,1)&gt;=0.5,CJ82=CF82),MAX(BV82:CC82),IF(AND(CG82&lt;&gt;0,CG82/RIGHT($CG$1,2)&gt;=0.5,CJ82=CG82),MAX(BV82:CC82),IF(AND(CH82&lt;&gt;0,CH82/RIGHT($CH$1,2)&gt;=0.5,CJ82=CH82),MAX(BV82:CC82),IF(AND(CI82&lt;&gt;0,CI82/RIGHT($CI$1,2)&gt;=0.5,CJ82=CI82),MAX(BV82:CC82),IF(AND(CE82=0,CF82=0,CG82=0,CH82=0),0,IF(CJ82/RIGHT($CJ$1,2)&lt;0.5,ROUND(BU82/RIGHT($CJ$1,2),0),MAX(BV82:CC82)))))))))</f>
        <v>1</v>
      </c>
      <c r="CO82" s="18" t="n">
        <f aca="false">CD82</f>
        <v>4</v>
      </c>
      <c r="CP82" s="15" t="n">
        <v>10</v>
      </c>
      <c r="CQ82" s="16" t="n">
        <f aca="false">IF((CO82-CP82)&lt;0,0,(CO82-CP82))</f>
        <v>0</v>
      </c>
      <c r="CR82" s="7"/>
    </row>
    <row r="83" customFormat="false" ht="12.75" hidden="false" customHeight="true" outlineLevel="0" collapsed="false">
      <c r="A83" s="7" t="s">
        <v>95</v>
      </c>
      <c r="B83" s="7" t="s">
        <v>177</v>
      </c>
      <c r="C83" s="8" t="n">
        <v>5000002</v>
      </c>
      <c r="D83" s="9" t="n">
        <v>300</v>
      </c>
      <c r="E83" s="9" t="n">
        <v>480</v>
      </c>
      <c r="F83" s="9" t="n">
        <v>120</v>
      </c>
      <c r="G83" s="9" t="n">
        <v>360</v>
      </c>
      <c r="H83" s="9" t="n">
        <v>360</v>
      </c>
      <c r="I83" s="9" t="n">
        <v>750</v>
      </c>
      <c r="J83" s="9" t="n">
        <v>240</v>
      </c>
      <c r="K83" s="9" t="n">
        <v>360</v>
      </c>
      <c r="L83" s="9" t="n">
        <v>180</v>
      </c>
      <c r="M83" s="9" t="n">
        <v>540</v>
      </c>
      <c r="N83" s="9" t="n">
        <v>510</v>
      </c>
      <c r="O83" s="9" t="n">
        <v>200</v>
      </c>
      <c r="P83" s="9" t="n">
        <v>180</v>
      </c>
      <c r="Q83" s="9" t="n">
        <v>610</v>
      </c>
      <c r="R83" s="9" t="n">
        <v>420</v>
      </c>
      <c r="S83" s="9" t="n">
        <v>60</v>
      </c>
      <c r="T83" s="9" t="n">
        <v>400</v>
      </c>
      <c r="U83" s="9" t="n">
        <v>540</v>
      </c>
      <c r="V83" s="9" t="n">
        <v>680</v>
      </c>
      <c r="W83" s="9" t="n">
        <v>380</v>
      </c>
      <c r="X83" s="9" t="n">
        <v>340</v>
      </c>
      <c r="Y83" s="9" t="n">
        <v>300</v>
      </c>
      <c r="Z83" s="9" t="n">
        <v>520</v>
      </c>
      <c r="AA83" s="9" t="n">
        <v>380</v>
      </c>
      <c r="AB83" s="9" t="n">
        <v>160</v>
      </c>
      <c r="AC83" s="9" t="n">
        <v>470</v>
      </c>
      <c r="AD83" s="9" t="n">
        <v>640</v>
      </c>
      <c r="AE83" s="9" t="n">
        <v>480</v>
      </c>
      <c r="AF83" s="9" t="n">
        <v>260</v>
      </c>
      <c r="AG83" s="9" t="n">
        <v>360</v>
      </c>
      <c r="AH83" s="9" t="n">
        <v>400</v>
      </c>
      <c r="AI83" s="9" t="n">
        <v>360</v>
      </c>
      <c r="AJ83" s="9" t="n">
        <v>240</v>
      </c>
      <c r="AK83" s="9" t="n">
        <v>560</v>
      </c>
      <c r="AL83" s="9" t="n">
        <v>320</v>
      </c>
      <c r="AM83" s="9" t="n">
        <v>860</v>
      </c>
      <c r="AN83" s="9" t="n">
        <v>220</v>
      </c>
      <c r="AO83" s="9" t="n">
        <v>320</v>
      </c>
      <c r="AP83" s="9" t="n">
        <v>520</v>
      </c>
      <c r="AQ83" s="9" t="n">
        <v>260</v>
      </c>
      <c r="AR83" s="9" t="n">
        <v>160</v>
      </c>
      <c r="AS83" s="9" t="n">
        <v>160</v>
      </c>
      <c r="AT83" s="9" t="n">
        <v>280</v>
      </c>
      <c r="AU83" s="9" t="n">
        <v>280</v>
      </c>
      <c r="AV83" s="9" t="n">
        <v>120</v>
      </c>
      <c r="AW83" s="9" t="n">
        <v>60</v>
      </c>
      <c r="AX83" s="9" t="n">
        <v>380</v>
      </c>
      <c r="AY83" s="9" t="n">
        <v>280</v>
      </c>
      <c r="AZ83" s="9" t="n">
        <v>240</v>
      </c>
      <c r="BA83" s="9" t="n">
        <v>60</v>
      </c>
      <c r="BB83" s="9" t="n">
        <v>220</v>
      </c>
      <c r="BC83" s="9" t="n">
        <v>500</v>
      </c>
      <c r="BD83" s="9" t="n">
        <v>210</v>
      </c>
      <c r="BE83" s="9" t="n">
        <v>200</v>
      </c>
      <c r="BF83" s="9" t="n">
        <v>230</v>
      </c>
      <c r="BG83" s="9" t="n">
        <v>280</v>
      </c>
      <c r="BH83" s="9" t="n">
        <v>220</v>
      </c>
      <c r="BI83" s="9" t="n">
        <v>380</v>
      </c>
      <c r="BJ83" s="9"/>
      <c r="BK83" s="9" t="n">
        <v>416</v>
      </c>
      <c r="BL83" s="9" t="n">
        <v>200</v>
      </c>
      <c r="BM83" s="9" t="n">
        <v>60</v>
      </c>
      <c r="BN83" s="9" t="n">
        <v>310</v>
      </c>
      <c r="BO83" s="9" t="n">
        <v>180</v>
      </c>
      <c r="BP83" s="9" t="n">
        <v>240</v>
      </c>
      <c r="BQ83" s="9" t="n">
        <v>80</v>
      </c>
      <c r="BR83" s="9" t="n">
        <v>100</v>
      </c>
      <c r="BS83" s="9" t="n">
        <v>460</v>
      </c>
      <c r="BT83" s="9" t="n">
        <v>280</v>
      </c>
      <c r="BU83" s="10" t="n">
        <v>22226</v>
      </c>
      <c r="BV83" s="11" t="n">
        <f aca="false">IF(ISERROR(ROUND(MEDIAN(BQ83:BT83),0)),0,ROUND(MEDIAN(BQ83:BT83),0))</f>
        <v>190</v>
      </c>
      <c r="BW83" s="11" t="n">
        <f aca="false">IF(ISERROR(ROUND(MEDIAN(BM83:BT83),0)),0,ROUND(MEDIAN(BM83:BT83),0))</f>
        <v>210</v>
      </c>
      <c r="BX83" s="11" t="n">
        <f aca="false">IF(ISERROR(ROUND(MEDIAN(BI83:BT83),0)),0,ROUND(MEDIAN(BI83:BT83),0))</f>
        <v>240</v>
      </c>
      <c r="BY83" s="11" t="n">
        <f aca="false">IF(ISERROR(ROUND(MEDIAN(BE83:BT83),0)),0,ROUND(MEDIAN(BE83:BT83),0))</f>
        <v>230</v>
      </c>
      <c r="BZ83" s="11" t="n">
        <f aca="false">IF(ISERROR(ROUND(MEDIAN(AU83:BT83),0)),0,ROUND(MEDIAN(AU83:BT83),0))</f>
        <v>230</v>
      </c>
      <c r="CA83" s="12" t="n">
        <f aca="false">IF(ISERROR(ROUND(MEDIAN(U83:BT83),0)),0,ROUND(MEDIAN(U83:BT83),0))</f>
        <v>280</v>
      </c>
      <c r="CB83" s="12" t="n">
        <f aca="false">IF(ISERROR(ROUND(MEDIAN(BT83),0)),0,ROUND(MEDIAN(BT83),0))</f>
        <v>280</v>
      </c>
      <c r="CC83" s="12" t="n">
        <f aca="false">IF(ISERROR(ROUND(MEDIAN(D83:BT83),0)),0,ROUND(MEDIAN(D83:BT83),0))</f>
        <v>300</v>
      </c>
      <c r="CD83" s="12" t="n">
        <f aca="false">MAX(D83:BT83)</f>
        <v>860</v>
      </c>
      <c r="CE83" s="7" t="n">
        <f aca="false">COUNTA(BQ83:BT83)</f>
        <v>4</v>
      </c>
      <c r="CF83" s="7" t="n">
        <f aca="false">COUNTA(BM83:BT83)</f>
        <v>8</v>
      </c>
      <c r="CG83" s="7" t="n">
        <f aca="false">COUNTA(BI83:BT83)</f>
        <v>11</v>
      </c>
      <c r="CH83" s="7" t="n">
        <f aca="false">COUNTA(BE83:BT83)</f>
        <v>15</v>
      </c>
      <c r="CI83" s="7" t="n">
        <f aca="false">COUNTA(AU83:BT83)</f>
        <v>25</v>
      </c>
      <c r="CJ83" s="7" t="n">
        <f aca="false">COUNTA(U83:BT83)</f>
        <v>51</v>
      </c>
      <c r="CK83" s="7" t="n">
        <f aca="false">COUNTA(BT83)</f>
        <v>1</v>
      </c>
      <c r="CL83" s="7" t="n">
        <f aca="false">COUNTA(D83:BT83)</f>
        <v>68</v>
      </c>
      <c r="CM83" s="13" t="str">
        <f aca="false">IF(AND(CE83=1,CJ83=1,BT83&lt;&gt;""),"5.ENTRANTES",IF(AND(CE83&lt;&gt;0,CE83/RIGHT($CE$1,1)&gt;=0.5,CJ83=CE83),"4.RECENTES",IF(AND(CF83&lt;&gt;0,CF83/RIGHT($CF$1,1)&gt;=0.5,CJ83=CF83),"4.RECENTES",IF(AND(CG83&lt;&gt;0,CG83/RIGHT($CG$1,2)&gt;=0.5,CJ83=CG83),"4.RECENTES",IF(AND(CH83&lt;&gt;0,CH83/RIGHT($CH$1,2)&gt;=0.5,CJ83=CH83),"4.RECENTES",IF(AND(CI83&lt;&gt;0,CI83/RIGHT($CI$1,2)&gt;=0.5,CJ83=CI83),"4.RECENTES",IF(AND(CE83=0,CF83=0,CG83=0,CH83=0),"3.INATIVOS",IF(CJ83/RIGHT($CJ$1,2)&lt;0.5,"2.INTERMITENTES","1.ORDINÁRIOS"))))))))</f>
        <v>1.ORDINÁRIOS</v>
      </c>
      <c r="CN83" s="14" t="n">
        <f aca="false">IF(AND(CE83=1,CJ83=1,BT83&lt;&gt;""),BT83,IF(AND(CE83&lt;&gt;0,CE83/RIGHT($CE$1,1)&gt;=0.5,CJ83=CE83),MAX(BV83:CC83),IF(AND(CF83&lt;&gt;0,CF83/RIGHT($CF$1,1)&gt;=0.5,CJ83=CF83),MAX(BV83:CC83),IF(AND(CG83&lt;&gt;0,CG83/RIGHT($CG$1,2)&gt;=0.5,CJ83=CG83),MAX(BV83:CC83),IF(AND(CH83&lt;&gt;0,CH83/RIGHT($CH$1,2)&gt;=0.5,CJ83=CH83),MAX(BV83:CC83),IF(AND(CI83&lt;&gt;0,CI83/RIGHT($CI$1,2)&gt;=0.5,CJ83=CI83),MAX(BV83:CC83),IF(AND(CE83=0,CF83=0,CG83=0,CH83=0),0,IF(CJ83/RIGHT($CJ$1,2)&lt;0.5,ROUND(BU83/RIGHT($CJ$1,2),0),MAX(BV83:CC83)))))))))</f>
        <v>300</v>
      </c>
      <c r="CO83" s="14" t="n">
        <f aca="false">CN83*3</f>
        <v>900</v>
      </c>
      <c r="CP83" s="15" t="n">
        <v>860</v>
      </c>
      <c r="CQ83" s="16" t="n">
        <f aca="false">IF((CO83-CP83)&lt;0,0,(CO83-CP83))</f>
        <v>40</v>
      </c>
      <c r="CR83" s="7"/>
    </row>
    <row r="84" customFormat="false" ht="12.75" hidden="false" customHeight="true" outlineLevel="0" collapsed="false">
      <c r="A84" s="7" t="s">
        <v>95</v>
      </c>
      <c r="B84" s="7" t="s">
        <v>178</v>
      </c>
      <c r="C84" s="8" t="n">
        <v>5000003</v>
      </c>
      <c r="D84" s="9" t="n">
        <v>80</v>
      </c>
      <c r="E84" s="9" t="n">
        <v>270</v>
      </c>
      <c r="F84" s="9" t="n">
        <v>280</v>
      </c>
      <c r="G84" s="9" t="n">
        <v>240</v>
      </c>
      <c r="H84" s="9" t="n">
        <v>280</v>
      </c>
      <c r="I84" s="9" t="n">
        <v>480</v>
      </c>
      <c r="J84" s="9" t="n">
        <v>190</v>
      </c>
      <c r="K84" s="9" t="n">
        <v>160</v>
      </c>
      <c r="L84" s="9" t="n">
        <v>313</v>
      </c>
      <c r="M84" s="9" t="n">
        <v>520</v>
      </c>
      <c r="N84" s="9" t="n">
        <v>310</v>
      </c>
      <c r="O84" s="9" t="n">
        <v>270</v>
      </c>
      <c r="P84" s="9" t="n">
        <v>360</v>
      </c>
      <c r="Q84" s="9" t="n">
        <v>450</v>
      </c>
      <c r="R84" s="9" t="n">
        <v>360</v>
      </c>
      <c r="S84" s="9" t="n">
        <v>180</v>
      </c>
      <c r="T84" s="9" t="n">
        <v>270</v>
      </c>
      <c r="U84" s="9" t="n">
        <v>390</v>
      </c>
      <c r="V84" s="9" t="n">
        <v>450</v>
      </c>
      <c r="W84" s="9" t="n">
        <v>240</v>
      </c>
      <c r="X84" s="9" t="n">
        <v>210</v>
      </c>
      <c r="Y84" s="9" t="n">
        <v>240</v>
      </c>
      <c r="Z84" s="9" t="n">
        <v>270</v>
      </c>
      <c r="AA84" s="9" t="n">
        <v>150</v>
      </c>
      <c r="AB84" s="9" t="n">
        <v>390</v>
      </c>
      <c r="AC84" s="9" t="n">
        <v>270</v>
      </c>
      <c r="AD84" s="9" t="n">
        <v>420</v>
      </c>
      <c r="AE84" s="9" t="n">
        <v>310</v>
      </c>
      <c r="AF84" s="9" t="n">
        <v>180</v>
      </c>
      <c r="AG84" s="9" t="n">
        <v>330</v>
      </c>
      <c r="AH84" s="9" t="n">
        <v>350</v>
      </c>
      <c r="AI84" s="9" t="n">
        <v>330</v>
      </c>
      <c r="AJ84" s="9" t="n">
        <v>200</v>
      </c>
      <c r="AK84" s="9" t="n">
        <v>450</v>
      </c>
      <c r="AL84" s="9" t="n">
        <v>160</v>
      </c>
      <c r="AM84" s="9" t="n">
        <v>390</v>
      </c>
      <c r="AN84" s="9" t="n">
        <v>150</v>
      </c>
      <c r="AO84" s="9" t="n">
        <v>270</v>
      </c>
      <c r="AP84" s="9" t="n">
        <v>410</v>
      </c>
      <c r="AQ84" s="9" t="n">
        <v>460</v>
      </c>
      <c r="AR84" s="9" t="n">
        <v>140</v>
      </c>
      <c r="AS84" s="9" t="n">
        <v>240</v>
      </c>
      <c r="AT84" s="9" t="n">
        <v>230</v>
      </c>
      <c r="AU84" s="9" t="n">
        <v>311</v>
      </c>
      <c r="AV84" s="9" t="n">
        <v>149</v>
      </c>
      <c r="AW84" s="9" t="n">
        <v>140</v>
      </c>
      <c r="AX84" s="9" t="n">
        <v>390</v>
      </c>
      <c r="AY84" s="9" t="n">
        <v>280</v>
      </c>
      <c r="AZ84" s="9" t="n">
        <v>240</v>
      </c>
      <c r="BA84" s="9" t="n">
        <v>250</v>
      </c>
      <c r="BB84" s="9" t="n">
        <v>200</v>
      </c>
      <c r="BC84" s="9" t="n">
        <v>340</v>
      </c>
      <c r="BD84" s="9" t="n">
        <v>100</v>
      </c>
      <c r="BE84" s="9" t="n">
        <v>300</v>
      </c>
      <c r="BF84" s="9" t="n">
        <v>260</v>
      </c>
      <c r="BG84" s="9" t="n">
        <v>270</v>
      </c>
      <c r="BH84" s="9" t="n">
        <v>190</v>
      </c>
      <c r="BI84" s="9" t="n">
        <v>170</v>
      </c>
      <c r="BJ84" s="9" t="n">
        <v>100</v>
      </c>
      <c r="BK84" s="9" t="n">
        <v>280</v>
      </c>
      <c r="BL84" s="9" t="n">
        <v>210</v>
      </c>
      <c r="BM84" s="9" t="n">
        <v>120</v>
      </c>
      <c r="BN84" s="9" t="n">
        <v>240</v>
      </c>
      <c r="BO84" s="9" t="n">
        <v>180</v>
      </c>
      <c r="BP84" s="9" t="n">
        <v>190</v>
      </c>
      <c r="BQ84" s="9" t="n">
        <v>150</v>
      </c>
      <c r="BR84" s="9" t="n">
        <v>350</v>
      </c>
      <c r="BS84" s="9" t="n">
        <v>220</v>
      </c>
      <c r="BT84" s="9" t="n">
        <v>90</v>
      </c>
      <c r="BU84" s="10" t="n">
        <v>18363</v>
      </c>
      <c r="BV84" s="11" t="n">
        <f aca="false">IF(ISERROR(ROUND(MEDIAN(BQ84:BT84),0)),0,ROUND(MEDIAN(BQ84:BT84),0))</f>
        <v>185</v>
      </c>
      <c r="BW84" s="11" t="n">
        <f aca="false">IF(ISERROR(ROUND(MEDIAN(BM84:BT84),0)),0,ROUND(MEDIAN(BM84:BT84),0))</f>
        <v>185</v>
      </c>
      <c r="BX84" s="11" t="n">
        <f aca="false">IF(ISERROR(ROUND(MEDIAN(BI84:BT84),0)),0,ROUND(MEDIAN(BI84:BT84),0))</f>
        <v>185</v>
      </c>
      <c r="BY84" s="11" t="n">
        <f aca="false">IF(ISERROR(ROUND(MEDIAN(BE84:BT84),0)),0,ROUND(MEDIAN(BE84:BT84),0))</f>
        <v>200</v>
      </c>
      <c r="BZ84" s="11" t="n">
        <f aca="false">IF(ISERROR(ROUND(MEDIAN(AU84:BT84),0)),0,ROUND(MEDIAN(AU84:BT84),0))</f>
        <v>215</v>
      </c>
      <c r="CA84" s="12" t="n">
        <f aca="false">IF(ISERROR(ROUND(MEDIAN(U84:BT84),0)),0,ROUND(MEDIAN(U84:BT84),0))</f>
        <v>240</v>
      </c>
      <c r="CB84" s="12" t="n">
        <f aca="false">IF(ISERROR(ROUND(MEDIAN(BT84),0)),0,ROUND(MEDIAN(BT84),0))</f>
        <v>90</v>
      </c>
      <c r="CC84" s="12" t="n">
        <f aca="false">IF(ISERROR(ROUND(MEDIAN(D84:BT84),0)),0,ROUND(MEDIAN(D84:BT84),0))</f>
        <v>270</v>
      </c>
      <c r="CD84" s="12" t="n">
        <f aca="false">MAX(D84:BT84)</f>
        <v>520</v>
      </c>
      <c r="CE84" s="7" t="n">
        <f aca="false">COUNTA(BQ84:BT84)</f>
        <v>4</v>
      </c>
      <c r="CF84" s="7" t="n">
        <f aca="false">COUNTA(BM84:BT84)</f>
        <v>8</v>
      </c>
      <c r="CG84" s="7" t="n">
        <f aca="false">COUNTA(BI84:BT84)</f>
        <v>12</v>
      </c>
      <c r="CH84" s="7" t="n">
        <f aca="false">COUNTA(BE84:BT84)</f>
        <v>16</v>
      </c>
      <c r="CI84" s="7" t="n">
        <f aca="false">COUNTA(AU84:BT84)</f>
        <v>26</v>
      </c>
      <c r="CJ84" s="7" t="n">
        <f aca="false">COUNTA(U84:BT84)</f>
        <v>52</v>
      </c>
      <c r="CK84" s="7" t="n">
        <f aca="false">COUNTA(BT84)</f>
        <v>1</v>
      </c>
      <c r="CL84" s="7" t="n">
        <f aca="false">COUNTA(D84:BT84)</f>
        <v>69</v>
      </c>
      <c r="CM84" s="13" t="str">
        <f aca="false">IF(AND(CE84=1,CJ84=1,BT84&lt;&gt;""),"5.ENTRANTES",IF(AND(CE84&lt;&gt;0,CE84/RIGHT($CE$1,1)&gt;=0.5,CJ84=CE84),"4.RECENTES",IF(AND(CF84&lt;&gt;0,CF84/RIGHT($CF$1,1)&gt;=0.5,CJ84=CF84),"4.RECENTES",IF(AND(CG84&lt;&gt;0,CG84/RIGHT($CG$1,2)&gt;=0.5,CJ84=CG84),"4.RECENTES",IF(AND(CH84&lt;&gt;0,CH84/RIGHT($CH$1,2)&gt;=0.5,CJ84=CH84),"4.RECENTES",IF(AND(CI84&lt;&gt;0,CI84/RIGHT($CI$1,2)&gt;=0.5,CJ84=CI84),"4.RECENTES",IF(AND(CE84=0,CF84=0,CG84=0,CH84=0),"3.INATIVOS",IF(CJ84/RIGHT($CJ$1,2)&lt;0.5,"2.INTERMITENTES","1.ORDINÁRIOS"))))))))</f>
        <v>1.ORDINÁRIOS</v>
      </c>
      <c r="CN84" s="14" t="n">
        <f aca="false">IF(AND(CE84=1,CJ84=1,BT84&lt;&gt;""),BT84,IF(AND(CE84&lt;&gt;0,CE84/RIGHT($CE$1,1)&gt;=0.5,CJ84=CE84),MAX(BV84:CC84),IF(AND(CF84&lt;&gt;0,CF84/RIGHT($CF$1,1)&gt;=0.5,CJ84=CF84),MAX(BV84:CC84),IF(AND(CG84&lt;&gt;0,CG84/RIGHT($CG$1,2)&gt;=0.5,CJ84=CG84),MAX(BV84:CC84),IF(AND(CH84&lt;&gt;0,CH84/RIGHT($CH$1,2)&gt;=0.5,CJ84=CH84),MAX(BV84:CC84),IF(AND(CI84&lt;&gt;0,CI84/RIGHT($CI$1,2)&gt;=0.5,CJ84=CI84),MAX(BV84:CC84),IF(AND(CE84=0,CF84=0,CG84=0,CH84=0),0,IF(CJ84/RIGHT($CJ$1,2)&lt;0.5,ROUND(BU84/RIGHT($CJ$1,2),0),MAX(BV84:CC84)))))))))</f>
        <v>270</v>
      </c>
      <c r="CO84" s="14" t="n">
        <f aca="false">CN84*3</f>
        <v>810</v>
      </c>
      <c r="CP84" s="15" t="n">
        <v>620</v>
      </c>
      <c r="CQ84" s="16" t="n">
        <f aca="false">IF((CO84-CP84)&lt;0,0,(CO84-CP84))</f>
        <v>190</v>
      </c>
      <c r="CR84" s="7"/>
    </row>
    <row r="85" customFormat="false" ht="12.75" hidden="false" customHeight="true" outlineLevel="0" collapsed="false">
      <c r="A85" s="7" t="s">
        <v>95</v>
      </c>
      <c r="B85" s="7" t="s">
        <v>179</v>
      </c>
      <c r="C85" s="8" t="n">
        <v>5000032</v>
      </c>
      <c r="D85" s="9"/>
      <c r="E85" s="9"/>
      <c r="F85" s="9"/>
      <c r="G85" s="9" t="n">
        <v>6</v>
      </c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 t="n">
        <v>3</v>
      </c>
      <c r="AW85" s="9"/>
      <c r="AX85" s="9"/>
      <c r="AY85" s="9"/>
      <c r="AZ85" s="9"/>
      <c r="BA85" s="9" t="n">
        <v>3</v>
      </c>
      <c r="BB85" s="9"/>
      <c r="BC85" s="9"/>
      <c r="BD85" s="9"/>
      <c r="BE85" s="9"/>
      <c r="BF85" s="9" t="n">
        <v>4</v>
      </c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  <c r="BS85" s="9"/>
      <c r="BT85" s="9"/>
      <c r="BU85" s="10" t="n">
        <v>16</v>
      </c>
      <c r="BV85" s="11" t="n">
        <f aca="false">IF(ISERROR(ROUND(MEDIAN(BQ85:BT85),0)),0,ROUND(MEDIAN(BQ85:BT85),0))</f>
        <v>0</v>
      </c>
      <c r="BW85" s="11" t="n">
        <f aca="false">IF(ISERROR(ROUND(MEDIAN(BM85:BT85),0)),0,ROUND(MEDIAN(BM85:BT85),0))</f>
        <v>0</v>
      </c>
      <c r="BX85" s="11" t="n">
        <f aca="false">IF(ISERROR(ROUND(MEDIAN(BI85:BT85),0)),0,ROUND(MEDIAN(BI85:BT85),0))</f>
        <v>0</v>
      </c>
      <c r="BY85" s="11" t="n">
        <f aca="false">IF(ISERROR(ROUND(MEDIAN(BE85:BT85),0)),0,ROUND(MEDIAN(BE85:BT85),0))</f>
        <v>4</v>
      </c>
      <c r="BZ85" s="11" t="n">
        <f aca="false">IF(ISERROR(ROUND(MEDIAN(AU85:BT85),0)),0,ROUND(MEDIAN(AU85:BT85),0))</f>
        <v>3</v>
      </c>
      <c r="CA85" s="12" t="n">
        <f aca="false">IF(ISERROR(ROUND(MEDIAN(U85:BT85),0)),0,ROUND(MEDIAN(U85:BT85),0))</f>
        <v>3</v>
      </c>
      <c r="CB85" s="12" t="n">
        <f aca="false">IF(ISERROR(ROUND(MEDIAN(BT85),0)),0,ROUND(MEDIAN(BT85),0))</f>
        <v>0</v>
      </c>
      <c r="CC85" s="12" t="n">
        <f aca="false">IF(ISERROR(ROUND(MEDIAN(D85:BT85),0)),0,ROUND(MEDIAN(D85:BT85),0))</f>
        <v>4</v>
      </c>
      <c r="CD85" s="12" t="n">
        <f aca="false">MAX(D85:BT85)</f>
        <v>6</v>
      </c>
      <c r="CE85" s="7" t="n">
        <f aca="false">COUNTA(BQ85:BT85)</f>
        <v>0</v>
      </c>
      <c r="CF85" s="7" t="n">
        <f aca="false">COUNTA(BM85:BT85)</f>
        <v>0</v>
      </c>
      <c r="CG85" s="7" t="n">
        <f aca="false">COUNTA(BI85:BT85)</f>
        <v>0</v>
      </c>
      <c r="CH85" s="7" t="n">
        <f aca="false">COUNTA(BE85:BT85)</f>
        <v>1</v>
      </c>
      <c r="CI85" s="7" t="n">
        <f aca="false">COUNTA(AU85:BT85)</f>
        <v>3</v>
      </c>
      <c r="CJ85" s="7" t="n">
        <f aca="false">COUNTA(U85:BT85)</f>
        <v>3</v>
      </c>
      <c r="CK85" s="7" t="n">
        <f aca="false">COUNTA(BT85)</f>
        <v>0</v>
      </c>
      <c r="CL85" s="7" t="n">
        <f aca="false">COUNTA(D85:BT85)</f>
        <v>4</v>
      </c>
      <c r="CM85" s="17" t="str">
        <f aca="false">IF(AND(CE85=1,CJ85=1,BT85&lt;&gt;""),"5.ENTRANTES",IF(AND(CE85&lt;&gt;0,CE85/RIGHT($CE$1,1)&gt;=0.5,CJ85=CE85),"4.RECENTES",IF(AND(CF85&lt;&gt;0,CF85/RIGHT($CF$1,1)&gt;=0.5,CJ85=CF85),"4.RECENTES",IF(AND(CG85&lt;&gt;0,CG85/RIGHT($CG$1,2)&gt;=0.5,CJ85=CG85),"4.RECENTES",IF(AND(CH85&lt;&gt;0,CH85/RIGHT($CH$1,2)&gt;=0.5,CJ85=CH85),"4.RECENTES",IF(AND(CI85&lt;&gt;0,CI85/RIGHT($CI$1,2)&gt;=0.5,CJ85=CI85),"4.RECENTES",IF(AND(CE85=0,CF85=0,CG85=0,CH85=0),"3.INATIVOS",IF(CJ85/RIGHT($CJ$1,2)&lt;0.5,"2.INTERMITENTES","1.ORDINÁRIOS"))))))))</f>
        <v>2.INTERMITENTES</v>
      </c>
      <c r="CN85" s="18" t="n">
        <f aca="false">IF(AND(CE85=1,CJ85=1,BT85&lt;&gt;""),BT85,IF(AND(CE85&lt;&gt;0,CE85/RIGHT($CE$1,1)&gt;=0.5,CJ85=CE85),MAX(BV85:CC85),IF(AND(CF85&lt;&gt;0,CF85/RIGHT($CF$1,1)&gt;=0.5,CJ85=CF85),MAX(BV85:CC85),IF(AND(CG85&lt;&gt;0,CG85/RIGHT($CG$1,2)&gt;=0.5,CJ85=CG85),MAX(BV85:CC85),IF(AND(CH85&lt;&gt;0,CH85/RIGHT($CH$1,2)&gt;=0.5,CJ85=CH85),MAX(BV85:CC85),IF(AND(CI85&lt;&gt;0,CI85/RIGHT($CI$1,2)&gt;=0.5,CJ85=CI85),MAX(BV85:CC85),IF(AND(CE85=0,CF85=0,CG85=0,CH85=0),0,IF(CJ85/RIGHT($CJ$1,2)&lt;0.5,ROUND(BU85/RIGHT($CJ$1,2),0),MAX(BV85:CC85)))))))))</f>
        <v>0</v>
      </c>
      <c r="CO85" s="18" t="n">
        <f aca="false">CD85</f>
        <v>6</v>
      </c>
      <c r="CP85" s="15" t="n">
        <v>21</v>
      </c>
      <c r="CQ85" s="16" t="n">
        <f aca="false">IF((CO85-CP85)&lt;0,0,(CO85-CP85))</f>
        <v>0</v>
      </c>
      <c r="CR85" s="7"/>
    </row>
    <row r="86" customFormat="false" ht="12.75" hidden="false" customHeight="true" outlineLevel="0" collapsed="false">
      <c r="A86" s="7" t="s">
        <v>95</v>
      </c>
      <c r="B86" s="7" t="s">
        <v>180</v>
      </c>
      <c r="C86" s="8" t="n">
        <v>307001002</v>
      </c>
      <c r="D86" s="9" t="n">
        <v>30</v>
      </c>
      <c r="E86" s="9" t="n">
        <v>240</v>
      </c>
      <c r="F86" s="9" t="n">
        <v>450</v>
      </c>
      <c r="G86" s="9" t="n">
        <v>90</v>
      </c>
      <c r="H86" s="9" t="n">
        <v>180</v>
      </c>
      <c r="I86" s="9" t="n">
        <v>180</v>
      </c>
      <c r="J86" s="9" t="n">
        <v>420</v>
      </c>
      <c r="K86" s="9" t="n">
        <v>360</v>
      </c>
      <c r="L86" s="9" t="n">
        <v>150</v>
      </c>
      <c r="M86" s="9" t="n">
        <v>120</v>
      </c>
      <c r="N86" s="9" t="n">
        <v>270</v>
      </c>
      <c r="O86" s="9" t="n">
        <v>360</v>
      </c>
      <c r="P86" s="9" t="n">
        <v>120</v>
      </c>
      <c r="Q86" s="9" t="n">
        <v>90</v>
      </c>
      <c r="R86" s="9" t="n">
        <v>270</v>
      </c>
      <c r="S86" s="9" t="n">
        <v>270</v>
      </c>
      <c r="T86" s="9" t="n">
        <v>120</v>
      </c>
      <c r="U86" s="9" t="n">
        <v>270</v>
      </c>
      <c r="V86" s="9" t="n">
        <v>150</v>
      </c>
      <c r="W86" s="9" t="n">
        <v>420</v>
      </c>
      <c r="X86" s="9" t="n">
        <v>90</v>
      </c>
      <c r="Y86" s="9" t="n">
        <v>225</v>
      </c>
      <c r="Z86" s="9" t="n">
        <v>150</v>
      </c>
      <c r="AA86" s="9" t="n">
        <v>390</v>
      </c>
      <c r="AB86" s="9" t="n">
        <v>240</v>
      </c>
      <c r="AC86" s="9" t="n">
        <v>270</v>
      </c>
      <c r="AD86" s="9" t="n">
        <v>180</v>
      </c>
      <c r="AE86" s="9" t="n">
        <v>300</v>
      </c>
      <c r="AF86" s="9" t="n">
        <v>240</v>
      </c>
      <c r="AG86" s="9" t="n">
        <v>210</v>
      </c>
      <c r="AH86" s="9" t="n">
        <v>300</v>
      </c>
      <c r="AI86" s="9" t="n">
        <v>240</v>
      </c>
      <c r="AJ86" s="9" t="n">
        <v>420</v>
      </c>
      <c r="AK86" s="9" t="n">
        <v>180</v>
      </c>
      <c r="AL86" s="9" t="n">
        <v>270</v>
      </c>
      <c r="AM86" s="9" t="n">
        <v>240</v>
      </c>
      <c r="AN86" s="9" t="n">
        <v>330</v>
      </c>
      <c r="AO86" s="9" t="n">
        <v>240</v>
      </c>
      <c r="AP86" s="9" t="n">
        <v>360</v>
      </c>
      <c r="AQ86" s="9" t="n">
        <v>210</v>
      </c>
      <c r="AR86" s="9" t="n">
        <v>360</v>
      </c>
      <c r="AS86" s="9" t="n">
        <v>210</v>
      </c>
      <c r="AT86" s="9" t="n">
        <v>250</v>
      </c>
      <c r="AU86" s="9" t="n">
        <v>210</v>
      </c>
      <c r="AV86" s="9" t="n">
        <v>240</v>
      </c>
      <c r="AW86" s="9" t="n">
        <v>390</v>
      </c>
      <c r="AX86" s="9" t="n">
        <v>270</v>
      </c>
      <c r="AY86" s="9" t="n">
        <v>150</v>
      </c>
      <c r="AZ86" s="9" t="n">
        <v>180</v>
      </c>
      <c r="BA86" s="9" t="n">
        <v>240</v>
      </c>
      <c r="BB86" s="9" t="n">
        <v>270</v>
      </c>
      <c r="BC86" s="9" t="n">
        <v>180</v>
      </c>
      <c r="BD86" s="9" t="n">
        <v>150</v>
      </c>
      <c r="BE86" s="9" t="n">
        <v>360</v>
      </c>
      <c r="BF86" s="9" t="n">
        <v>210</v>
      </c>
      <c r="BG86" s="9" t="n">
        <v>345</v>
      </c>
      <c r="BH86" s="9" t="n">
        <v>30</v>
      </c>
      <c r="BI86" s="9" t="n">
        <v>285</v>
      </c>
      <c r="BJ86" s="9" t="n">
        <v>360</v>
      </c>
      <c r="BK86" s="9" t="n">
        <v>210</v>
      </c>
      <c r="BL86" s="9" t="n">
        <v>240</v>
      </c>
      <c r="BM86" s="9" t="n">
        <v>300</v>
      </c>
      <c r="BN86" s="9" t="n">
        <v>150</v>
      </c>
      <c r="BO86" s="9" t="n">
        <v>240</v>
      </c>
      <c r="BP86" s="9" t="n">
        <v>300</v>
      </c>
      <c r="BQ86" s="9" t="n">
        <v>420</v>
      </c>
      <c r="BR86" s="9" t="n">
        <v>180</v>
      </c>
      <c r="BS86" s="9" t="n">
        <v>300</v>
      </c>
      <c r="BT86" s="9" t="n">
        <v>150</v>
      </c>
      <c r="BU86" s="10" t="n">
        <v>16825</v>
      </c>
      <c r="BV86" s="11" t="n">
        <f aca="false">IF(ISERROR(ROUND(MEDIAN(BQ86:BT86),0)),0,ROUND(MEDIAN(BQ86:BT86),0))</f>
        <v>240</v>
      </c>
      <c r="BW86" s="11" t="n">
        <f aca="false">IF(ISERROR(ROUND(MEDIAN(BM86:BT86),0)),0,ROUND(MEDIAN(BM86:BT86),0))</f>
        <v>270</v>
      </c>
      <c r="BX86" s="11" t="n">
        <f aca="false">IF(ISERROR(ROUND(MEDIAN(BI86:BT86),0)),0,ROUND(MEDIAN(BI86:BT86),0))</f>
        <v>263</v>
      </c>
      <c r="BY86" s="11" t="n">
        <f aca="false">IF(ISERROR(ROUND(MEDIAN(BE86:BT86),0)),0,ROUND(MEDIAN(BE86:BT86),0))</f>
        <v>263</v>
      </c>
      <c r="BZ86" s="11" t="n">
        <f aca="false">IF(ISERROR(ROUND(MEDIAN(AU86:BT86),0)),0,ROUND(MEDIAN(AU86:BT86),0))</f>
        <v>240</v>
      </c>
      <c r="CA86" s="12" t="n">
        <f aca="false">IF(ISERROR(ROUND(MEDIAN(U86:BT86),0)),0,ROUND(MEDIAN(U86:BT86),0))</f>
        <v>240</v>
      </c>
      <c r="CB86" s="12" t="n">
        <f aca="false">IF(ISERROR(ROUND(MEDIAN(BT86),0)),0,ROUND(MEDIAN(BT86),0))</f>
        <v>150</v>
      </c>
      <c r="CC86" s="12" t="n">
        <f aca="false">IF(ISERROR(ROUND(MEDIAN(D86:BT86),0)),0,ROUND(MEDIAN(D86:BT86),0))</f>
        <v>240</v>
      </c>
      <c r="CD86" s="12" t="n">
        <f aca="false">MAX(D86:BT86)</f>
        <v>450</v>
      </c>
      <c r="CE86" s="7" t="n">
        <f aca="false">COUNTA(BQ86:BT86)</f>
        <v>4</v>
      </c>
      <c r="CF86" s="7" t="n">
        <f aca="false">COUNTA(BM86:BT86)</f>
        <v>8</v>
      </c>
      <c r="CG86" s="7" t="n">
        <f aca="false">COUNTA(BI86:BT86)</f>
        <v>12</v>
      </c>
      <c r="CH86" s="7" t="n">
        <f aca="false">COUNTA(BE86:BT86)</f>
        <v>16</v>
      </c>
      <c r="CI86" s="7" t="n">
        <f aca="false">COUNTA(AU86:BT86)</f>
        <v>26</v>
      </c>
      <c r="CJ86" s="7" t="n">
        <f aca="false">COUNTA(U86:BT86)</f>
        <v>52</v>
      </c>
      <c r="CK86" s="7" t="n">
        <f aca="false">COUNTA(BT86)</f>
        <v>1</v>
      </c>
      <c r="CL86" s="7" t="n">
        <f aca="false">COUNTA(D86:BT86)</f>
        <v>69</v>
      </c>
      <c r="CM86" s="13" t="str">
        <f aca="false">IF(AND(CE86=1,CJ86=1,BT86&lt;&gt;""),"5.ENTRANTES",IF(AND(CE86&lt;&gt;0,CE86/RIGHT($CE$1,1)&gt;=0.5,CJ86=CE86),"4.RECENTES",IF(AND(CF86&lt;&gt;0,CF86/RIGHT($CF$1,1)&gt;=0.5,CJ86=CF86),"4.RECENTES",IF(AND(CG86&lt;&gt;0,CG86/RIGHT($CG$1,2)&gt;=0.5,CJ86=CG86),"4.RECENTES",IF(AND(CH86&lt;&gt;0,CH86/RIGHT($CH$1,2)&gt;=0.5,CJ86=CH86),"4.RECENTES",IF(AND(CI86&lt;&gt;0,CI86/RIGHT($CI$1,2)&gt;=0.5,CJ86=CI86),"4.RECENTES",IF(AND(CE86=0,CF86=0,CG86=0,CH86=0),"3.INATIVOS",IF(CJ86/RIGHT($CJ$1,2)&lt;0.5,"2.INTERMITENTES","1.ORDINÁRIOS"))))))))</f>
        <v>1.ORDINÁRIOS</v>
      </c>
      <c r="CN86" s="14" t="n">
        <f aca="false">IF(AND(CE86=1,CJ86=1,BT86&lt;&gt;""),BT86,IF(AND(CE86&lt;&gt;0,CE86/RIGHT($CE$1,1)&gt;=0.5,CJ86=CE86),MAX(BV86:CC86),IF(AND(CF86&lt;&gt;0,CF86/RIGHT($CF$1,1)&gt;=0.5,CJ86=CF86),MAX(BV86:CC86),IF(AND(CG86&lt;&gt;0,CG86/RIGHT($CG$1,2)&gt;=0.5,CJ86=CG86),MAX(BV86:CC86),IF(AND(CH86&lt;&gt;0,CH86/RIGHT($CH$1,2)&gt;=0.5,CJ86=CH86),MAX(BV86:CC86),IF(AND(CI86&lt;&gt;0,CI86/RIGHT($CI$1,2)&gt;=0.5,CJ86=CI86),MAX(BV86:CC86),IF(AND(CE86=0,CF86=0,CG86=0,CH86=0),0,IF(CJ86/RIGHT($CJ$1,2)&lt;0.5,ROUND(BU86/RIGHT($CJ$1,2),0),MAX(BV86:CC86)))))))))</f>
        <v>270</v>
      </c>
      <c r="CO86" s="14" t="n">
        <f aca="false">CN86*3</f>
        <v>810</v>
      </c>
      <c r="CP86" s="15" t="n">
        <v>600</v>
      </c>
      <c r="CQ86" s="16" t="n">
        <f aca="false">IF((CO86-CP86)&lt;0,0,(CO86-CP86))</f>
        <v>210</v>
      </c>
      <c r="CR86" s="7"/>
    </row>
    <row r="87" customFormat="false" ht="12.75" hidden="false" customHeight="true" outlineLevel="0" collapsed="false">
      <c r="A87" s="7" t="s">
        <v>95</v>
      </c>
      <c r="B87" s="7" t="s">
        <v>181</v>
      </c>
      <c r="C87" s="8" t="n">
        <v>2000060</v>
      </c>
      <c r="D87" s="9" t="n">
        <v>4</v>
      </c>
      <c r="E87" s="9" t="n">
        <v>30</v>
      </c>
      <c r="F87" s="9" t="n">
        <v>20</v>
      </c>
      <c r="G87" s="9" t="n">
        <v>30</v>
      </c>
      <c r="H87" s="9"/>
      <c r="I87" s="9" t="n">
        <v>22</v>
      </c>
      <c r="J87" s="9" t="n">
        <v>58</v>
      </c>
      <c r="K87" s="9" t="n">
        <v>21</v>
      </c>
      <c r="L87" s="9" t="n">
        <v>14</v>
      </c>
      <c r="M87" s="9" t="n">
        <v>42</v>
      </c>
      <c r="N87" s="9" t="n">
        <v>12</v>
      </c>
      <c r="O87" s="9" t="n">
        <v>8</v>
      </c>
      <c r="P87" s="9" t="n">
        <v>14</v>
      </c>
      <c r="Q87" s="9" t="n">
        <v>20</v>
      </c>
      <c r="R87" s="9" t="n">
        <v>8</v>
      </c>
      <c r="S87" s="9" t="n">
        <v>11</v>
      </c>
      <c r="T87" s="9" t="n">
        <v>19</v>
      </c>
      <c r="U87" s="9" t="n">
        <v>18</v>
      </c>
      <c r="V87" s="9" t="n">
        <v>30</v>
      </c>
      <c r="W87" s="9" t="n">
        <v>14</v>
      </c>
      <c r="X87" s="9" t="n">
        <v>19</v>
      </c>
      <c r="Y87" s="9" t="n">
        <v>13</v>
      </c>
      <c r="Z87" s="9" t="n">
        <v>15</v>
      </c>
      <c r="AA87" s="9" t="n">
        <v>38</v>
      </c>
      <c r="AB87" s="9" t="n">
        <v>12</v>
      </c>
      <c r="AC87" s="9" t="n">
        <v>29</v>
      </c>
      <c r="AD87" s="9" t="n">
        <v>24</v>
      </c>
      <c r="AE87" s="9" t="n">
        <v>18</v>
      </c>
      <c r="AF87" s="9" t="n">
        <v>18</v>
      </c>
      <c r="AG87" s="9" t="n">
        <v>10</v>
      </c>
      <c r="AH87" s="9"/>
      <c r="AI87" s="9" t="n">
        <v>6</v>
      </c>
      <c r="AJ87" s="9" t="n">
        <v>6</v>
      </c>
      <c r="AK87" s="9" t="n">
        <v>8</v>
      </c>
      <c r="AL87" s="9" t="n">
        <v>16</v>
      </c>
      <c r="AM87" s="9" t="n">
        <v>10</v>
      </c>
      <c r="AN87" s="9" t="n">
        <v>14</v>
      </c>
      <c r="AO87" s="9" t="n">
        <v>37</v>
      </c>
      <c r="AP87" s="9" t="n">
        <v>30</v>
      </c>
      <c r="AQ87" s="9" t="n">
        <v>38</v>
      </c>
      <c r="AR87" s="9" t="n">
        <v>16</v>
      </c>
      <c r="AS87" s="9" t="n">
        <v>6</v>
      </c>
      <c r="AT87" s="9" t="n">
        <v>8</v>
      </c>
      <c r="AU87" s="9" t="n">
        <v>4</v>
      </c>
      <c r="AV87" s="9" t="n">
        <v>26</v>
      </c>
      <c r="AW87" s="9" t="n">
        <v>10</v>
      </c>
      <c r="AX87" s="9" t="n">
        <v>14</v>
      </c>
      <c r="AY87" s="9"/>
      <c r="AZ87" s="9" t="n">
        <v>14</v>
      </c>
      <c r="BA87" s="9" t="n">
        <v>12</v>
      </c>
      <c r="BB87" s="9" t="n">
        <v>8</v>
      </c>
      <c r="BC87" s="9"/>
      <c r="BD87" s="9" t="n">
        <v>10</v>
      </c>
      <c r="BE87" s="9" t="n">
        <v>8</v>
      </c>
      <c r="BF87" s="9" t="n">
        <v>6</v>
      </c>
      <c r="BG87" s="9" t="n">
        <v>24</v>
      </c>
      <c r="BH87" s="9" t="n">
        <v>56</v>
      </c>
      <c r="BI87" s="9" t="n">
        <v>6</v>
      </c>
      <c r="BJ87" s="9" t="n">
        <v>12</v>
      </c>
      <c r="BK87" s="9"/>
      <c r="BL87" s="9" t="n">
        <v>2</v>
      </c>
      <c r="BM87" s="9" t="n">
        <v>84</v>
      </c>
      <c r="BN87" s="9"/>
      <c r="BO87" s="9" t="n">
        <v>12</v>
      </c>
      <c r="BP87" s="9" t="n">
        <v>10</v>
      </c>
      <c r="BQ87" s="9" t="n">
        <v>2</v>
      </c>
      <c r="BR87" s="9" t="n">
        <v>10</v>
      </c>
      <c r="BS87" s="9" t="n">
        <v>2</v>
      </c>
      <c r="BT87" s="9"/>
      <c r="BU87" s="10" t="n">
        <v>1118</v>
      </c>
      <c r="BV87" s="11" t="n">
        <f aca="false">IF(ISERROR(ROUND(MEDIAN(BQ87:BT87),0)),0,ROUND(MEDIAN(BQ87:BT87),0))</f>
        <v>2</v>
      </c>
      <c r="BW87" s="11" t="n">
        <f aca="false">IF(ISERROR(ROUND(MEDIAN(BM87:BT87),0)),0,ROUND(MEDIAN(BM87:BT87),0))</f>
        <v>10</v>
      </c>
      <c r="BX87" s="11" t="n">
        <f aca="false">IF(ISERROR(ROUND(MEDIAN(BI87:BT87),0)),0,ROUND(MEDIAN(BI87:BT87),0))</f>
        <v>10</v>
      </c>
      <c r="BY87" s="11" t="n">
        <f aca="false">IF(ISERROR(ROUND(MEDIAN(BE87:BT87),0)),0,ROUND(MEDIAN(BE87:BT87),0))</f>
        <v>10</v>
      </c>
      <c r="BZ87" s="11" t="n">
        <f aca="false">IF(ISERROR(ROUND(MEDIAN(AU87:BT87),0)),0,ROUND(MEDIAN(AU87:BT87),0))</f>
        <v>10</v>
      </c>
      <c r="CA87" s="12" t="n">
        <f aca="false">IF(ISERROR(ROUND(MEDIAN(U87:BT87),0)),0,ROUND(MEDIAN(U87:BT87),0))</f>
        <v>13</v>
      </c>
      <c r="CB87" s="12" t="n">
        <f aca="false">IF(ISERROR(ROUND(MEDIAN(BT87),0)),0,ROUND(MEDIAN(BT87),0))</f>
        <v>0</v>
      </c>
      <c r="CC87" s="12" t="n">
        <f aca="false">IF(ISERROR(ROUND(MEDIAN(D87:BT87),0)),0,ROUND(MEDIAN(D87:BT87),0))</f>
        <v>14</v>
      </c>
      <c r="CD87" s="12" t="n">
        <f aca="false">MAX(D87:BT87)</f>
        <v>84</v>
      </c>
      <c r="CE87" s="7" t="n">
        <f aca="false">COUNTA(BQ87:BT87)</f>
        <v>3</v>
      </c>
      <c r="CF87" s="7" t="n">
        <f aca="false">COUNTA(BM87:BT87)</f>
        <v>6</v>
      </c>
      <c r="CG87" s="7" t="n">
        <f aca="false">COUNTA(BI87:BT87)</f>
        <v>9</v>
      </c>
      <c r="CH87" s="7" t="n">
        <f aca="false">COUNTA(BE87:BT87)</f>
        <v>13</v>
      </c>
      <c r="CI87" s="7" t="n">
        <f aca="false">COUNTA(AU87:BT87)</f>
        <v>21</v>
      </c>
      <c r="CJ87" s="7" t="n">
        <f aca="false">COUNTA(U87:BT87)</f>
        <v>46</v>
      </c>
      <c r="CK87" s="7" t="n">
        <f aca="false">COUNTA(BT87)</f>
        <v>0</v>
      </c>
      <c r="CL87" s="7" t="n">
        <f aca="false">COUNTA(D87:BT87)</f>
        <v>62</v>
      </c>
      <c r="CM87" s="13" t="str">
        <f aca="false">IF(AND(CE87=1,CJ87=1,BT87&lt;&gt;""),"5.ENTRANTES",IF(AND(CE87&lt;&gt;0,CE87/RIGHT($CE$1,1)&gt;=0.5,CJ87=CE87),"4.RECENTES",IF(AND(CF87&lt;&gt;0,CF87/RIGHT($CF$1,1)&gt;=0.5,CJ87=CF87),"4.RECENTES",IF(AND(CG87&lt;&gt;0,CG87/RIGHT($CG$1,2)&gt;=0.5,CJ87=CG87),"4.RECENTES",IF(AND(CH87&lt;&gt;0,CH87/RIGHT($CH$1,2)&gt;=0.5,CJ87=CH87),"4.RECENTES",IF(AND(CI87&lt;&gt;0,CI87/RIGHT($CI$1,2)&gt;=0.5,CJ87=CI87),"4.RECENTES",IF(AND(CE87=0,CF87=0,CG87=0,CH87=0),"3.INATIVOS",IF(CJ87/RIGHT($CJ$1,2)&lt;0.5,"2.INTERMITENTES","1.ORDINÁRIOS"))))))))</f>
        <v>1.ORDINÁRIOS</v>
      </c>
      <c r="CN87" s="14" t="n">
        <f aca="false">IF(AND(CE87=1,CJ87=1,BT87&lt;&gt;""),BT87,IF(AND(CE87&lt;&gt;0,CE87/RIGHT($CE$1,1)&gt;=0.5,CJ87=CE87),MAX(BV87:CC87),IF(AND(CF87&lt;&gt;0,CF87/RIGHT($CF$1,1)&gt;=0.5,CJ87=CF87),MAX(BV87:CC87),IF(AND(CG87&lt;&gt;0,CG87/RIGHT($CG$1,2)&gt;=0.5,CJ87=CG87),MAX(BV87:CC87),IF(AND(CH87&lt;&gt;0,CH87/RIGHT($CH$1,2)&gt;=0.5,CJ87=CH87),MAX(BV87:CC87),IF(AND(CI87&lt;&gt;0,CI87/RIGHT($CI$1,2)&gt;=0.5,CJ87=CI87),MAX(BV87:CC87),IF(AND(CE87=0,CF87=0,CG87=0,CH87=0),0,IF(CJ87/RIGHT($CJ$1,2)&lt;0.5,ROUND(BU87/RIGHT($CJ$1,2),0),MAX(BV87:CC87)))))))))</f>
        <v>14</v>
      </c>
      <c r="CO87" s="14" t="n">
        <f aca="false">CN87*3</f>
        <v>42</v>
      </c>
      <c r="CP87" s="15" t="n">
        <v>51</v>
      </c>
      <c r="CQ87" s="16" t="n">
        <f aca="false">IF((CO87-CP87)&lt;0,0,(CO87-CP87))</f>
        <v>0</v>
      </c>
      <c r="CR87" s="7"/>
    </row>
    <row r="88" customFormat="false" ht="12.75" hidden="false" customHeight="true" outlineLevel="0" collapsed="false">
      <c r="A88" s="7" t="s">
        <v>95</v>
      </c>
      <c r="B88" s="7" t="s">
        <v>182</v>
      </c>
      <c r="C88" s="8" t="n">
        <v>5000013</v>
      </c>
      <c r="D88" s="9" t="n">
        <v>140</v>
      </c>
      <c r="E88" s="9" t="n">
        <v>564</v>
      </c>
      <c r="F88" s="9" t="n">
        <v>532</v>
      </c>
      <c r="G88" s="9" t="n">
        <v>706</v>
      </c>
      <c r="H88" s="9" t="n">
        <v>630</v>
      </c>
      <c r="I88" s="9" t="n">
        <v>868</v>
      </c>
      <c r="J88" s="9" t="n">
        <v>616</v>
      </c>
      <c r="K88" s="9" t="n">
        <v>560</v>
      </c>
      <c r="L88" s="9" t="n">
        <v>700</v>
      </c>
      <c r="M88" s="9" t="n">
        <v>588</v>
      </c>
      <c r="N88" s="9" t="n">
        <v>980</v>
      </c>
      <c r="O88" s="9" t="n">
        <v>434</v>
      </c>
      <c r="P88" s="9" t="n">
        <v>798</v>
      </c>
      <c r="Q88" s="9" t="n">
        <v>672</v>
      </c>
      <c r="R88" s="9" t="n">
        <v>476</v>
      </c>
      <c r="S88" s="9" t="n">
        <v>448</v>
      </c>
      <c r="T88" s="9" t="n">
        <v>448</v>
      </c>
      <c r="U88" s="9" t="n">
        <v>966</v>
      </c>
      <c r="V88" s="9" t="n">
        <v>840</v>
      </c>
      <c r="W88" s="9" t="n">
        <v>728</v>
      </c>
      <c r="X88" s="9" t="n">
        <v>532</v>
      </c>
      <c r="Y88" s="9" t="n">
        <v>826</v>
      </c>
      <c r="Z88" s="9" t="n">
        <v>504</v>
      </c>
      <c r="AA88" s="9" t="n">
        <v>644</v>
      </c>
      <c r="AB88" s="9" t="n">
        <v>616</v>
      </c>
      <c r="AC88" s="9" t="n">
        <v>868</v>
      </c>
      <c r="AD88" s="9" t="n">
        <v>812</v>
      </c>
      <c r="AE88" s="9" t="n">
        <v>700</v>
      </c>
      <c r="AF88" s="9" t="n">
        <v>1092</v>
      </c>
      <c r="AG88" s="9" t="n">
        <v>560</v>
      </c>
      <c r="AH88" s="9" t="n">
        <v>812</v>
      </c>
      <c r="AI88" s="9" t="n">
        <v>420</v>
      </c>
      <c r="AJ88" s="9" t="n">
        <v>1058</v>
      </c>
      <c r="AK88" s="9" t="n">
        <v>720</v>
      </c>
      <c r="AL88" s="9" t="n">
        <v>1008</v>
      </c>
      <c r="AM88" s="9" t="n">
        <v>1050</v>
      </c>
      <c r="AN88" s="9" t="n">
        <v>714</v>
      </c>
      <c r="AO88" s="9" t="n">
        <v>598</v>
      </c>
      <c r="AP88" s="9" t="n">
        <v>868</v>
      </c>
      <c r="AQ88" s="9" t="n">
        <v>778</v>
      </c>
      <c r="AR88" s="9" t="n">
        <v>588</v>
      </c>
      <c r="AS88" s="9" t="n">
        <v>784</v>
      </c>
      <c r="AT88" s="9" t="n">
        <v>588</v>
      </c>
      <c r="AU88" s="9" t="n">
        <v>630</v>
      </c>
      <c r="AV88" s="9" t="n">
        <v>560</v>
      </c>
      <c r="AW88" s="9" t="n">
        <v>434</v>
      </c>
      <c r="AX88" s="9" t="n">
        <v>630</v>
      </c>
      <c r="AY88" s="9" t="n">
        <v>406</v>
      </c>
      <c r="AZ88" s="9" t="n">
        <v>844</v>
      </c>
      <c r="BA88" s="9" t="n">
        <v>870</v>
      </c>
      <c r="BB88" s="9" t="n">
        <v>648</v>
      </c>
      <c r="BC88" s="9" t="n">
        <v>616</v>
      </c>
      <c r="BD88" s="9" t="n">
        <v>784</v>
      </c>
      <c r="BE88" s="9" t="n">
        <v>532</v>
      </c>
      <c r="BF88" s="9" t="n">
        <v>1036</v>
      </c>
      <c r="BG88" s="9" t="n">
        <v>364</v>
      </c>
      <c r="BH88" s="9" t="n">
        <v>658</v>
      </c>
      <c r="BI88" s="9" t="n">
        <v>448</v>
      </c>
      <c r="BJ88" s="9" t="n">
        <v>1104</v>
      </c>
      <c r="BK88" s="9" t="n">
        <v>528</v>
      </c>
      <c r="BL88" s="9" t="n">
        <v>748</v>
      </c>
      <c r="BM88" s="9" t="n">
        <v>690</v>
      </c>
      <c r="BN88" s="9" t="n">
        <v>480</v>
      </c>
      <c r="BO88" s="9" t="n">
        <v>1058</v>
      </c>
      <c r="BP88" s="9" t="n">
        <v>720</v>
      </c>
      <c r="BQ88" s="9" t="n">
        <v>570</v>
      </c>
      <c r="BR88" s="9" t="n">
        <v>840</v>
      </c>
      <c r="BS88" s="9" t="n">
        <v>528</v>
      </c>
      <c r="BT88" s="9" t="n">
        <v>392</v>
      </c>
      <c r="BU88" s="10" t="n">
        <v>46952</v>
      </c>
      <c r="BV88" s="11" t="n">
        <f aca="false">IF(ISERROR(ROUND(MEDIAN(BQ88:BT88),0)),0,ROUND(MEDIAN(BQ88:BT88),0))</f>
        <v>549</v>
      </c>
      <c r="BW88" s="11" t="n">
        <f aca="false">IF(ISERROR(ROUND(MEDIAN(BM88:BT88),0)),0,ROUND(MEDIAN(BM88:BT88),0))</f>
        <v>630</v>
      </c>
      <c r="BX88" s="11" t="n">
        <f aca="false">IF(ISERROR(ROUND(MEDIAN(BI88:BT88),0)),0,ROUND(MEDIAN(BI88:BT88),0))</f>
        <v>630</v>
      </c>
      <c r="BY88" s="11" t="n">
        <f aca="false">IF(ISERROR(ROUND(MEDIAN(BE88:BT88),0)),0,ROUND(MEDIAN(BE88:BT88),0))</f>
        <v>614</v>
      </c>
      <c r="BZ88" s="11" t="n">
        <f aca="false">IF(ISERROR(ROUND(MEDIAN(AU88:BT88),0)),0,ROUND(MEDIAN(AU88:BT88),0))</f>
        <v>630</v>
      </c>
      <c r="CA88" s="12" t="n">
        <f aca="false">IF(ISERROR(ROUND(MEDIAN(U88:BT88),0)),0,ROUND(MEDIAN(U88:BT88),0))</f>
        <v>695</v>
      </c>
      <c r="CB88" s="12" t="n">
        <f aca="false">IF(ISERROR(ROUND(MEDIAN(BT88),0)),0,ROUND(MEDIAN(BT88),0))</f>
        <v>392</v>
      </c>
      <c r="CC88" s="12" t="n">
        <f aca="false">IF(ISERROR(ROUND(MEDIAN(D88:BT88),0)),0,ROUND(MEDIAN(D88:BT88),0))</f>
        <v>648</v>
      </c>
      <c r="CD88" s="12" t="n">
        <f aca="false">MAX(D88:BT88)</f>
        <v>1104</v>
      </c>
      <c r="CE88" s="7" t="n">
        <f aca="false">COUNTA(BQ88:BT88)</f>
        <v>4</v>
      </c>
      <c r="CF88" s="7" t="n">
        <f aca="false">COUNTA(BM88:BT88)</f>
        <v>8</v>
      </c>
      <c r="CG88" s="7" t="n">
        <f aca="false">COUNTA(BI88:BT88)</f>
        <v>12</v>
      </c>
      <c r="CH88" s="7" t="n">
        <f aca="false">COUNTA(BE88:BT88)</f>
        <v>16</v>
      </c>
      <c r="CI88" s="7" t="n">
        <f aca="false">COUNTA(AU88:BT88)</f>
        <v>26</v>
      </c>
      <c r="CJ88" s="7" t="n">
        <f aca="false">COUNTA(U88:BT88)</f>
        <v>52</v>
      </c>
      <c r="CK88" s="7" t="n">
        <f aca="false">COUNTA(BT88)</f>
        <v>1</v>
      </c>
      <c r="CL88" s="7" t="n">
        <f aca="false">COUNTA(D88:BT88)</f>
        <v>69</v>
      </c>
      <c r="CM88" s="13" t="str">
        <f aca="false">IF(AND(CE88=1,CJ88=1,BT88&lt;&gt;""),"5.ENTRANTES",IF(AND(CE88&lt;&gt;0,CE88/RIGHT($CE$1,1)&gt;=0.5,CJ88=CE88),"4.RECENTES",IF(AND(CF88&lt;&gt;0,CF88/RIGHT($CF$1,1)&gt;=0.5,CJ88=CF88),"4.RECENTES",IF(AND(CG88&lt;&gt;0,CG88/RIGHT($CG$1,2)&gt;=0.5,CJ88=CG88),"4.RECENTES",IF(AND(CH88&lt;&gt;0,CH88/RIGHT($CH$1,2)&gt;=0.5,CJ88=CH88),"4.RECENTES",IF(AND(CI88&lt;&gt;0,CI88/RIGHT($CI$1,2)&gt;=0.5,CJ88=CI88),"4.RECENTES",IF(AND(CE88=0,CF88=0,CG88=0,CH88=0),"3.INATIVOS",IF(CJ88/RIGHT($CJ$1,2)&lt;0.5,"2.INTERMITENTES","1.ORDINÁRIOS"))))))))</f>
        <v>1.ORDINÁRIOS</v>
      </c>
      <c r="CN88" s="14" t="n">
        <f aca="false">IF(AND(CE88=1,CJ88=1,BT88&lt;&gt;""),BT88,IF(AND(CE88&lt;&gt;0,CE88/RIGHT($CE$1,1)&gt;=0.5,CJ88=CE88),MAX(BV88:CC88),IF(AND(CF88&lt;&gt;0,CF88/RIGHT($CF$1,1)&gt;=0.5,CJ88=CF88),MAX(BV88:CC88),IF(AND(CG88&lt;&gt;0,CG88/RIGHT($CG$1,2)&gt;=0.5,CJ88=CG88),MAX(BV88:CC88),IF(AND(CH88&lt;&gt;0,CH88/RIGHT($CH$1,2)&gt;=0.5,CJ88=CH88),MAX(BV88:CC88),IF(AND(CI88&lt;&gt;0,CI88/RIGHT($CI$1,2)&gt;=0.5,CJ88=CI88),MAX(BV88:CC88),IF(AND(CE88=0,CF88=0,CG88=0,CH88=0),0,IF(CJ88/RIGHT($CJ$1,2)&lt;0.5,ROUND(BU88/RIGHT($CJ$1,2),0),MAX(BV88:CC88)))))))))</f>
        <v>695</v>
      </c>
      <c r="CO88" s="14" t="n">
        <f aca="false">CN88*3</f>
        <v>2085</v>
      </c>
      <c r="CP88" s="15" t="n">
        <v>1724</v>
      </c>
      <c r="CQ88" s="16" t="n">
        <f aca="false">IF((CO88-CP88)&lt;0,0,(CO88-CP88))</f>
        <v>361</v>
      </c>
      <c r="CR88" s="7"/>
    </row>
    <row r="89" customFormat="false" ht="12.75" hidden="false" customHeight="true" outlineLevel="0" collapsed="false">
      <c r="A89" s="7" t="s">
        <v>95</v>
      </c>
      <c r="B89" s="7" t="s">
        <v>183</v>
      </c>
      <c r="C89" s="8" t="n">
        <v>2000019</v>
      </c>
      <c r="D89" s="9" t="n">
        <v>120</v>
      </c>
      <c r="E89" s="9" t="n">
        <v>580</v>
      </c>
      <c r="F89" s="9" t="n">
        <v>360</v>
      </c>
      <c r="G89" s="9" t="n">
        <v>620</v>
      </c>
      <c r="H89" s="9" t="n">
        <v>500</v>
      </c>
      <c r="I89" s="9" t="n">
        <v>840</v>
      </c>
      <c r="J89" s="9" t="n">
        <v>580</v>
      </c>
      <c r="K89" s="9" t="n">
        <v>420</v>
      </c>
      <c r="L89" s="9" t="n">
        <v>680</v>
      </c>
      <c r="M89" s="9" t="n">
        <v>480</v>
      </c>
      <c r="N89" s="9" t="n">
        <v>600</v>
      </c>
      <c r="O89" s="9" t="n">
        <v>920</v>
      </c>
      <c r="P89" s="9" t="n">
        <v>540</v>
      </c>
      <c r="Q89" s="9" t="n">
        <v>360</v>
      </c>
      <c r="R89" s="9" t="n">
        <v>880</v>
      </c>
      <c r="S89" s="9" t="n">
        <v>860</v>
      </c>
      <c r="T89" s="9" t="n">
        <v>320</v>
      </c>
      <c r="U89" s="9" t="n">
        <v>260</v>
      </c>
      <c r="V89" s="9" t="n">
        <v>560</v>
      </c>
      <c r="W89" s="9" t="n">
        <v>1040</v>
      </c>
      <c r="X89" s="9" t="n">
        <v>820</v>
      </c>
      <c r="Y89" s="9" t="n">
        <v>620</v>
      </c>
      <c r="Z89" s="9" t="n">
        <v>360</v>
      </c>
      <c r="AA89" s="9" t="n">
        <v>680</v>
      </c>
      <c r="AB89" s="9" t="n">
        <v>860</v>
      </c>
      <c r="AC89" s="9" t="n">
        <v>760</v>
      </c>
      <c r="AD89" s="9" t="n">
        <v>700</v>
      </c>
      <c r="AE89" s="9" t="n">
        <v>920</v>
      </c>
      <c r="AF89" s="9" t="n">
        <v>380</v>
      </c>
      <c r="AG89" s="9" t="n">
        <v>500</v>
      </c>
      <c r="AH89" s="9" t="n">
        <v>500</v>
      </c>
      <c r="AI89" s="9" t="n">
        <v>760</v>
      </c>
      <c r="AJ89" s="9" t="n">
        <v>620</v>
      </c>
      <c r="AK89" s="9" t="n">
        <v>680</v>
      </c>
      <c r="AL89" s="9" t="n">
        <v>860</v>
      </c>
      <c r="AM89" s="9" t="n">
        <v>680</v>
      </c>
      <c r="AN89" s="9" t="n">
        <v>800</v>
      </c>
      <c r="AO89" s="9" t="n">
        <v>540</v>
      </c>
      <c r="AP89" s="9" t="n">
        <v>800</v>
      </c>
      <c r="AQ89" s="9" t="n">
        <v>720</v>
      </c>
      <c r="AR89" s="9" t="n">
        <v>660</v>
      </c>
      <c r="AS89" s="9" t="n">
        <v>620</v>
      </c>
      <c r="AT89" s="9" t="n">
        <v>520</v>
      </c>
      <c r="AU89" s="9" t="n">
        <v>680</v>
      </c>
      <c r="AV89" s="9" t="n">
        <v>480</v>
      </c>
      <c r="AW89" s="9" t="n">
        <v>520</v>
      </c>
      <c r="AX89" s="9" t="n">
        <v>640</v>
      </c>
      <c r="AY89" s="9" t="n">
        <v>440</v>
      </c>
      <c r="AZ89" s="9" t="n">
        <v>510</v>
      </c>
      <c r="BA89" s="9" t="n">
        <v>660</v>
      </c>
      <c r="BB89" s="9" t="n">
        <v>182</v>
      </c>
      <c r="BC89" s="9" t="n">
        <v>480</v>
      </c>
      <c r="BD89" s="9" t="n">
        <v>440</v>
      </c>
      <c r="BE89" s="9" t="n">
        <v>730</v>
      </c>
      <c r="BF89" s="9" t="n">
        <v>238</v>
      </c>
      <c r="BG89" s="9" t="n">
        <v>260</v>
      </c>
      <c r="BH89" s="9" t="n">
        <v>240</v>
      </c>
      <c r="BI89" s="9" t="n">
        <v>500</v>
      </c>
      <c r="BJ89" s="9" t="n">
        <v>700</v>
      </c>
      <c r="BK89" s="9" t="n">
        <v>420</v>
      </c>
      <c r="BL89" s="9" t="n">
        <v>230</v>
      </c>
      <c r="BM89" s="9" t="n">
        <v>520</v>
      </c>
      <c r="BN89" s="9" t="n">
        <v>500</v>
      </c>
      <c r="BO89" s="9" t="n">
        <v>960</v>
      </c>
      <c r="BP89" s="9" t="n">
        <v>440</v>
      </c>
      <c r="BQ89" s="9" t="n">
        <v>420</v>
      </c>
      <c r="BR89" s="9" t="n">
        <v>380</v>
      </c>
      <c r="BS89" s="9" t="n">
        <v>540</v>
      </c>
      <c r="BT89" s="9" t="n">
        <v>460</v>
      </c>
      <c r="BU89" s="10" t="n">
        <v>39450</v>
      </c>
      <c r="BV89" s="11" t="n">
        <f aca="false">IF(ISERROR(ROUND(MEDIAN(BQ89:BT89),0)),0,ROUND(MEDIAN(BQ89:BT89),0))</f>
        <v>440</v>
      </c>
      <c r="BW89" s="11" t="n">
        <f aca="false">IF(ISERROR(ROUND(MEDIAN(BM89:BT89),0)),0,ROUND(MEDIAN(BM89:BT89),0))</f>
        <v>480</v>
      </c>
      <c r="BX89" s="11" t="n">
        <f aca="false">IF(ISERROR(ROUND(MEDIAN(BI89:BT89),0)),0,ROUND(MEDIAN(BI89:BT89),0))</f>
        <v>480</v>
      </c>
      <c r="BY89" s="11" t="n">
        <f aca="false">IF(ISERROR(ROUND(MEDIAN(BE89:BT89),0)),0,ROUND(MEDIAN(BE89:BT89),0))</f>
        <v>450</v>
      </c>
      <c r="BZ89" s="11" t="n">
        <f aca="false">IF(ISERROR(ROUND(MEDIAN(AU89:BT89),0)),0,ROUND(MEDIAN(AU89:BT89),0))</f>
        <v>480</v>
      </c>
      <c r="CA89" s="12" t="n">
        <f aca="false">IF(ISERROR(ROUND(MEDIAN(U89:BT89),0)),0,ROUND(MEDIAN(U89:BT89),0))</f>
        <v>540</v>
      </c>
      <c r="CB89" s="12" t="n">
        <f aca="false">IF(ISERROR(ROUND(MEDIAN(BT89),0)),0,ROUND(MEDIAN(BT89),0))</f>
        <v>460</v>
      </c>
      <c r="CC89" s="12" t="n">
        <f aca="false">IF(ISERROR(ROUND(MEDIAN(D89:BT89),0)),0,ROUND(MEDIAN(D89:BT89),0))</f>
        <v>540</v>
      </c>
      <c r="CD89" s="12" t="n">
        <f aca="false">MAX(D89:BT89)</f>
        <v>1040</v>
      </c>
      <c r="CE89" s="7" t="n">
        <f aca="false">COUNTA(BQ89:BT89)</f>
        <v>4</v>
      </c>
      <c r="CF89" s="7" t="n">
        <f aca="false">COUNTA(BM89:BT89)</f>
        <v>8</v>
      </c>
      <c r="CG89" s="7" t="n">
        <f aca="false">COUNTA(BI89:BT89)</f>
        <v>12</v>
      </c>
      <c r="CH89" s="7" t="n">
        <f aca="false">COUNTA(BE89:BT89)</f>
        <v>16</v>
      </c>
      <c r="CI89" s="7" t="n">
        <f aca="false">COUNTA(AU89:BT89)</f>
        <v>26</v>
      </c>
      <c r="CJ89" s="7" t="n">
        <f aca="false">COUNTA(U89:BT89)</f>
        <v>52</v>
      </c>
      <c r="CK89" s="7" t="n">
        <f aca="false">COUNTA(BT89)</f>
        <v>1</v>
      </c>
      <c r="CL89" s="7" t="n">
        <f aca="false">COUNTA(D89:BT89)</f>
        <v>69</v>
      </c>
      <c r="CM89" s="13" t="str">
        <f aca="false">IF(AND(CE89=1,CJ89=1,BT89&lt;&gt;""),"5.ENTRANTES",IF(AND(CE89&lt;&gt;0,CE89/RIGHT($CE$1,1)&gt;=0.5,CJ89=CE89),"4.RECENTES",IF(AND(CF89&lt;&gt;0,CF89/RIGHT($CF$1,1)&gt;=0.5,CJ89=CF89),"4.RECENTES",IF(AND(CG89&lt;&gt;0,CG89/RIGHT($CG$1,2)&gt;=0.5,CJ89=CG89),"4.RECENTES",IF(AND(CH89&lt;&gt;0,CH89/RIGHT($CH$1,2)&gt;=0.5,CJ89=CH89),"4.RECENTES",IF(AND(CI89&lt;&gt;0,CI89/RIGHT($CI$1,2)&gt;=0.5,CJ89=CI89),"4.RECENTES",IF(AND(CE89=0,CF89=0,CG89=0,CH89=0),"3.INATIVOS",IF(CJ89/RIGHT($CJ$1,2)&lt;0.5,"2.INTERMITENTES","1.ORDINÁRIOS"))))))))</f>
        <v>1.ORDINÁRIOS</v>
      </c>
      <c r="CN89" s="14" t="n">
        <f aca="false">IF(AND(CE89=1,CJ89=1,BT89&lt;&gt;""),BT89,IF(AND(CE89&lt;&gt;0,CE89/RIGHT($CE$1,1)&gt;=0.5,CJ89=CE89),MAX(BV89:CC89),IF(AND(CF89&lt;&gt;0,CF89/RIGHT($CF$1,1)&gt;=0.5,CJ89=CF89),MAX(BV89:CC89),IF(AND(CG89&lt;&gt;0,CG89/RIGHT($CG$1,2)&gt;=0.5,CJ89=CG89),MAX(BV89:CC89),IF(AND(CH89&lt;&gt;0,CH89/RIGHT($CH$1,2)&gt;=0.5,CJ89=CH89),MAX(BV89:CC89),IF(AND(CI89&lt;&gt;0,CI89/RIGHT($CI$1,2)&gt;=0.5,CJ89=CI89),MAX(BV89:CC89),IF(AND(CE89=0,CF89=0,CG89=0,CH89=0),0,IF(CJ89/RIGHT($CJ$1,2)&lt;0.5,ROUND(BU89/RIGHT($CJ$1,2),0),MAX(BV89:CC89)))))))))</f>
        <v>540</v>
      </c>
      <c r="CO89" s="14" t="n">
        <f aca="false">CN89*3</f>
        <v>1620</v>
      </c>
      <c r="CP89" s="15" t="n">
        <v>1300</v>
      </c>
      <c r="CQ89" s="16" t="n">
        <f aca="false">IF((CO89-CP89)&lt;0,0,(CO89-CP89))</f>
        <v>320</v>
      </c>
      <c r="CR89" s="7"/>
    </row>
    <row r="90" customFormat="false" ht="12.75" hidden="false" customHeight="true" outlineLevel="0" collapsed="false">
      <c r="A90" s="7" t="s">
        <v>95</v>
      </c>
      <c r="B90" s="7" t="s">
        <v>184</v>
      </c>
      <c r="C90" s="8" t="n">
        <v>3000001</v>
      </c>
      <c r="D90" s="9"/>
      <c r="E90" s="9" t="n">
        <v>40</v>
      </c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 t="n">
        <v>60</v>
      </c>
      <c r="V90" s="9" t="n">
        <v>60</v>
      </c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 t="n">
        <v>40</v>
      </c>
      <c r="AH90" s="9" t="n">
        <v>40</v>
      </c>
      <c r="AI90" s="9"/>
      <c r="AJ90" s="9"/>
      <c r="AK90" s="9" t="n">
        <v>20</v>
      </c>
      <c r="AL90" s="9"/>
      <c r="AM90" s="9" t="n">
        <v>40</v>
      </c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10" t="n">
        <v>300</v>
      </c>
      <c r="BV90" s="11" t="n">
        <f aca="false">IF(ISERROR(ROUND(MEDIAN(BQ90:BT90),0)),0,ROUND(MEDIAN(BQ90:BT90),0))</f>
        <v>0</v>
      </c>
      <c r="BW90" s="11" t="n">
        <f aca="false">IF(ISERROR(ROUND(MEDIAN(BM90:BT90),0)),0,ROUND(MEDIAN(BM90:BT90),0))</f>
        <v>0</v>
      </c>
      <c r="BX90" s="11" t="n">
        <f aca="false">IF(ISERROR(ROUND(MEDIAN(BI90:BT90),0)),0,ROUND(MEDIAN(BI90:BT90),0))</f>
        <v>0</v>
      </c>
      <c r="BY90" s="11" t="n">
        <f aca="false">IF(ISERROR(ROUND(MEDIAN(BE90:BT90),0)),0,ROUND(MEDIAN(BE90:BT90),0))</f>
        <v>0</v>
      </c>
      <c r="BZ90" s="11" t="n">
        <f aca="false">IF(ISERROR(ROUND(MEDIAN(AU90:BT90),0)),0,ROUND(MEDIAN(AU90:BT90),0))</f>
        <v>0</v>
      </c>
      <c r="CA90" s="12" t="n">
        <f aca="false">IF(ISERROR(ROUND(MEDIAN(U90:BT90),0)),0,ROUND(MEDIAN(U90:BT90),0))</f>
        <v>40</v>
      </c>
      <c r="CB90" s="12" t="n">
        <f aca="false">IF(ISERROR(ROUND(MEDIAN(BT90),0)),0,ROUND(MEDIAN(BT90),0))</f>
        <v>0</v>
      </c>
      <c r="CC90" s="12" t="n">
        <f aca="false">IF(ISERROR(ROUND(MEDIAN(D90:BT90),0)),0,ROUND(MEDIAN(D90:BT90),0))</f>
        <v>40</v>
      </c>
      <c r="CD90" s="12" t="n">
        <f aca="false">MAX(D90:BT90)</f>
        <v>60</v>
      </c>
      <c r="CE90" s="7" t="n">
        <f aca="false">COUNTA(BQ90:BT90)</f>
        <v>0</v>
      </c>
      <c r="CF90" s="7" t="n">
        <f aca="false">COUNTA(BM90:BT90)</f>
        <v>0</v>
      </c>
      <c r="CG90" s="7" t="n">
        <f aca="false">COUNTA(BI90:BT90)</f>
        <v>0</v>
      </c>
      <c r="CH90" s="7" t="n">
        <f aca="false">COUNTA(BE90:BT90)</f>
        <v>0</v>
      </c>
      <c r="CI90" s="7" t="n">
        <f aca="false">COUNTA(AU90:BT90)</f>
        <v>0</v>
      </c>
      <c r="CJ90" s="7" t="n">
        <f aca="false">COUNTA(U90:BT90)</f>
        <v>6</v>
      </c>
      <c r="CK90" s="7" t="n">
        <f aca="false">COUNTA(BT90)</f>
        <v>0</v>
      </c>
      <c r="CL90" s="7" t="n">
        <f aca="false">COUNTA(D90:BT90)</f>
        <v>7</v>
      </c>
      <c r="CM90" s="19" t="str">
        <f aca="false">IF(AND(CE90=1,CJ90=1,BT90&lt;&gt;""),"5.ENTRANTES",IF(AND(CE90&lt;&gt;0,CE90/RIGHT($CE$1,1)&gt;=0.5,CJ90=CE90),"4.RECENTES",IF(AND(CF90&lt;&gt;0,CF90/RIGHT($CF$1,1)&gt;=0.5,CJ90=CF90),"4.RECENTES",IF(AND(CG90&lt;&gt;0,CG90/RIGHT($CG$1,2)&gt;=0.5,CJ90=CG90),"4.RECENTES",IF(AND(CH90&lt;&gt;0,CH90/RIGHT($CH$1,2)&gt;=0.5,CJ90=CH90),"4.RECENTES",IF(AND(CI90&lt;&gt;0,CI90/RIGHT($CI$1,2)&gt;=0.5,CJ90=CI90),"4.RECENTES",IF(AND(CE90=0,CF90=0,CG90=0,CH90=0),"3.INATIVOS",IF(CJ90/RIGHT($CJ$1,2)&lt;0.5,"2.INTERMITENTES","1.ORDINÁRIOS"))))))))</f>
        <v>3.INATIVOS</v>
      </c>
      <c r="CN90" s="20" t="n">
        <f aca="false">IF(AND(CE90=1,CJ90=1,BT90&lt;&gt;""),BT90,IF(AND(CE90&lt;&gt;0,CE90/RIGHT($CE$1,1)&gt;=0.5,CJ90=CE90),MAX(BV90:CC90),IF(AND(CF90&lt;&gt;0,CF90/RIGHT($CF$1,1)&gt;=0.5,CJ90=CF90),MAX(BV90:CC90),IF(AND(CG90&lt;&gt;0,CG90/RIGHT($CG$1,2)&gt;=0.5,CJ90=CG90),MAX(BV90:CC90),IF(AND(CH90&lt;&gt;0,CH90/RIGHT($CH$1,2)&gt;=0.5,CJ90=CH90),MAX(BV90:CC90),IF(AND(CI90&lt;&gt;0,CI90/RIGHT($CI$1,2)&gt;=0.5,CJ90=CI90),MAX(BV90:CC90),IF(AND(CE90=0,CF90=0,CG90=0,CH90=0),0,IF(CJ90/RIGHT($CJ$1,2)&lt;0.5,ROUND(BU90/RIGHT($CJ$1,2),0),MAX(BV90:CC90)))))))))</f>
        <v>0</v>
      </c>
      <c r="CO90" s="20" t="n">
        <f aca="false">CN90*3</f>
        <v>0</v>
      </c>
      <c r="CP90" s="15" t="n">
        <v>320</v>
      </c>
      <c r="CQ90" s="16" t="n">
        <f aca="false">IF((CO90-CP90)&lt;0,0,(CO90-CP90))</f>
        <v>0</v>
      </c>
      <c r="CR90" s="7"/>
    </row>
    <row r="91" customFormat="false" ht="12.75" hidden="false" customHeight="true" outlineLevel="0" collapsed="false">
      <c r="A91" s="7" t="s">
        <v>95</v>
      </c>
      <c r="B91" s="7" t="s">
        <v>185</v>
      </c>
      <c r="C91" s="8" t="n">
        <v>23001001</v>
      </c>
      <c r="D91" s="9" t="n">
        <v>150</v>
      </c>
      <c r="E91" s="9" t="n">
        <v>330</v>
      </c>
      <c r="F91" s="9" t="n">
        <v>300</v>
      </c>
      <c r="G91" s="9" t="n">
        <v>570</v>
      </c>
      <c r="H91" s="9" t="n">
        <v>210</v>
      </c>
      <c r="I91" s="9" t="n">
        <v>210</v>
      </c>
      <c r="J91" s="9" t="n">
        <v>270</v>
      </c>
      <c r="K91" s="9" t="n">
        <v>150</v>
      </c>
      <c r="L91" s="9" t="n">
        <v>450</v>
      </c>
      <c r="M91" s="9" t="n">
        <v>90</v>
      </c>
      <c r="N91" s="9" t="n">
        <v>510</v>
      </c>
      <c r="O91" s="9" t="n">
        <v>420</v>
      </c>
      <c r="P91" s="9" t="n">
        <v>300</v>
      </c>
      <c r="Q91" s="9" t="n">
        <v>300</v>
      </c>
      <c r="R91" s="9" t="n">
        <v>300</v>
      </c>
      <c r="S91" s="9" t="n">
        <v>450</v>
      </c>
      <c r="T91" s="9" t="n">
        <v>180</v>
      </c>
      <c r="U91" s="9" t="n">
        <v>750</v>
      </c>
      <c r="V91" s="9" t="n">
        <v>270</v>
      </c>
      <c r="W91" s="9" t="n">
        <v>300</v>
      </c>
      <c r="X91" s="9" t="n">
        <v>120</v>
      </c>
      <c r="Y91" s="9" t="n">
        <v>720</v>
      </c>
      <c r="Z91" s="9" t="n">
        <v>240</v>
      </c>
      <c r="AA91" s="9" t="n">
        <v>180</v>
      </c>
      <c r="AB91" s="9" t="n">
        <v>120</v>
      </c>
      <c r="AC91" s="9" t="n">
        <v>540</v>
      </c>
      <c r="AD91" s="9" t="n">
        <v>690</v>
      </c>
      <c r="AE91" s="9" t="n">
        <v>450</v>
      </c>
      <c r="AF91" s="9" t="n">
        <v>420</v>
      </c>
      <c r="AG91" s="9" t="n">
        <v>150</v>
      </c>
      <c r="AH91" s="9" t="n">
        <v>330</v>
      </c>
      <c r="AI91" s="9" t="n">
        <v>150</v>
      </c>
      <c r="AJ91" s="9" t="n">
        <v>540</v>
      </c>
      <c r="AK91" s="9" t="n">
        <v>420</v>
      </c>
      <c r="AL91" s="9" t="n">
        <v>210</v>
      </c>
      <c r="AM91" s="9" t="n">
        <v>300</v>
      </c>
      <c r="AN91" s="9" t="n">
        <v>510</v>
      </c>
      <c r="AO91" s="9" t="n">
        <v>420</v>
      </c>
      <c r="AP91" s="9" t="n">
        <v>240</v>
      </c>
      <c r="AQ91" s="9" t="n">
        <v>330</v>
      </c>
      <c r="AR91" s="9" t="n">
        <v>390</v>
      </c>
      <c r="AS91" s="9" t="n">
        <v>390</v>
      </c>
      <c r="AT91" s="9" t="n">
        <v>210</v>
      </c>
      <c r="AU91" s="9" t="n">
        <v>120</v>
      </c>
      <c r="AV91" s="9" t="n">
        <v>120</v>
      </c>
      <c r="AW91" s="9" t="n">
        <v>480</v>
      </c>
      <c r="AX91" s="9" t="n">
        <v>225</v>
      </c>
      <c r="AY91" s="9" t="n">
        <v>60</v>
      </c>
      <c r="AZ91" s="9" t="n">
        <v>75</v>
      </c>
      <c r="BA91" s="9" t="n">
        <v>150</v>
      </c>
      <c r="BB91" s="9" t="n">
        <v>270</v>
      </c>
      <c r="BC91" s="9" t="n">
        <v>210</v>
      </c>
      <c r="BD91" s="9" t="n">
        <v>180</v>
      </c>
      <c r="BE91" s="9" t="n">
        <v>180</v>
      </c>
      <c r="BF91" s="9" t="n">
        <v>180</v>
      </c>
      <c r="BG91" s="9" t="n">
        <v>90</v>
      </c>
      <c r="BH91" s="9" t="n">
        <v>240</v>
      </c>
      <c r="BI91" s="9" t="n">
        <v>300</v>
      </c>
      <c r="BJ91" s="9" t="n">
        <v>330</v>
      </c>
      <c r="BK91" s="9" t="n">
        <v>120</v>
      </c>
      <c r="BL91" s="9" t="n">
        <v>150</v>
      </c>
      <c r="BM91" s="9" t="n">
        <v>300</v>
      </c>
      <c r="BN91" s="9" t="n">
        <v>240</v>
      </c>
      <c r="BO91" s="9" t="n">
        <v>210</v>
      </c>
      <c r="BP91" s="9" t="n">
        <v>240</v>
      </c>
      <c r="BQ91" s="9" t="n">
        <v>150</v>
      </c>
      <c r="BR91" s="9"/>
      <c r="BS91" s="9" t="n">
        <v>510</v>
      </c>
      <c r="BT91" s="9" t="n">
        <v>90</v>
      </c>
      <c r="BU91" s="10" t="n">
        <v>19800</v>
      </c>
      <c r="BV91" s="11" t="n">
        <f aca="false">IF(ISERROR(ROUND(MEDIAN(BQ91:BT91),0)),0,ROUND(MEDIAN(BQ91:BT91),0))</f>
        <v>150</v>
      </c>
      <c r="BW91" s="11" t="n">
        <f aca="false">IF(ISERROR(ROUND(MEDIAN(BM91:BT91),0)),0,ROUND(MEDIAN(BM91:BT91),0))</f>
        <v>240</v>
      </c>
      <c r="BX91" s="11" t="n">
        <f aca="false">IF(ISERROR(ROUND(MEDIAN(BI91:BT91),0)),0,ROUND(MEDIAN(BI91:BT91),0))</f>
        <v>240</v>
      </c>
      <c r="BY91" s="11" t="n">
        <f aca="false">IF(ISERROR(ROUND(MEDIAN(BE91:BT91),0)),0,ROUND(MEDIAN(BE91:BT91),0))</f>
        <v>210</v>
      </c>
      <c r="BZ91" s="11" t="n">
        <f aca="false">IF(ISERROR(ROUND(MEDIAN(AU91:BT91),0)),0,ROUND(MEDIAN(AU91:BT91),0))</f>
        <v>180</v>
      </c>
      <c r="CA91" s="12" t="n">
        <f aca="false">IF(ISERROR(ROUND(MEDIAN(U91:BT91),0)),0,ROUND(MEDIAN(U91:BT91),0))</f>
        <v>240</v>
      </c>
      <c r="CB91" s="12" t="n">
        <f aca="false">IF(ISERROR(ROUND(MEDIAN(BT91),0)),0,ROUND(MEDIAN(BT91),0))</f>
        <v>90</v>
      </c>
      <c r="CC91" s="12" t="n">
        <f aca="false">IF(ISERROR(ROUND(MEDIAN(D91:BT91),0)),0,ROUND(MEDIAN(D91:BT91),0))</f>
        <v>255</v>
      </c>
      <c r="CD91" s="12" t="n">
        <f aca="false">MAX(D91:BT91)</f>
        <v>750</v>
      </c>
      <c r="CE91" s="7" t="n">
        <f aca="false">COUNTA(BQ91:BT91)</f>
        <v>3</v>
      </c>
      <c r="CF91" s="7" t="n">
        <f aca="false">COUNTA(BM91:BT91)</f>
        <v>7</v>
      </c>
      <c r="CG91" s="7" t="n">
        <f aca="false">COUNTA(BI91:BT91)</f>
        <v>11</v>
      </c>
      <c r="CH91" s="7" t="n">
        <f aca="false">COUNTA(BE91:BT91)</f>
        <v>15</v>
      </c>
      <c r="CI91" s="7" t="n">
        <f aca="false">COUNTA(AU91:BT91)</f>
        <v>25</v>
      </c>
      <c r="CJ91" s="7" t="n">
        <f aca="false">COUNTA(U91:BT91)</f>
        <v>51</v>
      </c>
      <c r="CK91" s="7" t="n">
        <f aca="false">COUNTA(BT91)</f>
        <v>1</v>
      </c>
      <c r="CL91" s="7" t="n">
        <f aca="false">COUNTA(D91:BT91)</f>
        <v>68</v>
      </c>
      <c r="CM91" s="13" t="str">
        <f aca="false">IF(AND(CE91=1,CJ91=1,BT91&lt;&gt;""),"5.ENTRANTES",IF(AND(CE91&lt;&gt;0,CE91/RIGHT($CE$1,1)&gt;=0.5,CJ91=CE91),"4.RECENTES",IF(AND(CF91&lt;&gt;0,CF91/RIGHT($CF$1,1)&gt;=0.5,CJ91=CF91),"4.RECENTES",IF(AND(CG91&lt;&gt;0,CG91/RIGHT($CG$1,2)&gt;=0.5,CJ91=CG91),"4.RECENTES",IF(AND(CH91&lt;&gt;0,CH91/RIGHT($CH$1,2)&gt;=0.5,CJ91=CH91),"4.RECENTES",IF(AND(CI91&lt;&gt;0,CI91/RIGHT($CI$1,2)&gt;=0.5,CJ91=CI91),"4.RECENTES",IF(AND(CE91=0,CF91=0,CG91=0,CH91=0),"3.INATIVOS",IF(CJ91/RIGHT($CJ$1,2)&lt;0.5,"2.INTERMITENTES","1.ORDINÁRIOS"))))))))</f>
        <v>1.ORDINÁRIOS</v>
      </c>
      <c r="CN91" s="14" t="n">
        <f aca="false">IF(AND(CE91=1,CJ91=1,BT91&lt;&gt;""),BT91,IF(AND(CE91&lt;&gt;0,CE91/RIGHT($CE$1,1)&gt;=0.5,CJ91=CE91),MAX(BV91:CC91),IF(AND(CF91&lt;&gt;0,CF91/RIGHT($CF$1,1)&gt;=0.5,CJ91=CF91),MAX(BV91:CC91),IF(AND(CG91&lt;&gt;0,CG91/RIGHT($CG$1,2)&gt;=0.5,CJ91=CG91),MAX(BV91:CC91),IF(AND(CH91&lt;&gt;0,CH91/RIGHT($CH$1,2)&gt;=0.5,CJ91=CH91),MAX(BV91:CC91),IF(AND(CI91&lt;&gt;0,CI91/RIGHT($CI$1,2)&gt;=0.5,CJ91=CI91),MAX(BV91:CC91),IF(AND(CE91=0,CF91=0,CG91=0,CH91=0),0,IF(CJ91/RIGHT($CJ$1,2)&lt;0.5,ROUND(BU91/RIGHT($CJ$1,2),0),MAX(BV91:CC91)))))))))</f>
        <v>255</v>
      </c>
      <c r="CO91" s="14" t="n">
        <f aca="false">CN91*3</f>
        <v>765</v>
      </c>
      <c r="CP91" s="15" t="n">
        <v>680</v>
      </c>
      <c r="CQ91" s="16" t="n">
        <f aca="false">IF((CO91-CP91)&lt;0,0,(CO91-CP91))</f>
        <v>85</v>
      </c>
      <c r="CR91" s="7"/>
    </row>
    <row r="92" customFormat="false" ht="12.75" hidden="false" customHeight="true" outlineLevel="0" collapsed="false">
      <c r="A92" s="7" t="s">
        <v>95</v>
      </c>
      <c r="B92" s="7" t="s">
        <v>186</v>
      </c>
      <c r="C92" s="8" t="n">
        <v>3000016</v>
      </c>
      <c r="D92" s="9"/>
      <c r="E92" s="9" t="n">
        <v>120</v>
      </c>
      <c r="F92" s="9" t="n">
        <v>120</v>
      </c>
      <c r="G92" s="9" t="n">
        <v>90</v>
      </c>
      <c r="H92" s="9" t="n">
        <v>210</v>
      </c>
      <c r="I92" s="9" t="n">
        <v>300</v>
      </c>
      <c r="J92" s="9" t="n">
        <v>180</v>
      </c>
      <c r="K92" s="9" t="n">
        <v>180</v>
      </c>
      <c r="L92" s="9" t="n">
        <v>180</v>
      </c>
      <c r="M92" s="9" t="n">
        <v>60</v>
      </c>
      <c r="N92" s="9" t="n">
        <v>150</v>
      </c>
      <c r="O92" s="9" t="n">
        <v>180</v>
      </c>
      <c r="P92" s="9" t="n">
        <v>300</v>
      </c>
      <c r="Q92" s="9" t="n">
        <v>150</v>
      </c>
      <c r="R92" s="9" t="n">
        <v>180</v>
      </c>
      <c r="S92" s="9" t="n">
        <v>180</v>
      </c>
      <c r="T92" s="9" t="n">
        <v>240</v>
      </c>
      <c r="U92" s="9" t="n">
        <v>120</v>
      </c>
      <c r="V92" s="9" t="n">
        <v>150</v>
      </c>
      <c r="W92" s="9" t="n">
        <v>180</v>
      </c>
      <c r="X92" s="9" t="n">
        <v>180</v>
      </c>
      <c r="Y92" s="9" t="n">
        <v>150</v>
      </c>
      <c r="Z92" s="9" t="n">
        <v>60</v>
      </c>
      <c r="AA92" s="9" t="n">
        <v>180</v>
      </c>
      <c r="AB92" s="9" t="n">
        <v>270</v>
      </c>
      <c r="AC92" s="9" t="n">
        <v>30</v>
      </c>
      <c r="AD92" s="9" t="n">
        <v>180</v>
      </c>
      <c r="AE92" s="9" t="n">
        <v>120</v>
      </c>
      <c r="AF92" s="9" t="n">
        <v>300</v>
      </c>
      <c r="AG92" s="9" t="n">
        <v>150</v>
      </c>
      <c r="AH92" s="9" t="n">
        <v>180</v>
      </c>
      <c r="AI92" s="9" t="n">
        <v>210</v>
      </c>
      <c r="AJ92" s="9" t="n">
        <v>195</v>
      </c>
      <c r="AK92" s="9" t="n">
        <v>180</v>
      </c>
      <c r="AL92" s="9" t="n">
        <v>150</v>
      </c>
      <c r="AM92" s="9" t="n">
        <v>90</v>
      </c>
      <c r="AN92" s="9" t="n">
        <v>210</v>
      </c>
      <c r="AO92" s="9" t="n">
        <v>300</v>
      </c>
      <c r="AP92" s="9" t="n">
        <v>300</v>
      </c>
      <c r="AQ92" s="9" t="n">
        <v>120</v>
      </c>
      <c r="AR92" s="9" t="n">
        <v>135</v>
      </c>
      <c r="AS92" s="9" t="n">
        <v>150</v>
      </c>
      <c r="AT92" s="9" t="n">
        <v>150</v>
      </c>
      <c r="AU92" s="9" t="n">
        <v>210</v>
      </c>
      <c r="AV92" s="9" t="n">
        <v>120</v>
      </c>
      <c r="AW92" s="9" t="n">
        <v>210</v>
      </c>
      <c r="AX92" s="9" t="n">
        <v>180</v>
      </c>
      <c r="AY92" s="9" t="n">
        <v>210</v>
      </c>
      <c r="AZ92" s="9" t="n">
        <v>210</v>
      </c>
      <c r="BA92" s="9" t="n">
        <v>30</v>
      </c>
      <c r="BB92" s="9" t="n">
        <v>240</v>
      </c>
      <c r="BC92" s="9" t="n">
        <v>30</v>
      </c>
      <c r="BD92" s="9" t="n">
        <v>240</v>
      </c>
      <c r="BE92" s="9" t="n">
        <v>150</v>
      </c>
      <c r="BF92" s="9" t="n">
        <v>60</v>
      </c>
      <c r="BG92" s="9" t="n">
        <v>150</v>
      </c>
      <c r="BH92" s="9" t="n">
        <v>240</v>
      </c>
      <c r="BI92" s="9" t="n">
        <v>120</v>
      </c>
      <c r="BJ92" s="9" t="n">
        <v>270</v>
      </c>
      <c r="BK92" s="9" t="n">
        <v>60</v>
      </c>
      <c r="BL92" s="9" t="n">
        <v>180</v>
      </c>
      <c r="BM92" s="9" t="n">
        <v>180</v>
      </c>
      <c r="BN92" s="9" t="n">
        <v>360</v>
      </c>
      <c r="BO92" s="9" t="n">
        <v>210</v>
      </c>
      <c r="BP92" s="9" t="n">
        <v>180</v>
      </c>
      <c r="BQ92" s="9" t="n">
        <v>60</v>
      </c>
      <c r="BR92" s="9" t="n">
        <v>60</v>
      </c>
      <c r="BS92" s="9" t="n">
        <v>390</v>
      </c>
      <c r="BT92" s="9" t="n">
        <v>150</v>
      </c>
      <c r="BU92" s="10" t="n">
        <v>11760</v>
      </c>
      <c r="BV92" s="11" t="n">
        <f aca="false">IF(ISERROR(ROUND(MEDIAN(BQ92:BT92),0)),0,ROUND(MEDIAN(BQ92:BT92),0))</f>
        <v>105</v>
      </c>
      <c r="BW92" s="11" t="n">
        <f aca="false">IF(ISERROR(ROUND(MEDIAN(BM92:BT92),0)),0,ROUND(MEDIAN(BM92:BT92),0))</f>
        <v>180</v>
      </c>
      <c r="BX92" s="11" t="n">
        <f aca="false">IF(ISERROR(ROUND(MEDIAN(BI92:BT92),0)),0,ROUND(MEDIAN(BI92:BT92),0))</f>
        <v>180</v>
      </c>
      <c r="BY92" s="11" t="n">
        <f aca="false">IF(ISERROR(ROUND(MEDIAN(BE92:BT92),0)),0,ROUND(MEDIAN(BE92:BT92),0))</f>
        <v>165</v>
      </c>
      <c r="BZ92" s="11" t="n">
        <f aca="false">IF(ISERROR(ROUND(MEDIAN(AU92:BT92),0)),0,ROUND(MEDIAN(AU92:BT92),0))</f>
        <v>180</v>
      </c>
      <c r="CA92" s="12" t="n">
        <f aca="false">IF(ISERROR(ROUND(MEDIAN(U92:BT92),0)),0,ROUND(MEDIAN(U92:BT92),0))</f>
        <v>180</v>
      </c>
      <c r="CB92" s="12" t="n">
        <f aca="false">IF(ISERROR(ROUND(MEDIAN(BT92),0)),0,ROUND(MEDIAN(BT92),0))</f>
        <v>150</v>
      </c>
      <c r="CC92" s="12" t="n">
        <f aca="false">IF(ISERROR(ROUND(MEDIAN(D92:BT92),0)),0,ROUND(MEDIAN(D92:BT92),0))</f>
        <v>180</v>
      </c>
      <c r="CD92" s="12" t="n">
        <f aca="false">MAX(D92:BT92)</f>
        <v>390</v>
      </c>
      <c r="CE92" s="7" t="n">
        <f aca="false">COUNTA(BQ92:BT92)</f>
        <v>4</v>
      </c>
      <c r="CF92" s="7" t="n">
        <f aca="false">COUNTA(BM92:BT92)</f>
        <v>8</v>
      </c>
      <c r="CG92" s="7" t="n">
        <f aca="false">COUNTA(BI92:BT92)</f>
        <v>12</v>
      </c>
      <c r="CH92" s="7" t="n">
        <f aca="false">COUNTA(BE92:BT92)</f>
        <v>16</v>
      </c>
      <c r="CI92" s="7" t="n">
        <f aca="false">COUNTA(AU92:BT92)</f>
        <v>26</v>
      </c>
      <c r="CJ92" s="7" t="n">
        <f aca="false">COUNTA(U92:BT92)</f>
        <v>52</v>
      </c>
      <c r="CK92" s="7" t="n">
        <f aca="false">COUNTA(BT92)</f>
        <v>1</v>
      </c>
      <c r="CL92" s="7" t="n">
        <f aca="false">COUNTA(D92:BT92)</f>
        <v>68</v>
      </c>
      <c r="CM92" s="13" t="str">
        <f aca="false">IF(AND(CE92=1,CJ92=1,BT92&lt;&gt;""),"5.ENTRANTES",IF(AND(CE92&lt;&gt;0,CE92/RIGHT($CE$1,1)&gt;=0.5,CJ92=CE92),"4.RECENTES",IF(AND(CF92&lt;&gt;0,CF92/RIGHT($CF$1,1)&gt;=0.5,CJ92=CF92),"4.RECENTES",IF(AND(CG92&lt;&gt;0,CG92/RIGHT($CG$1,2)&gt;=0.5,CJ92=CG92),"4.RECENTES",IF(AND(CH92&lt;&gt;0,CH92/RIGHT($CH$1,2)&gt;=0.5,CJ92=CH92),"4.RECENTES",IF(AND(CI92&lt;&gt;0,CI92/RIGHT($CI$1,2)&gt;=0.5,CJ92=CI92),"4.RECENTES",IF(AND(CE92=0,CF92=0,CG92=0,CH92=0),"3.INATIVOS",IF(CJ92/RIGHT($CJ$1,2)&lt;0.5,"2.INTERMITENTES","1.ORDINÁRIOS"))))))))</f>
        <v>1.ORDINÁRIOS</v>
      </c>
      <c r="CN92" s="14" t="n">
        <f aca="false">IF(AND(CE92=1,CJ92=1,BT92&lt;&gt;""),BT92,IF(AND(CE92&lt;&gt;0,CE92/RIGHT($CE$1,1)&gt;=0.5,CJ92=CE92),MAX(BV92:CC92),IF(AND(CF92&lt;&gt;0,CF92/RIGHT($CF$1,1)&gt;=0.5,CJ92=CF92),MAX(BV92:CC92),IF(AND(CG92&lt;&gt;0,CG92/RIGHT($CG$1,2)&gt;=0.5,CJ92=CG92),MAX(BV92:CC92),IF(AND(CH92&lt;&gt;0,CH92/RIGHT($CH$1,2)&gt;=0.5,CJ92=CH92),MAX(BV92:CC92),IF(AND(CI92&lt;&gt;0,CI92/RIGHT($CI$1,2)&gt;=0.5,CJ92=CI92),MAX(BV92:CC92),IF(AND(CE92=0,CF92=0,CG92=0,CH92=0),0,IF(CJ92/RIGHT($CJ$1,2)&lt;0.5,ROUND(BU92/RIGHT($CJ$1,2),0),MAX(BV92:CC92)))))))))</f>
        <v>180</v>
      </c>
      <c r="CO92" s="14" t="n">
        <f aca="false">CN92*3</f>
        <v>540</v>
      </c>
      <c r="CP92" s="15" t="n">
        <v>390</v>
      </c>
      <c r="CQ92" s="16" t="n">
        <f aca="false">IF((CO92-CP92)&lt;0,0,(CO92-CP92))</f>
        <v>150</v>
      </c>
      <c r="CR92" s="7"/>
    </row>
    <row r="93" customFormat="false" ht="12.75" hidden="false" customHeight="true" outlineLevel="0" collapsed="false">
      <c r="A93" s="7" t="s">
        <v>95</v>
      </c>
      <c r="B93" s="7" t="s">
        <v>187</v>
      </c>
      <c r="C93" s="8" t="n">
        <v>5000006</v>
      </c>
      <c r="D93" s="9" t="n">
        <v>60</v>
      </c>
      <c r="E93" s="9" t="n">
        <v>150</v>
      </c>
      <c r="F93" s="9" t="n">
        <v>360</v>
      </c>
      <c r="G93" s="9" t="n">
        <v>90</v>
      </c>
      <c r="H93" s="9"/>
      <c r="I93" s="9" t="n">
        <v>60</v>
      </c>
      <c r="J93" s="9" t="n">
        <v>270</v>
      </c>
      <c r="K93" s="9" t="n">
        <v>270</v>
      </c>
      <c r="L93" s="9"/>
      <c r="M93" s="9" t="n">
        <v>60</v>
      </c>
      <c r="N93" s="9" t="n">
        <v>210</v>
      </c>
      <c r="O93" s="9" t="n">
        <v>120</v>
      </c>
      <c r="P93" s="9" t="n">
        <v>250</v>
      </c>
      <c r="Q93" s="9" t="n">
        <v>60</v>
      </c>
      <c r="R93" s="9" t="n">
        <v>90</v>
      </c>
      <c r="S93" s="9" t="n">
        <v>180</v>
      </c>
      <c r="T93" s="9" t="n">
        <v>150</v>
      </c>
      <c r="U93" s="9" t="n">
        <v>180</v>
      </c>
      <c r="V93" s="9" t="n">
        <v>90</v>
      </c>
      <c r="W93" s="9" t="n">
        <v>90</v>
      </c>
      <c r="X93" s="9" t="n">
        <v>180</v>
      </c>
      <c r="Y93" s="9" t="n">
        <v>180</v>
      </c>
      <c r="Z93" s="9" t="n">
        <v>91</v>
      </c>
      <c r="AA93" s="9" t="n">
        <v>90</v>
      </c>
      <c r="AB93" s="9" t="n">
        <v>180</v>
      </c>
      <c r="AC93" s="9" t="n">
        <v>210</v>
      </c>
      <c r="AD93" s="9" t="n">
        <v>90</v>
      </c>
      <c r="AE93" s="9" t="n">
        <v>90</v>
      </c>
      <c r="AF93" s="9" t="n">
        <v>210</v>
      </c>
      <c r="AG93" s="9" t="n">
        <v>210</v>
      </c>
      <c r="AH93" s="9" t="n">
        <v>30</v>
      </c>
      <c r="AI93" s="9" t="n">
        <v>150</v>
      </c>
      <c r="AJ93" s="9" t="n">
        <v>300</v>
      </c>
      <c r="AK93" s="9" t="n">
        <v>120</v>
      </c>
      <c r="AL93" s="9" t="n">
        <v>90</v>
      </c>
      <c r="AM93" s="9" t="n">
        <v>150</v>
      </c>
      <c r="AN93" s="9" t="n">
        <v>210</v>
      </c>
      <c r="AO93" s="9" t="n">
        <v>210</v>
      </c>
      <c r="AP93" s="9" t="n">
        <v>180</v>
      </c>
      <c r="AQ93" s="9" t="n">
        <v>30</v>
      </c>
      <c r="AR93" s="9" t="n">
        <v>150</v>
      </c>
      <c r="AS93" s="9" t="n">
        <v>150</v>
      </c>
      <c r="AT93" s="9" t="n">
        <v>150</v>
      </c>
      <c r="AU93" s="9" t="n">
        <v>30</v>
      </c>
      <c r="AV93" s="9" t="n">
        <v>120</v>
      </c>
      <c r="AW93" s="9"/>
      <c r="AX93" s="9" t="n">
        <v>150</v>
      </c>
      <c r="AY93" s="9" t="n">
        <v>30</v>
      </c>
      <c r="AZ93" s="9" t="n">
        <v>60</v>
      </c>
      <c r="BA93" s="9" t="n">
        <v>120</v>
      </c>
      <c r="BB93" s="9" t="n">
        <v>120</v>
      </c>
      <c r="BC93" s="9"/>
      <c r="BD93" s="9" t="n">
        <v>60</v>
      </c>
      <c r="BE93" s="9" t="n">
        <v>60</v>
      </c>
      <c r="BF93" s="9" t="n">
        <v>90</v>
      </c>
      <c r="BG93" s="9" t="n">
        <v>180</v>
      </c>
      <c r="BH93" s="9" t="n">
        <v>90</v>
      </c>
      <c r="BI93" s="9"/>
      <c r="BJ93" s="9" t="n">
        <v>30</v>
      </c>
      <c r="BK93" s="9" t="n">
        <v>120</v>
      </c>
      <c r="BL93" s="9" t="n">
        <v>90</v>
      </c>
      <c r="BM93" s="9" t="n">
        <v>30</v>
      </c>
      <c r="BN93" s="9" t="n">
        <v>150</v>
      </c>
      <c r="BO93" s="9"/>
      <c r="BP93" s="9" t="n">
        <v>120</v>
      </c>
      <c r="BQ93" s="9" t="n">
        <v>90</v>
      </c>
      <c r="BR93" s="9" t="n">
        <v>60</v>
      </c>
      <c r="BS93" s="9" t="n">
        <v>90</v>
      </c>
      <c r="BT93" s="9" t="n">
        <v>60</v>
      </c>
      <c r="BU93" s="10" t="n">
        <v>8141</v>
      </c>
      <c r="BV93" s="11" t="n">
        <f aca="false">IF(ISERROR(ROUND(MEDIAN(BQ93:BT93),0)),0,ROUND(MEDIAN(BQ93:BT93),0))</f>
        <v>75</v>
      </c>
      <c r="BW93" s="11" t="n">
        <f aca="false">IF(ISERROR(ROUND(MEDIAN(BM93:BT93),0)),0,ROUND(MEDIAN(BM93:BT93),0))</f>
        <v>90</v>
      </c>
      <c r="BX93" s="11" t="n">
        <f aca="false">IF(ISERROR(ROUND(MEDIAN(BI93:BT93),0)),0,ROUND(MEDIAN(BI93:BT93),0))</f>
        <v>90</v>
      </c>
      <c r="BY93" s="11" t="n">
        <f aca="false">IF(ISERROR(ROUND(MEDIAN(BE93:BT93),0)),0,ROUND(MEDIAN(BE93:BT93),0))</f>
        <v>90</v>
      </c>
      <c r="BZ93" s="11" t="n">
        <f aca="false">IF(ISERROR(ROUND(MEDIAN(AU93:BT93),0)),0,ROUND(MEDIAN(AU93:BT93),0))</f>
        <v>90</v>
      </c>
      <c r="CA93" s="12" t="n">
        <f aca="false">IF(ISERROR(ROUND(MEDIAN(U93:BT93),0)),0,ROUND(MEDIAN(U93:BT93),0))</f>
        <v>120</v>
      </c>
      <c r="CB93" s="12" t="n">
        <f aca="false">IF(ISERROR(ROUND(MEDIAN(BT93),0)),0,ROUND(MEDIAN(BT93),0))</f>
        <v>60</v>
      </c>
      <c r="CC93" s="12" t="n">
        <f aca="false">IF(ISERROR(ROUND(MEDIAN(D93:BT93),0)),0,ROUND(MEDIAN(D93:BT93),0))</f>
        <v>120</v>
      </c>
      <c r="CD93" s="12" t="n">
        <f aca="false">MAX(D93:BT93)</f>
        <v>360</v>
      </c>
      <c r="CE93" s="7" t="n">
        <f aca="false">COUNTA(BQ93:BT93)</f>
        <v>4</v>
      </c>
      <c r="CF93" s="7" t="n">
        <f aca="false">COUNTA(BM93:BT93)</f>
        <v>7</v>
      </c>
      <c r="CG93" s="7" t="n">
        <f aca="false">COUNTA(BI93:BT93)</f>
        <v>10</v>
      </c>
      <c r="CH93" s="7" t="n">
        <f aca="false">COUNTA(BE93:BT93)</f>
        <v>14</v>
      </c>
      <c r="CI93" s="7" t="n">
        <f aca="false">COUNTA(AU93:BT93)</f>
        <v>22</v>
      </c>
      <c r="CJ93" s="7" t="n">
        <f aca="false">COUNTA(U93:BT93)</f>
        <v>48</v>
      </c>
      <c r="CK93" s="7" t="n">
        <f aca="false">COUNTA(BT93)</f>
        <v>1</v>
      </c>
      <c r="CL93" s="7" t="n">
        <f aca="false">COUNTA(D93:BT93)</f>
        <v>63</v>
      </c>
      <c r="CM93" s="13" t="str">
        <f aca="false">IF(AND(CE93=1,CJ93=1,BT93&lt;&gt;""),"5.ENTRANTES",IF(AND(CE93&lt;&gt;0,CE93/RIGHT($CE$1,1)&gt;=0.5,CJ93=CE93),"4.RECENTES",IF(AND(CF93&lt;&gt;0,CF93/RIGHT($CF$1,1)&gt;=0.5,CJ93=CF93),"4.RECENTES",IF(AND(CG93&lt;&gt;0,CG93/RIGHT($CG$1,2)&gt;=0.5,CJ93=CG93),"4.RECENTES",IF(AND(CH93&lt;&gt;0,CH93/RIGHT($CH$1,2)&gt;=0.5,CJ93=CH93),"4.RECENTES",IF(AND(CI93&lt;&gt;0,CI93/RIGHT($CI$1,2)&gt;=0.5,CJ93=CI93),"4.RECENTES",IF(AND(CE93=0,CF93=0,CG93=0,CH93=0),"3.INATIVOS",IF(CJ93/RIGHT($CJ$1,2)&lt;0.5,"2.INTERMITENTES","1.ORDINÁRIOS"))))))))</f>
        <v>1.ORDINÁRIOS</v>
      </c>
      <c r="CN93" s="14" t="n">
        <f aca="false">IF(AND(CE93=1,CJ93=1,BT93&lt;&gt;""),BT93,IF(AND(CE93&lt;&gt;0,CE93/RIGHT($CE$1,1)&gt;=0.5,CJ93=CE93),MAX(BV93:CC93),IF(AND(CF93&lt;&gt;0,CF93/RIGHT($CF$1,1)&gt;=0.5,CJ93=CF93),MAX(BV93:CC93),IF(AND(CG93&lt;&gt;0,CG93/RIGHT($CG$1,2)&gt;=0.5,CJ93=CG93),MAX(BV93:CC93),IF(AND(CH93&lt;&gt;0,CH93/RIGHT($CH$1,2)&gt;=0.5,CJ93=CH93),MAX(BV93:CC93),IF(AND(CI93&lt;&gt;0,CI93/RIGHT($CI$1,2)&gt;=0.5,CJ93=CI93),MAX(BV93:CC93),IF(AND(CE93=0,CF93=0,CG93=0,CH93=0),0,IF(CJ93/RIGHT($CJ$1,2)&lt;0.5,ROUND(BU93/RIGHT($CJ$1,2),0),MAX(BV93:CC93)))))))))</f>
        <v>120</v>
      </c>
      <c r="CO93" s="14" t="n">
        <f aca="false">CN93*3</f>
        <v>360</v>
      </c>
      <c r="CP93" s="15" t="n">
        <v>330</v>
      </c>
      <c r="CQ93" s="16" t="n">
        <f aca="false">IF((CO93-CP93)&lt;0,0,(CO93-CP93))</f>
        <v>30</v>
      </c>
      <c r="CR93" s="7"/>
    </row>
    <row r="94" customFormat="false" ht="12.75" hidden="false" customHeight="true" outlineLevel="0" collapsed="false">
      <c r="A94" s="7" t="s">
        <v>95</v>
      </c>
      <c r="B94" s="7" t="s">
        <v>188</v>
      </c>
      <c r="C94" s="8" t="n">
        <v>1000004</v>
      </c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 t="n">
        <v>80</v>
      </c>
      <c r="V94" s="9" t="n">
        <v>100</v>
      </c>
      <c r="W94" s="9"/>
      <c r="X94" s="9"/>
      <c r="Y94" s="9" t="n">
        <v>80</v>
      </c>
      <c r="Z94" s="9" t="n">
        <v>80</v>
      </c>
      <c r="AA94" s="9"/>
      <c r="AB94" s="9" t="n">
        <v>40</v>
      </c>
      <c r="AC94" s="9"/>
      <c r="AD94" s="9"/>
      <c r="AE94" s="9" t="n">
        <v>40</v>
      </c>
      <c r="AF94" s="9"/>
      <c r="AG94" s="9"/>
      <c r="AH94" s="9" t="n">
        <v>80</v>
      </c>
      <c r="AI94" s="9"/>
      <c r="AJ94" s="9" t="n">
        <v>120</v>
      </c>
      <c r="AK94" s="9" t="n">
        <v>20</v>
      </c>
      <c r="AL94" s="9" t="n">
        <v>40</v>
      </c>
      <c r="AM94" s="9"/>
      <c r="AN94" s="9"/>
      <c r="AO94" s="9"/>
      <c r="AP94" s="9"/>
      <c r="AQ94" s="9"/>
      <c r="AR94" s="9"/>
      <c r="AS94" s="9"/>
      <c r="AT94" s="9"/>
      <c r="AU94" s="9"/>
      <c r="AV94" s="9" t="n">
        <v>60</v>
      </c>
      <c r="AW94" s="9" t="n">
        <v>60</v>
      </c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 t="n">
        <v>40</v>
      </c>
      <c r="BP94" s="9"/>
      <c r="BQ94" s="9"/>
      <c r="BR94" s="9"/>
      <c r="BS94" s="9"/>
      <c r="BT94" s="9" t="n">
        <v>20</v>
      </c>
      <c r="BU94" s="10" t="n">
        <v>860</v>
      </c>
      <c r="BV94" s="11" t="n">
        <f aca="false">IF(ISERROR(ROUND(MEDIAN(BQ94:BT94),0)),0,ROUND(MEDIAN(BQ94:BT94),0))</f>
        <v>20</v>
      </c>
      <c r="BW94" s="11" t="n">
        <f aca="false">IF(ISERROR(ROUND(MEDIAN(BM94:BT94),0)),0,ROUND(MEDIAN(BM94:BT94),0))</f>
        <v>30</v>
      </c>
      <c r="BX94" s="11" t="n">
        <f aca="false">IF(ISERROR(ROUND(MEDIAN(BI94:BT94),0)),0,ROUND(MEDIAN(BI94:BT94),0))</f>
        <v>30</v>
      </c>
      <c r="BY94" s="11" t="n">
        <f aca="false">IF(ISERROR(ROUND(MEDIAN(BE94:BT94),0)),0,ROUND(MEDIAN(BE94:BT94),0))</f>
        <v>30</v>
      </c>
      <c r="BZ94" s="11" t="n">
        <f aca="false">IF(ISERROR(ROUND(MEDIAN(AU94:BT94),0)),0,ROUND(MEDIAN(AU94:BT94),0))</f>
        <v>50</v>
      </c>
      <c r="CA94" s="12" t="n">
        <f aca="false">IF(ISERROR(ROUND(MEDIAN(U94:BT94),0)),0,ROUND(MEDIAN(U94:BT94),0))</f>
        <v>60</v>
      </c>
      <c r="CB94" s="12" t="n">
        <f aca="false">IF(ISERROR(ROUND(MEDIAN(BT94),0)),0,ROUND(MEDIAN(BT94),0))</f>
        <v>20</v>
      </c>
      <c r="CC94" s="12" t="n">
        <f aca="false">IF(ISERROR(ROUND(MEDIAN(D94:BT94),0)),0,ROUND(MEDIAN(D94:BT94),0))</f>
        <v>60</v>
      </c>
      <c r="CD94" s="12" t="n">
        <f aca="false">MAX(D94:BT94)</f>
        <v>120</v>
      </c>
      <c r="CE94" s="7" t="n">
        <f aca="false">COUNTA(BQ94:BT94)</f>
        <v>1</v>
      </c>
      <c r="CF94" s="7" t="n">
        <f aca="false">COUNTA(BM94:BT94)</f>
        <v>2</v>
      </c>
      <c r="CG94" s="7" t="n">
        <f aca="false">COUNTA(BI94:BT94)</f>
        <v>2</v>
      </c>
      <c r="CH94" s="7" t="n">
        <f aca="false">COUNTA(BE94:BT94)</f>
        <v>2</v>
      </c>
      <c r="CI94" s="7" t="n">
        <f aca="false">COUNTA(AU94:BT94)</f>
        <v>4</v>
      </c>
      <c r="CJ94" s="7" t="n">
        <f aca="false">COUNTA(U94:BT94)</f>
        <v>14</v>
      </c>
      <c r="CK94" s="7" t="n">
        <f aca="false">COUNTA(BT94)</f>
        <v>1</v>
      </c>
      <c r="CL94" s="7" t="n">
        <f aca="false">COUNTA(D94:BT94)</f>
        <v>14</v>
      </c>
      <c r="CM94" s="17" t="str">
        <f aca="false">IF(AND(CE94=1,CJ94=1,BT94&lt;&gt;""),"5.ENTRANTES",IF(AND(CE94&lt;&gt;0,CE94/RIGHT($CE$1,1)&gt;=0.5,CJ94=CE94),"4.RECENTES",IF(AND(CF94&lt;&gt;0,CF94/RIGHT($CF$1,1)&gt;=0.5,CJ94=CF94),"4.RECENTES",IF(AND(CG94&lt;&gt;0,CG94/RIGHT($CG$1,2)&gt;=0.5,CJ94=CG94),"4.RECENTES",IF(AND(CH94&lt;&gt;0,CH94/RIGHT($CH$1,2)&gt;=0.5,CJ94=CH94),"4.RECENTES",IF(AND(CI94&lt;&gt;0,CI94/RIGHT($CI$1,2)&gt;=0.5,CJ94=CI94),"4.RECENTES",IF(AND(CE94=0,CF94=0,CG94=0,CH94=0),"3.INATIVOS",IF(CJ94/RIGHT($CJ$1,2)&lt;0.5,"2.INTERMITENTES","1.ORDINÁRIOS"))))))))</f>
        <v>2.INTERMITENTES</v>
      </c>
      <c r="CN94" s="18" t="n">
        <f aca="false">IF(AND(CE94=1,CJ94=1,BT94&lt;&gt;""),BT94,IF(AND(CE94&lt;&gt;0,CE94/RIGHT($CE$1,1)&gt;=0.5,CJ94=CE94),MAX(BV94:CC94),IF(AND(CF94&lt;&gt;0,CF94/RIGHT($CF$1,1)&gt;=0.5,CJ94=CF94),MAX(BV94:CC94),IF(AND(CG94&lt;&gt;0,CG94/RIGHT($CG$1,2)&gt;=0.5,CJ94=CG94),MAX(BV94:CC94),IF(AND(CH94&lt;&gt;0,CH94/RIGHT($CH$1,2)&gt;=0.5,CJ94=CH94),MAX(BV94:CC94),IF(AND(CI94&lt;&gt;0,CI94/RIGHT($CI$1,2)&gt;=0.5,CJ94=CI94),MAX(BV94:CC94),IF(AND(CE94=0,CF94=0,CG94=0,CH94=0),0,IF(CJ94/RIGHT($CJ$1,2)&lt;0.5,ROUND(BU94/RIGHT($CJ$1,2),0),MAX(BV94:CC94)))))))))</f>
        <v>17</v>
      </c>
      <c r="CO94" s="18" t="n">
        <f aca="false">CD94</f>
        <v>120</v>
      </c>
      <c r="CP94" s="15" t="n">
        <v>220</v>
      </c>
      <c r="CQ94" s="16" t="n">
        <f aca="false">IF((CO94-CP94)&lt;0,0,(CO94-CP94))</f>
        <v>0</v>
      </c>
      <c r="CR94" s="7"/>
    </row>
    <row r="95" customFormat="false" ht="12.75" hidden="false" customHeight="true" outlineLevel="0" collapsed="false">
      <c r="A95" s="7" t="s">
        <v>95</v>
      </c>
      <c r="B95" s="7" t="s">
        <v>189</v>
      </c>
      <c r="C95" s="8" t="n">
        <v>2000020</v>
      </c>
      <c r="D95" s="9" t="n">
        <v>1</v>
      </c>
      <c r="E95" s="9" t="n">
        <v>10</v>
      </c>
      <c r="F95" s="9"/>
      <c r="G95" s="9" t="n">
        <v>7</v>
      </c>
      <c r="H95" s="9" t="n">
        <v>3</v>
      </c>
      <c r="I95" s="9" t="n">
        <v>9</v>
      </c>
      <c r="J95" s="9" t="n">
        <v>7</v>
      </c>
      <c r="K95" s="9" t="n">
        <v>2</v>
      </c>
      <c r="L95" s="9" t="n">
        <v>9</v>
      </c>
      <c r="M95" s="9" t="n">
        <v>9</v>
      </c>
      <c r="N95" s="9" t="n">
        <v>8</v>
      </c>
      <c r="O95" s="9" t="n">
        <v>10</v>
      </c>
      <c r="P95" s="9" t="n">
        <v>5</v>
      </c>
      <c r="Q95" s="9" t="n">
        <v>9</v>
      </c>
      <c r="R95" s="9" t="n">
        <v>6</v>
      </c>
      <c r="S95" s="9" t="n">
        <v>9</v>
      </c>
      <c r="T95" s="9" t="n">
        <v>3</v>
      </c>
      <c r="U95" s="9" t="n">
        <v>3</v>
      </c>
      <c r="V95" s="9" t="n">
        <v>9</v>
      </c>
      <c r="W95" s="9" t="n">
        <v>7</v>
      </c>
      <c r="X95" s="9" t="n">
        <v>5</v>
      </c>
      <c r="Y95" s="9" t="n">
        <v>5</v>
      </c>
      <c r="Z95" s="9"/>
      <c r="AA95" s="9" t="n">
        <v>13</v>
      </c>
      <c r="AB95" s="9" t="n">
        <v>6</v>
      </c>
      <c r="AC95" s="9" t="n">
        <v>5</v>
      </c>
      <c r="AD95" s="9" t="n">
        <v>3</v>
      </c>
      <c r="AE95" s="9"/>
      <c r="AF95" s="9" t="n">
        <v>6</v>
      </c>
      <c r="AG95" s="9" t="n">
        <v>11</v>
      </c>
      <c r="AH95" s="9" t="n">
        <v>2</v>
      </c>
      <c r="AI95" s="9" t="n">
        <v>10</v>
      </c>
      <c r="AJ95" s="9" t="n">
        <v>4</v>
      </c>
      <c r="AK95" s="9" t="n">
        <v>3</v>
      </c>
      <c r="AL95" s="9" t="n">
        <v>7</v>
      </c>
      <c r="AM95" s="9" t="n">
        <v>8</v>
      </c>
      <c r="AN95" s="9" t="n">
        <v>10</v>
      </c>
      <c r="AO95" s="9" t="n">
        <v>2</v>
      </c>
      <c r="AP95" s="9" t="n">
        <v>8</v>
      </c>
      <c r="AQ95" s="9" t="n">
        <v>5</v>
      </c>
      <c r="AR95" s="9" t="n">
        <v>1</v>
      </c>
      <c r="AS95" s="9" t="n">
        <v>10</v>
      </c>
      <c r="AT95" s="9" t="n">
        <v>7</v>
      </c>
      <c r="AU95" s="9" t="n">
        <v>5</v>
      </c>
      <c r="AV95" s="9" t="n">
        <v>7</v>
      </c>
      <c r="AW95" s="9" t="n">
        <v>3</v>
      </c>
      <c r="AX95" s="9" t="n">
        <v>9</v>
      </c>
      <c r="AY95" s="9" t="n">
        <v>5</v>
      </c>
      <c r="AZ95" s="9" t="n">
        <v>3</v>
      </c>
      <c r="BA95" s="9" t="n">
        <v>4</v>
      </c>
      <c r="BB95" s="9"/>
      <c r="BC95" s="9" t="n">
        <v>4</v>
      </c>
      <c r="BD95" s="9" t="n">
        <v>3</v>
      </c>
      <c r="BE95" s="9" t="n">
        <v>5</v>
      </c>
      <c r="BF95" s="9" t="n">
        <v>6</v>
      </c>
      <c r="BG95" s="9" t="n">
        <v>4</v>
      </c>
      <c r="BH95" s="9" t="n">
        <v>3</v>
      </c>
      <c r="BI95" s="9" t="n">
        <v>2</v>
      </c>
      <c r="BJ95" s="9" t="n">
        <v>6</v>
      </c>
      <c r="BK95" s="9" t="n">
        <v>3</v>
      </c>
      <c r="BL95" s="9" t="n">
        <v>5</v>
      </c>
      <c r="BM95" s="9" t="n">
        <v>5</v>
      </c>
      <c r="BN95" s="9" t="n">
        <v>4</v>
      </c>
      <c r="BO95" s="9" t="n">
        <v>5</v>
      </c>
      <c r="BP95" s="9" t="n">
        <v>3</v>
      </c>
      <c r="BQ95" s="9" t="n">
        <v>2</v>
      </c>
      <c r="BR95" s="9" t="n">
        <v>4</v>
      </c>
      <c r="BS95" s="9" t="n">
        <v>3</v>
      </c>
      <c r="BT95" s="9" t="n">
        <v>1</v>
      </c>
      <c r="BU95" s="10" t="n">
        <v>361</v>
      </c>
      <c r="BV95" s="11" t="n">
        <f aca="false">IF(ISERROR(ROUND(MEDIAN(BQ95:BT95),0)),0,ROUND(MEDIAN(BQ95:BT95),0))</f>
        <v>3</v>
      </c>
      <c r="BW95" s="11" t="n">
        <f aca="false">IF(ISERROR(ROUND(MEDIAN(BM95:BT95),0)),0,ROUND(MEDIAN(BM95:BT95),0))</f>
        <v>4</v>
      </c>
      <c r="BX95" s="11" t="n">
        <f aca="false">IF(ISERROR(ROUND(MEDIAN(BI95:BT95),0)),0,ROUND(MEDIAN(BI95:BT95),0))</f>
        <v>4</v>
      </c>
      <c r="BY95" s="11" t="n">
        <f aca="false">IF(ISERROR(ROUND(MEDIAN(BE95:BT95),0)),0,ROUND(MEDIAN(BE95:BT95),0))</f>
        <v>4</v>
      </c>
      <c r="BZ95" s="11" t="n">
        <f aca="false">IF(ISERROR(ROUND(MEDIAN(AU95:BT95),0)),0,ROUND(MEDIAN(AU95:BT95),0))</f>
        <v>4</v>
      </c>
      <c r="CA95" s="12" t="n">
        <f aca="false">IF(ISERROR(ROUND(MEDIAN(U95:BT95),0)),0,ROUND(MEDIAN(U95:BT95),0))</f>
        <v>5</v>
      </c>
      <c r="CB95" s="12" t="n">
        <f aca="false">IF(ISERROR(ROUND(MEDIAN(BT95),0)),0,ROUND(MEDIAN(BT95),0))</f>
        <v>1</v>
      </c>
      <c r="CC95" s="12" t="n">
        <f aca="false">IF(ISERROR(ROUND(MEDIAN(D95:BT95),0)),0,ROUND(MEDIAN(D95:BT95),0))</f>
        <v>5</v>
      </c>
      <c r="CD95" s="12" t="n">
        <f aca="false">MAX(D95:BT95)</f>
        <v>13</v>
      </c>
      <c r="CE95" s="7" t="n">
        <f aca="false">COUNTA(BQ95:BT95)</f>
        <v>4</v>
      </c>
      <c r="CF95" s="7" t="n">
        <f aca="false">COUNTA(BM95:BT95)</f>
        <v>8</v>
      </c>
      <c r="CG95" s="7" t="n">
        <f aca="false">COUNTA(BI95:BT95)</f>
        <v>12</v>
      </c>
      <c r="CH95" s="7" t="n">
        <f aca="false">COUNTA(BE95:BT95)</f>
        <v>16</v>
      </c>
      <c r="CI95" s="7" t="n">
        <f aca="false">COUNTA(AU95:BT95)</f>
        <v>25</v>
      </c>
      <c r="CJ95" s="7" t="n">
        <f aca="false">COUNTA(U95:BT95)</f>
        <v>49</v>
      </c>
      <c r="CK95" s="7" t="n">
        <f aca="false">COUNTA(BT95)</f>
        <v>1</v>
      </c>
      <c r="CL95" s="7" t="n">
        <f aca="false">COUNTA(D95:BT95)</f>
        <v>65</v>
      </c>
      <c r="CM95" s="13" t="str">
        <f aca="false">IF(AND(CE95=1,CJ95=1,BT95&lt;&gt;""),"5.ENTRANTES",IF(AND(CE95&lt;&gt;0,CE95/RIGHT($CE$1,1)&gt;=0.5,CJ95=CE95),"4.RECENTES",IF(AND(CF95&lt;&gt;0,CF95/RIGHT($CF$1,1)&gt;=0.5,CJ95=CF95),"4.RECENTES",IF(AND(CG95&lt;&gt;0,CG95/RIGHT($CG$1,2)&gt;=0.5,CJ95=CG95),"4.RECENTES",IF(AND(CH95&lt;&gt;0,CH95/RIGHT($CH$1,2)&gt;=0.5,CJ95=CH95),"4.RECENTES",IF(AND(CI95&lt;&gt;0,CI95/RIGHT($CI$1,2)&gt;=0.5,CJ95=CI95),"4.RECENTES",IF(AND(CE95=0,CF95=0,CG95=0,CH95=0),"3.INATIVOS",IF(CJ95/RIGHT($CJ$1,2)&lt;0.5,"2.INTERMITENTES","1.ORDINÁRIOS"))))))))</f>
        <v>1.ORDINÁRIOS</v>
      </c>
      <c r="CN95" s="14" t="n">
        <f aca="false">IF(AND(CE95=1,CJ95=1,BT95&lt;&gt;""),BT95,IF(AND(CE95&lt;&gt;0,CE95/RIGHT($CE$1,1)&gt;=0.5,CJ95=CE95),MAX(BV95:CC95),IF(AND(CF95&lt;&gt;0,CF95/RIGHT($CF$1,1)&gt;=0.5,CJ95=CF95),MAX(BV95:CC95),IF(AND(CG95&lt;&gt;0,CG95/RIGHT($CG$1,2)&gt;=0.5,CJ95=CG95),MAX(BV95:CC95),IF(AND(CH95&lt;&gt;0,CH95/RIGHT($CH$1,2)&gt;=0.5,CJ95=CH95),MAX(BV95:CC95),IF(AND(CI95&lt;&gt;0,CI95/RIGHT($CI$1,2)&gt;=0.5,CJ95=CI95),MAX(BV95:CC95),IF(AND(CE95=0,CF95=0,CG95=0,CH95=0),0,IF(CJ95/RIGHT($CJ$1,2)&lt;0.5,ROUND(BU95/RIGHT($CJ$1,2),0),MAX(BV95:CC95)))))))))</f>
        <v>5</v>
      </c>
      <c r="CO95" s="14" t="n">
        <f aca="false">CN95*3</f>
        <v>15</v>
      </c>
      <c r="CP95" s="15" t="n">
        <v>16</v>
      </c>
      <c r="CQ95" s="16" t="n">
        <f aca="false">IF((CO95-CP95)&lt;0,0,(CO95-CP95))</f>
        <v>0</v>
      </c>
      <c r="CR95" s="7"/>
    </row>
    <row r="96" customFormat="false" ht="12.75" hidden="false" customHeight="true" outlineLevel="0" collapsed="false">
      <c r="A96" s="7" t="s">
        <v>95</v>
      </c>
      <c r="B96" s="7" t="s">
        <v>190</v>
      </c>
      <c r="C96" s="8" t="n">
        <v>2000130</v>
      </c>
      <c r="D96" s="9" t="n">
        <v>9</v>
      </c>
      <c r="E96" s="9" t="n">
        <v>40</v>
      </c>
      <c r="F96" s="9" t="n">
        <v>25</v>
      </c>
      <c r="G96" s="9" t="n">
        <v>34</v>
      </c>
      <c r="H96" s="9" t="n">
        <v>22</v>
      </c>
      <c r="I96" s="9" t="n">
        <v>71</v>
      </c>
      <c r="J96" s="9" t="n">
        <v>80</v>
      </c>
      <c r="K96" s="9" t="n">
        <v>31</v>
      </c>
      <c r="L96" s="9" t="n">
        <v>53</v>
      </c>
      <c r="M96" s="9" t="n">
        <v>44</v>
      </c>
      <c r="N96" s="9" t="n">
        <v>42</v>
      </c>
      <c r="O96" s="9" t="n">
        <v>36</v>
      </c>
      <c r="P96" s="9" t="n">
        <v>38</v>
      </c>
      <c r="Q96" s="9" t="n">
        <v>20</v>
      </c>
      <c r="R96" s="9" t="n">
        <v>46</v>
      </c>
      <c r="S96" s="9" t="n">
        <v>18</v>
      </c>
      <c r="T96" s="9" t="n">
        <v>17</v>
      </c>
      <c r="U96" s="9" t="n">
        <v>16</v>
      </c>
      <c r="V96" s="9" t="n">
        <v>26</v>
      </c>
      <c r="W96" s="9" t="n">
        <v>15</v>
      </c>
      <c r="X96" s="9" t="n">
        <v>8</v>
      </c>
      <c r="Y96" s="9" t="n">
        <v>20</v>
      </c>
      <c r="Z96" s="9" t="n">
        <v>14</v>
      </c>
      <c r="AA96" s="9" t="n">
        <v>25</v>
      </c>
      <c r="AB96" s="9" t="n">
        <v>16</v>
      </c>
      <c r="AC96" s="9" t="n">
        <v>56</v>
      </c>
      <c r="AD96" s="9" t="n">
        <v>37</v>
      </c>
      <c r="AE96" s="9" t="n">
        <v>35</v>
      </c>
      <c r="AF96" s="9" t="n">
        <v>22</v>
      </c>
      <c r="AG96" s="9" t="n">
        <v>48</v>
      </c>
      <c r="AH96" s="9" t="n">
        <v>38</v>
      </c>
      <c r="AI96" s="9" t="n">
        <v>32</v>
      </c>
      <c r="AJ96" s="9" t="n">
        <v>44</v>
      </c>
      <c r="AK96" s="9" t="n">
        <v>24</v>
      </c>
      <c r="AL96" s="9" t="n">
        <v>23</v>
      </c>
      <c r="AM96" s="9" t="n">
        <v>28</v>
      </c>
      <c r="AN96" s="9" t="n">
        <v>25</v>
      </c>
      <c r="AO96" s="9" t="n">
        <v>23</v>
      </c>
      <c r="AP96" s="9" t="n">
        <v>21</v>
      </c>
      <c r="AQ96" s="9" t="n">
        <v>26</v>
      </c>
      <c r="AR96" s="9" t="n">
        <v>24</v>
      </c>
      <c r="AS96" s="9" t="n">
        <v>23</v>
      </c>
      <c r="AT96" s="9" t="n">
        <v>16</v>
      </c>
      <c r="AU96" s="9" t="n">
        <v>22</v>
      </c>
      <c r="AV96" s="9" t="n">
        <v>11</v>
      </c>
      <c r="AW96" s="9" t="n">
        <v>12</v>
      </c>
      <c r="AX96" s="9" t="n">
        <v>7</v>
      </c>
      <c r="AY96" s="9" t="n">
        <v>6</v>
      </c>
      <c r="AZ96" s="9" t="n">
        <v>15</v>
      </c>
      <c r="BA96" s="9" t="n">
        <v>37</v>
      </c>
      <c r="BB96" s="9" t="n">
        <v>18</v>
      </c>
      <c r="BC96" s="9" t="n">
        <v>15</v>
      </c>
      <c r="BD96" s="9" t="n">
        <v>27</v>
      </c>
      <c r="BE96" s="9" t="n">
        <v>28</v>
      </c>
      <c r="BF96" s="9" t="n">
        <v>25</v>
      </c>
      <c r="BG96" s="9" t="n">
        <v>37</v>
      </c>
      <c r="BH96" s="9" t="n">
        <v>30</v>
      </c>
      <c r="BI96" s="9" t="n">
        <v>50</v>
      </c>
      <c r="BJ96" s="9" t="n">
        <v>37</v>
      </c>
      <c r="BK96" s="9" t="n">
        <v>31</v>
      </c>
      <c r="BL96" s="9" t="n">
        <v>12</v>
      </c>
      <c r="BM96" s="9" t="n">
        <v>20</v>
      </c>
      <c r="BN96" s="9" t="n">
        <v>26</v>
      </c>
      <c r="BO96" s="9" t="n">
        <v>5</v>
      </c>
      <c r="BP96" s="9" t="n">
        <v>17</v>
      </c>
      <c r="BQ96" s="9" t="n">
        <v>3</v>
      </c>
      <c r="BR96" s="9" t="n">
        <v>17</v>
      </c>
      <c r="BS96" s="9" t="n">
        <v>6</v>
      </c>
      <c r="BT96" s="9" t="n">
        <v>4</v>
      </c>
      <c r="BU96" s="10" t="n">
        <v>1829</v>
      </c>
      <c r="BV96" s="11" t="n">
        <f aca="false">IF(ISERROR(ROUND(MEDIAN(BQ96:BT96),0)),0,ROUND(MEDIAN(BQ96:BT96),0))</f>
        <v>5</v>
      </c>
      <c r="BW96" s="11" t="n">
        <f aca="false">IF(ISERROR(ROUND(MEDIAN(BM96:BT96),0)),0,ROUND(MEDIAN(BM96:BT96),0))</f>
        <v>12</v>
      </c>
      <c r="BX96" s="11" t="n">
        <f aca="false">IF(ISERROR(ROUND(MEDIAN(BI96:BT96),0)),0,ROUND(MEDIAN(BI96:BT96),0))</f>
        <v>17</v>
      </c>
      <c r="BY96" s="11" t="n">
        <f aca="false">IF(ISERROR(ROUND(MEDIAN(BE96:BT96),0)),0,ROUND(MEDIAN(BE96:BT96),0))</f>
        <v>23</v>
      </c>
      <c r="BZ96" s="11" t="n">
        <f aca="false">IF(ISERROR(ROUND(MEDIAN(AU96:BT96),0)),0,ROUND(MEDIAN(AU96:BT96),0))</f>
        <v>18</v>
      </c>
      <c r="CA96" s="12" t="n">
        <f aca="false">IF(ISERROR(ROUND(MEDIAN(U96:BT96),0)),0,ROUND(MEDIAN(U96:BT96),0))</f>
        <v>23</v>
      </c>
      <c r="CB96" s="12" t="n">
        <f aca="false">IF(ISERROR(ROUND(MEDIAN(BT96),0)),0,ROUND(MEDIAN(BT96),0))</f>
        <v>4</v>
      </c>
      <c r="CC96" s="12" t="n">
        <f aca="false">IF(ISERROR(ROUND(MEDIAN(D96:BT96),0)),0,ROUND(MEDIAN(D96:BT96),0))</f>
        <v>24</v>
      </c>
      <c r="CD96" s="12" t="n">
        <f aca="false">MAX(D96:BT96)</f>
        <v>80</v>
      </c>
      <c r="CE96" s="7" t="n">
        <f aca="false">COUNTA(BQ96:BT96)</f>
        <v>4</v>
      </c>
      <c r="CF96" s="7" t="n">
        <f aca="false">COUNTA(BM96:BT96)</f>
        <v>8</v>
      </c>
      <c r="CG96" s="7" t="n">
        <f aca="false">COUNTA(BI96:BT96)</f>
        <v>12</v>
      </c>
      <c r="CH96" s="7" t="n">
        <f aca="false">COUNTA(BE96:BT96)</f>
        <v>16</v>
      </c>
      <c r="CI96" s="7" t="n">
        <f aca="false">COUNTA(AU96:BT96)</f>
        <v>26</v>
      </c>
      <c r="CJ96" s="7" t="n">
        <f aca="false">COUNTA(U96:BT96)</f>
        <v>52</v>
      </c>
      <c r="CK96" s="7" t="n">
        <f aca="false">COUNTA(BT96)</f>
        <v>1</v>
      </c>
      <c r="CL96" s="7" t="n">
        <f aca="false">COUNTA(D96:BT96)</f>
        <v>69</v>
      </c>
      <c r="CM96" s="13" t="str">
        <f aca="false">IF(AND(CE96=1,CJ96=1,BT96&lt;&gt;""),"5.ENTRANTES",IF(AND(CE96&lt;&gt;0,CE96/RIGHT($CE$1,1)&gt;=0.5,CJ96=CE96),"4.RECENTES",IF(AND(CF96&lt;&gt;0,CF96/RIGHT($CF$1,1)&gt;=0.5,CJ96=CF96),"4.RECENTES",IF(AND(CG96&lt;&gt;0,CG96/RIGHT($CG$1,2)&gt;=0.5,CJ96=CG96),"4.RECENTES",IF(AND(CH96&lt;&gt;0,CH96/RIGHT($CH$1,2)&gt;=0.5,CJ96=CH96),"4.RECENTES",IF(AND(CI96&lt;&gt;0,CI96/RIGHT($CI$1,2)&gt;=0.5,CJ96=CI96),"4.RECENTES",IF(AND(CE96=0,CF96=0,CG96=0,CH96=0),"3.INATIVOS",IF(CJ96/RIGHT($CJ$1,2)&lt;0.5,"2.INTERMITENTES","1.ORDINÁRIOS"))))))))</f>
        <v>1.ORDINÁRIOS</v>
      </c>
      <c r="CN96" s="14" t="n">
        <f aca="false">IF(AND(CE96=1,CJ96=1,BT96&lt;&gt;""),BT96,IF(AND(CE96&lt;&gt;0,CE96/RIGHT($CE$1,1)&gt;=0.5,CJ96=CE96),MAX(BV96:CC96),IF(AND(CF96&lt;&gt;0,CF96/RIGHT($CF$1,1)&gt;=0.5,CJ96=CF96),MAX(BV96:CC96),IF(AND(CG96&lt;&gt;0,CG96/RIGHT($CG$1,2)&gt;=0.5,CJ96=CG96),MAX(BV96:CC96),IF(AND(CH96&lt;&gt;0,CH96/RIGHT($CH$1,2)&gt;=0.5,CJ96=CH96),MAX(BV96:CC96),IF(AND(CI96&lt;&gt;0,CI96/RIGHT($CI$1,2)&gt;=0.5,CJ96=CI96),MAX(BV96:CC96),IF(AND(CE96=0,CF96=0,CG96=0,CH96=0),0,IF(CJ96/RIGHT($CJ$1,2)&lt;0.5,ROUND(BU96/RIGHT($CJ$1,2),0),MAX(BV96:CC96)))))))))</f>
        <v>24</v>
      </c>
      <c r="CO96" s="14" t="n">
        <f aca="false">CN96*3</f>
        <v>72</v>
      </c>
      <c r="CP96" s="15" t="n">
        <v>74</v>
      </c>
      <c r="CQ96" s="16" t="n">
        <f aca="false">IF((CO96-CP96)&lt;0,0,(CO96-CP96))</f>
        <v>0</v>
      </c>
      <c r="CR96" s="7"/>
    </row>
    <row r="97" customFormat="false" ht="12.75" hidden="false" customHeight="true" outlineLevel="0" collapsed="false">
      <c r="A97" s="7" t="s">
        <v>95</v>
      </c>
      <c r="B97" s="7" t="s">
        <v>191</v>
      </c>
      <c r="C97" s="8" t="n">
        <v>21001012</v>
      </c>
      <c r="D97" s="9" t="n">
        <v>60</v>
      </c>
      <c r="E97" s="9" t="n">
        <v>320</v>
      </c>
      <c r="F97" s="9" t="n">
        <v>820</v>
      </c>
      <c r="G97" s="9" t="n">
        <v>928</v>
      </c>
      <c r="H97" s="9" t="n">
        <v>370</v>
      </c>
      <c r="I97" s="9" t="n">
        <v>870</v>
      </c>
      <c r="J97" s="9" t="n">
        <v>840</v>
      </c>
      <c r="K97" s="9" t="n">
        <v>500</v>
      </c>
      <c r="L97" s="9" t="n">
        <v>640</v>
      </c>
      <c r="M97" s="9" t="n">
        <v>780</v>
      </c>
      <c r="N97" s="9" t="n">
        <v>550</v>
      </c>
      <c r="O97" s="9" t="n">
        <v>480</v>
      </c>
      <c r="P97" s="9" t="n">
        <v>470</v>
      </c>
      <c r="Q97" s="9" t="n">
        <v>440</v>
      </c>
      <c r="R97" s="9" t="n">
        <v>760</v>
      </c>
      <c r="S97" s="9" t="n">
        <v>670</v>
      </c>
      <c r="T97" s="9" t="n">
        <v>790</v>
      </c>
      <c r="U97" s="9" t="n">
        <v>520</v>
      </c>
      <c r="V97" s="9" t="n">
        <v>630</v>
      </c>
      <c r="W97" s="9" t="n">
        <v>670</v>
      </c>
      <c r="X97" s="9" t="n">
        <v>570</v>
      </c>
      <c r="Y97" s="9" t="n">
        <v>510</v>
      </c>
      <c r="Z97" s="9" t="n">
        <v>310</v>
      </c>
      <c r="AA97" s="9" t="n">
        <v>650</v>
      </c>
      <c r="AB97" s="9" t="n">
        <v>700</v>
      </c>
      <c r="AC97" s="9" t="n">
        <v>780</v>
      </c>
      <c r="AD97" s="9" t="n">
        <v>322</v>
      </c>
      <c r="AE97" s="9" t="n">
        <v>728</v>
      </c>
      <c r="AF97" s="9" t="n">
        <v>240</v>
      </c>
      <c r="AG97" s="9" t="n">
        <v>870</v>
      </c>
      <c r="AH97" s="9" t="n">
        <v>720</v>
      </c>
      <c r="AI97" s="9" t="n">
        <v>690</v>
      </c>
      <c r="AJ97" s="9" t="n">
        <v>1040</v>
      </c>
      <c r="AK97" s="9" t="n">
        <v>410</v>
      </c>
      <c r="AL97" s="9" t="n">
        <v>580</v>
      </c>
      <c r="AM97" s="9" t="n">
        <v>700</v>
      </c>
      <c r="AN97" s="9" t="n">
        <v>560</v>
      </c>
      <c r="AO97" s="9" t="n">
        <v>420</v>
      </c>
      <c r="AP97" s="9" t="n">
        <v>840</v>
      </c>
      <c r="AQ97" s="9" t="n">
        <v>690</v>
      </c>
      <c r="AR97" s="9" t="n">
        <v>680</v>
      </c>
      <c r="AS97" s="9" t="n">
        <v>1340</v>
      </c>
      <c r="AT97" s="9" t="n">
        <v>890</v>
      </c>
      <c r="AU97" s="9" t="n">
        <v>520</v>
      </c>
      <c r="AV97" s="9" t="n">
        <v>880</v>
      </c>
      <c r="AW97" s="9" t="n">
        <v>490</v>
      </c>
      <c r="AX97" s="9" t="n">
        <v>750</v>
      </c>
      <c r="AY97" s="9" t="n">
        <v>542</v>
      </c>
      <c r="AZ97" s="9" t="n">
        <v>487</v>
      </c>
      <c r="BA97" s="9" t="n">
        <v>893</v>
      </c>
      <c r="BB97" s="9" t="n">
        <v>491</v>
      </c>
      <c r="BC97" s="9" t="n">
        <v>879</v>
      </c>
      <c r="BD97" s="9" t="n">
        <v>352</v>
      </c>
      <c r="BE97" s="9" t="n">
        <v>542</v>
      </c>
      <c r="BF97" s="9" t="n">
        <v>900</v>
      </c>
      <c r="BG97" s="9" t="n">
        <v>634</v>
      </c>
      <c r="BH97" s="9" t="n">
        <v>711</v>
      </c>
      <c r="BI97" s="9" t="n">
        <v>690</v>
      </c>
      <c r="BJ97" s="9" t="n">
        <v>870</v>
      </c>
      <c r="BK97" s="9" t="n">
        <v>730</v>
      </c>
      <c r="BL97" s="9" t="n">
        <v>480</v>
      </c>
      <c r="BM97" s="9" t="n">
        <v>570</v>
      </c>
      <c r="BN97" s="9" t="n">
        <v>630</v>
      </c>
      <c r="BO97" s="9" t="n">
        <v>630</v>
      </c>
      <c r="BP97" s="9" t="n">
        <v>780</v>
      </c>
      <c r="BQ97" s="9" t="n">
        <v>710</v>
      </c>
      <c r="BR97" s="9" t="n">
        <v>440</v>
      </c>
      <c r="BS97" s="9" t="n">
        <v>370</v>
      </c>
      <c r="BT97" s="9" t="n">
        <v>260</v>
      </c>
      <c r="BU97" s="10" t="n">
        <v>43579</v>
      </c>
      <c r="BV97" s="11" t="n">
        <f aca="false">IF(ISERROR(ROUND(MEDIAN(BQ97:BT97),0)),0,ROUND(MEDIAN(BQ97:BT97),0))</f>
        <v>405</v>
      </c>
      <c r="BW97" s="11" t="n">
        <f aca="false">IF(ISERROR(ROUND(MEDIAN(BM97:BT97),0)),0,ROUND(MEDIAN(BM97:BT97),0))</f>
        <v>600</v>
      </c>
      <c r="BX97" s="11" t="n">
        <f aca="false">IF(ISERROR(ROUND(MEDIAN(BI97:BT97),0)),0,ROUND(MEDIAN(BI97:BT97),0))</f>
        <v>630</v>
      </c>
      <c r="BY97" s="11" t="n">
        <f aca="false">IF(ISERROR(ROUND(MEDIAN(BE97:BT97),0)),0,ROUND(MEDIAN(BE97:BT97),0))</f>
        <v>632</v>
      </c>
      <c r="BZ97" s="11" t="n">
        <f aca="false">IF(ISERROR(ROUND(MEDIAN(AU97:BT97),0)),0,ROUND(MEDIAN(AU97:BT97),0))</f>
        <v>630</v>
      </c>
      <c r="CA97" s="12" t="n">
        <f aca="false">IF(ISERROR(ROUND(MEDIAN(U97:BT97),0)),0,ROUND(MEDIAN(U97:BT97),0))</f>
        <v>642</v>
      </c>
      <c r="CB97" s="12" t="n">
        <f aca="false">IF(ISERROR(ROUND(MEDIAN(BT97),0)),0,ROUND(MEDIAN(BT97),0))</f>
        <v>260</v>
      </c>
      <c r="CC97" s="12" t="n">
        <f aca="false">IF(ISERROR(ROUND(MEDIAN(D97:BT97),0)),0,ROUND(MEDIAN(D97:BT97),0))</f>
        <v>640</v>
      </c>
      <c r="CD97" s="12" t="n">
        <f aca="false">MAX(D97:BT97)</f>
        <v>1340</v>
      </c>
      <c r="CE97" s="7" t="n">
        <f aca="false">COUNTA(BQ97:BT97)</f>
        <v>4</v>
      </c>
      <c r="CF97" s="7" t="n">
        <f aca="false">COUNTA(BM97:BT97)</f>
        <v>8</v>
      </c>
      <c r="CG97" s="7" t="n">
        <f aca="false">COUNTA(BI97:BT97)</f>
        <v>12</v>
      </c>
      <c r="CH97" s="7" t="n">
        <f aca="false">COUNTA(BE97:BT97)</f>
        <v>16</v>
      </c>
      <c r="CI97" s="7" t="n">
        <f aca="false">COUNTA(AU97:BT97)</f>
        <v>26</v>
      </c>
      <c r="CJ97" s="7" t="n">
        <f aca="false">COUNTA(U97:BT97)</f>
        <v>52</v>
      </c>
      <c r="CK97" s="7" t="n">
        <f aca="false">COUNTA(BT97)</f>
        <v>1</v>
      </c>
      <c r="CL97" s="7" t="n">
        <f aca="false">COUNTA(D97:BT97)</f>
        <v>69</v>
      </c>
      <c r="CM97" s="13" t="str">
        <f aca="false">IF(AND(CE97=1,CJ97=1,BT97&lt;&gt;""),"5.ENTRANTES",IF(AND(CE97&lt;&gt;0,CE97/RIGHT($CE$1,1)&gt;=0.5,CJ97=CE97),"4.RECENTES",IF(AND(CF97&lt;&gt;0,CF97/RIGHT($CF$1,1)&gt;=0.5,CJ97=CF97),"4.RECENTES",IF(AND(CG97&lt;&gt;0,CG97/RIGHT($CG$1,2)&gt;=0.5,CJ97=CG97),"4.RECENTES",IF(AND(CH97&lt;&gt;0,CH97/RIGHT($CH$1,2)&gt;=0.5,CJ97=CH97),"4.RECENTES",IF(AND(CI97&lt;&gt;0,CI97/RIGHT($CI$1,2)&gt;=0.5,CJ97=CI97),"4.RECENTES",IF(AND(CE97=0,CF97=0,CG97=0,CH97=0),"3.INATIVOS",IF(CJ97/RIGHT($CJ$1,2)&lt;0.5,"2.INTERMITENTES","1.ORDINÁRIOS"))))))))</f>
        <v>1.ORDINÁRIOS</v>
      </c>
      <c r="CN97" s="14" t="n">
        <f aca="false">IF(AND(CE97=1,CJ97=1,BT97&lt;&gt;""),BT97,IF(AND(CE97&lt;&gt;0,CE97/RIGHT($CE$1,1)&gt;=0.5,CJ97=CE97),MAX(BV97:CC97),IF(AND(CF97&lt;&gt;0,CF97/RIGHT($CF$1,1)&gt;=0.5,CJ97=CF97),MAX(BV97:CC97),IF(AND(CG97&lt;&gt;0,CG97/RIGHT($CG$1,2)&gt;=0.5,CJ97=CG97),MAX(BV97:CC97),IF(AND(CH97&lt;&gt;0,CH97/RIGHT($CH$1,2)&gt;=0.5,CJ97=CH97),MAX(BV97:CC97),IF(AND(CI97&lt;&gt;0,CI97/RIGHT($CI$1,2)&gt;=0.5,CJ97=CI97),MAX(BV97:CC97),IF(AND(CE97=0,CF97=0,CG97=0,CH97=0),0,IF(CJ97/RIGHT($CJ$1,2)&lt;0.5,ROUND(BU97/RIGHT($CJ$1,2),0),MAX(BV97:CC97)))))))))</f>
        <v>642</v>
      </c>
      <c r="CO97" s="14" t="n">
        <f aca="false">CN97*3</f>
        <v>1926</v>
      </c>
      <c r="CP97" s="15" t="n">
        <v>1420</v>
      </c>
      <c r="CQ97" s="16" t="n">
        <f aca="false">IF((CO97-CP97)&lt;0,0,(CO97-CP97))</f>
        <v>506</v>
      </c>
      <c r="CR97" s="7"/>
    </row>
    <row r="98" customFormat="false" ht="12.75" hidden="false" customHeight="true" outlineLevel="0" collapsed="false">
      <c r="A98" s="7" t="s">
        <v>95</v>
      </c>
      <c r="B98" s="7" t="s">
        <v>192</v>
      </c>
      <c r="C98" s="8" t="n">
        <v>50001005</v>
      </c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 t="n">
        <v>10</v>
      </c>
      <c r="AM98" s="9" t="n">
        <v>2</v>
      </c>
      <c r="AN98" s="9" t="n">
        <v>2</v>
      </c>
      <c r="AO98" s="9" t="n">
        <v>5</v>
      </c>
      <c r="AP98" s="9" t="n">
        <v>11</v>
      </c>
      <c r="AQ98" s="9" t="n">
        <v>10</v>
      </c>
      <c r="AR98" s="9" t="n">
        <v>4</v>
      </c>
      <c r="AS98" s="9" t="n">
        <v>3</v>
      </c>
      <c r="AT98" s="9" t="n">
        <v>13</v>
      </c>
      <c r="AU98" s="9" t="n">
        <v>6</v>
      </c>
      <c r="AV98" s="9" t="n">
        <v>6</v>
      </c>
      <c r="AW98" s="9" t="n">
        <v>1</v>
      </c>
      <c r="AX98" s="9" t="n">
        <v>6</v>
      </c>
      <c r="AY98" s="9" t="n">
        <v>3</v>
      </c>
      <c r="AZ98" s="9" t="n">
        <v>2</v>
      </c>
      <c r="BA98" s="9" t="n">
        <v>4</v>
      </c>
      <c r="BB98" s="9"/>
      <c r="BC98" s="9"/>
      <c r="BD98" s="9"/>
      <c r="BE98" s="9"/>
      <c r="BF98" s="9"/>
      <c r="BG98" s="9"/>
      <c r="BH98" s="9"/>
      <c r="BI98" s="9"/>
      <c r="BJ98" s="9"/>
      <c r="BK98" s="9" t="n">
        <v>2</v>
      </c>
      <c r="BL98" s="9" t="n">
        <v>17</v>
      </c>
      <c r="BM98" s="9" t="n">
        <v>10</v>
      </c>
      <c r="BN98" s="9" t="n">
        <v>13</v>
      </c>
      <c r="BO98" s="9" t="n">
        <v>8</v>
      </c>
      <c r="BP98" s="9" t="n">
        <v>3</v>
      </c>
      <c r="BQ98" s="9"/>
      <c r="BR98" s="9" t="n">
        <v>1</v>
      </c>
      <c r="BS98" s="9" t="n">
        <v>3</v>
      </c>
      <c r="BT98" s="9" t="n">
        <v>5</v>
      </c>
      <c r="BU98" s="10" t="n">
        <v>150</v>
      </c>
      <c r="BV98" s="11" t="n">
        <f aca="false">IF(ISERROR(ROUND(MEDIAN(BQ98:BT98),0)),0,ROUND(MEDIAN(BQ98:BT98),0))</f>
        <v>3</v>
      </c>
      <c r="BW98" s="11" t="n">
        <f aca="false">IF(ISERROR(ROUND(MEDIAN(BM98:BT98),0)),0,ROUND(MEDIAN(BM98:BT98),0))</f>
        <v>5</v>
      </c>
      <c r="BX98" s="11" t="n">
        <f aca="false">IF(ISERROR(ROUND(MEDIAN(BI98:BT98),0)),0,ROUND(MEDIAN(BI98:BT98),0))</f>
        <v>5</v>
      </c>
      <c r="BY98" s="11" t="n">
        <f aca="false">IF(ISERROR(ROUND(MEDIAN(BE98:BT98),0)),0,ROUND(MEDIAN(BE98:BT98),0))</f>
        <v>5</v>
      </c>
      <c r="BZ98" s="11" t="n">
        <f aca="false">IF(ISERROR(ROUND(MEDIAN(AU98:BT98),0)),0,ROUND(MEDIAN(AU98:BT98),0))</f>
        <v>5</v>
      </c>
      <c r="CA98" s="12" t="n">
        <f aca="false">IF(ISERROR(ROUND(MEDIAN(U98:BT98),0)),0,ROUND(MEDIAN(U98:BT98),0))</f>
        <v>5</v>
      </c>
      <c r="CB98" s="12" t="n">
        <f aca="false">IF(ISERROR(ROUND(MEDIAN(BT98),0)),0,ROUND(MEDIAN(BT98),0))</f>
        <v>5</v>
      </c>
      <c r="CC98" s="12" t="n">
        <f aca="false">IF(ISERROR(ROUND(MEDIAN(D98:BT98),0)),0,ROUND(MEDIAN(D98:BT98),0))</f>
        <v>5</v>
      </c>
      <c r="CD98" s="12" t="n">
        <f aca="false">MAX(D98:BT98)</f>
        <v>17</v>
      </c>
      <c r="CE98" s="7" t="n">
        <f aca="false">COUNTA(BQ98:BT98)</f>
        <v>3</v>
      </c>
      <c r="CF98" s="7" t="n">
        <f aca="false">COUNTA(BM98:BT98)</f>
        <v>7</v>
      </c>
      <c r="CG98" s="7" t="n">
        <f aca="false">COUNTA(BI98:BT98)</f>
        <v>9</v>
      </c>
      <c r="CH98" s="7" t="n">
        <f aca="false">COUNTA(BE98:BT98)</f>
        <v>9</v>
      </c>
      <c r="CI98" s="7" t="n">
        <f aca="false">COUNTA(AU98:BT98)</f>
        <v>16</v>
      </c>
      <c r="CJ98" s="7" t="n">
        <f aca="false">COUNTA(U98:BT98)</f>
        <v>25</v>
      </c>
      <c r="CK98" s="7" t="n">
        <f aca="false">COUNTA(BT98)</f>
        <v>1</v>
      </c>
      <c r="CL98" s="7" t="n">
        <f aca="false">COUNTA(D98:BT98)</f>
        <v>25</v>
      </c>
      <c r="CM98" s="17" t="str">
        <f aca="false">IF(AND(CE98=1,CJ98=1,BT98&lt;&gt;""),"5.ENTRANTES",IF(AND(CE98&lt;&gt;0,CE98/RIGHT($CE$1,1)&gt;=0.5,CJ98=CE98),"4.RECENTES",IF(AND(CF98&lt;&gt;0,CF98/RIGHT($CF$1,1)&gt;=0.5,CJ98=CF98),"4.RECENTES",IF(AND(CG98&lt;&gt;0,CG98/RIGHT($CG$1,2)&gt;=0.5,CJ98=CG98),"4.RECENTES",IF(AND(CH98&lt;&gt;0,CH98/RIGHT($CH$1,2)&gt;=0.5,CJ98=CH98),"4.RECENTES",IF(AND(CI98&lt;&gt;0,CI98/RIGHT($CI$1,2)&gt;=0.5,CJ98=CI98),"4.RECENTES",IF(AND(CE98=0,CF98=0,CG98=0,CH98=0),"3.INATIVOS",IF(CJ98/RIGHT($CJ$1,2)&lt;0.5,"2.INTERMITENTES","1.ORDINÁRIOS"))))))))</f>
        <v>2.INTERMITENTES</v>
      </c>
      <c r="CN98" s="18" t="n">
        <f aca="false">IF(AND(CE98=1,CJ98=1,BT98&lt;&gt;""),BT98,IF(AND(CE98&lt;&gt;0,CE98/RIGHT($CE$1,1)&gt;=0.5,CJ98=CE98),MAX(BV98:CC98),IF(AND(CF98&lt;&gt;0,CF98/RIGHT($CF$1,1)&gt;=0.5,CJ98=CF98),MAX(BV98:CC98),IF(AND(CG98&lt;&gt;0,CG98/RIGHT($CG$1,2)&gt;=0.5,CJ98=CG98),MAX(BV98:CC98),IF(AND(CH98&lt;&gt;0,CH98/RIGHT($CH$1,2)&gt;=0.5,CJ98=CH98),MAX(BV98:CC98),IF(AND(CI98&lt;&gt;0,CI98/RIGHT($CI$1,2)&gt;=0.5,CJ98=CI98),MAX(BV98:CC98),IF(AND(CE98=0,CF98=0,CG98=0,CH98=0),0,IF(CJ98/RIGHT($CJ$1,2)&lt;0.5,ROUND(BU98/RIGHT($CJ$1,2),0),MAX(BV98:CC98)))))))))</f>
        <v>3</v>
      </c>
      <c r="CO98" s="18" t="n">
        <f aca="false">CD98</f>
        <v>17</v>
      </c>
      <c r="CP98" s="15" t="n">
        <v>82</v>
      </c>
      <c r="CQ98" s="16" t="n">
        <f aca="false">IF((CO98-CP98)&lt;0,0,(CO98-CP98))</f>
        <v>0</v>
      </c>
      <c r="CR98" s="7"/>
    </row>
    <row r="99" customFormat="false" ht="12.75" hidden="false" customHeight="true" outlineLevel="0" collapsed="false">
      <c r="A99" s="7" t="s">
        <v>95</v>
      </c>
      <c r="B99" s="7" t="s">
        <v>193</v>
      </c>
      <c r="C99" s="8" t="n">
        <v>5000011</v>
      </c>
      <c r="D99" s="9"/>
      <c r="E99" s="9" t="n">
        <v>90</v>
      </c>
      <c r="F99" s="9" t="n">
        <v>250</v>
      </c>
      <c r="G99" s="9" t="n">
        <v>180</v>
      </c>
      <c r="H99" s="9"/>
      <c r="I99" s="9" t="n">
        <v>150</v>
      </c>
      <c r="J99" s="9" t="n">
        <v>360</v>
      </c>
      <c r="K99" s="9"/>
      <c r="L99" s="9" t="n">
        <v>90</v>
      </c>
      <c r="M99" s="9" t="n">
        <v>300</v>
      </c>
      <c r="N99" s="9" t="n">
        <v>240</v>
      </c>
      <c r="O99" s="9" t="n">
        <v>210</v>
      </c>
      <c r="P99" s="9" t="n">
        <v>120</v>
      </c>
      <c r="Q99" s="9" t="n">
        <v>90</v>
      </c>
      <c r="R99" s="9" t="n">
        <v>390</v>
      </c>
      <c r="S99" s="9" t="n">
        <v>180</v>
      </c>
      <c r="T99" s="9" t="n">
        <v>30</v>
      </c>
      <c r="U99" s="9" t="n">
        <v>90</v>
      </c>
      <c r="V99" s="9" t="n">
        <v>120</v>
      </c>
      <c r="W99" s="9" t="n">
        <v>420</v>
      </c>
      <c r="X99" s="9" t="n">
        <v>60</v>
      </c>
      <c r="Y99" s="9" t="n">
        <v>150</v>
      </c>
      <c r="Z99" s="9" t="n">
        <v>120</v>
      </c>
      <c r="AA99" s="9" t="n">
        <v>330</v>
      </c>
      <c r="AB99" s="9" t="n">
        <v>90</v>
      </c>
      <c r="AC99" s="9" t="n">
        <v>120</v>
      </c>
      <c r="AD99" s="9"/>
      <c r="AE99" s="9" t="n">
        <v>360</v>
      </c>
      <c r="AF99" s="9" t="n">
        <v>210</v>
      </c>
      <c r="AG99" s="9" t="n">
        <v>90</v>
      </c>
      <c r="AH99" s="9"/>
      <c r="AI99" s="9" t="n">
        <v>210</v>
      </c>
      <c r="AJ99" s="9" t="n">
        <v>180</v>
      </c>
      <c r="AK99" s="9" t="n">
        <v>120</v>
      </c>
      <c r="AL99" s="9" t="n">
        <v>120</v>
      </c>
      <c r="AM99" s="9" t="n">
        <v>60</v>
      </c>
      <c r="AN99" s="9" t="n">
        <v>240</v>
      </c>
      <c r="AO99" s="9" t="n">
        <v>210</v>
      </c>
      <c r="AP99" s="9" t="n">
        <v>90</v>
      </c>
      <c r="AQ99" s="9" t="n">
        <v>90</v>
      </c>
      <c r="AR99" s="9" t="n">
        <v>210</v>
      </c>
      <c r="AS99" s="9"/>
      <c r="AT99" s="9" t="n">
        <v>30</v>
      </c>
      <c r="AU99" s="9"/>
      <c r="AV99" s="9" t="n">
        <v>60</v>
      </c>
      <c r="AW99" s="9" t="n">
        <v>120</v>
      </c>
      <c r="AX99" s="9" t="n">
        <v>60</v>
      </c>
      <c r="AY99" s="9" t="n">
        <v>30</v>
      </c>
      <c r="AZ99" s="9" t="n">
        <v>60</v>
      </c>
      <c r="BA99" s="9" t="n">
        <v>110</v>
      </c>
      <c r="BB99" s="9" t="n">
        <v>60</v>
      </c>
      <c r="BC99" s="9" t="n">
        <v>120</v>
      </c>
      <c r="BD99" s="9"/>
      <c r="BE99" s="9" t="n">
        <v>90</v>
      </c>
      <c r="BF99" s="9" t="n">
        <v>240</v>
      </c>
      <c r="BG99" s="9" t="n">
        <v>60</v>
      </c>
      <c r="BH99" s="9" t="n">
        <v>90</v>
      </c>
      <c r="BI99" s="9"/>
      <c r="BJ99" s="9" t="n">
        <v>90</v>
      </c>
      <c r="BK99" s="9"/>
      <c r="BL99" s="9" t="n">
        <v>30</v>
      </c>
      <c r="BM99" s="9" t="n">
        <v>90</v>
      </c>
      <c r="BN99" s="9" t="n">
        <v>150</v>
      </c>
      <c r="BO99" s="9"/>
      <c r="BP99" s="9" t="n">
        <v>90</v>
      </c>
      <c r="BQ99" s="9" t="n">
        <v>90</v>
      </c>
      <c r="BR99" s="9" t="n">
        <v>150</v>
      </c>
      <c r="BS99" s="9"/>
      <c r="BT99" s="9" t="n">
        <v>90</v>
      </c>
      <c r="BU99" s="10" t="n">
        <v>8280</v>
      </c>
      <c r="BV99" s="11" t="n">
        <f aca="false">IF(ISERROR(ROUND(MEDIAN(BQ99:BT99),0)),0,ROUND(MEDIAN(BQ99:BT99),0))</f>
        <v>90</v>
      </c>
      <c r="BW99" s="11" t="n">
        <f aca="false">IF(ISERROR(ROUND(MEDIAN(BM99:BT99),0)),0,ROUND(MEDIAN(BM99:BT99),0))</f>
        <v>90</v>
      </c>
      <c r="BX99" s="11" t="n">
        <f aca="false">IF(ISERROR(ROUND(MEDIAN(BI99:BT99),0)),0,ROUND(MEDIAN(BI99:BT99),0))</f>
        <v>90</v>
      </c>
      <c r="BY99" s="11" t="n">
        <f aca="false">IF(ISERROR(ROUND(MEDIAN(BE99:BT99),0)),0,ROUND(MEDIAN(BE99:BT99),0))</f>
        <v>90</v>
      </c>
      <c r="BZ99" s="11" t="n">
        <f aca="false">IF(ISERROR(ROUND(MEDIAN(AU99:BT99),0)),0,ROUND(MEDIAN(AU99:BT99),0))</f>
        <v>90</v>
      </c>
      <c r="CA99" s="12" t="n">
        <f aca="false">IF(ISERROR(ROUND(MEDIAN(U99:BT99),0)),0,ROUND(MEDIAN(U99:BT99),0))</f>
        <v>90</v>
      </c>
      <c r="CB99" s="12" t="n">
        <f aca="false">IF(ISERROR(ROUND(MEDIAN(BT99),0)),0,ROUND(MEDIAN(BT99),0))</f>
        <v>90</v>
      </c>
      <c r="CC99" s="12" t="n">
        <f aca="false">IF(ISERROR(ROUND(MEDIAN(D99:BT99),0)),0,ROUND(MEDIAN(D99:BT99),0))</f>
        <v>120</v>
      </c>
      <c r="CD99" s="12" t="n">
        <f aca="false">MAX(D99:BT99)</f>
        <v>420</v>
      </c>
      <c r="CE99" s="7" t="n">
        <f aca="false">COUNTA(BQ99:BT99)</f>
        <v>3</v>
      </c>
      <c r="CF99" s="7" t="n">
        <f aca="false">COUNTA(BM99:BT99)</f>
        <v>6</v>
      </c>
      <c r="CG99" s="7" t="n">
        <f aca="false">COUNTA(BI99:BT99)</f>
        <v>8</v>
      </c>
      <c r="CH99" s="7" t="n">
        <f aca="false">COUNTA(BE99:BT99)</f>
        <v>12</v>
      </c>
      <c r="CI99" s="7" t="n">
        <f aca="false">COUNTA(AU99:BT99)</f>
        <v>20</v>
      </c>
      <c r="CJ99" s="7" t="n">
        <f aca="false">COUNTA(U99:BT99)</f>
        <v>43</v>
      </c>
      <c r="CK99" s="7" t="n">
        <f aca="false">COUNTA(BT99)</f>
        <v>1</v>
      </c>
      <c r="CL99" s="7" t="n">
        <f aca="false">COUNTA(D99:BT99)</f>
        <v>57</v>
      </c>
      <c r="CM99" s="13" t="str">
        <f aca="false">IF(AND(CE99=1,CJ99=1,BT99&lt;&gt;""),"5.ENTRANTES",IF(AND(CE99&lt;&gt;0,CE99/RIGHT($CE$1,1)&gt;=0.5,CJ99=CE99),"4.RECENTES",IF(AND(CF99&lt;&gt;0,CF99/RIGHT($CF$1,1)&gt;=0.5,CJ99=CF99),"4.RECENTES",IF(AND(CG99&lt;&gt;0,CG99/RIGHT($CG$1,2)&gt;=0.5,CJ99=CG99),"4.RECENTES",IF(AND(CH99&lt;&gt;0,CH99/RIGHT($CH$1,2)&gt;=0.5,CJ99=CH99),"4.RECENTES",IF(AND(CI99&lt;&gt;0,CI99/RIGHT($CI$1,2)&gt;=0.5,CJ99=CI99),"4.RECENTES",IF(AND(CE99=0,CF99=0,CG99=0,CH99=0),"3.INATIVOS",IF(CJ99/RIGHT($CJ$1,2)&lt;0.5,"2.INTERMITENTES","1.ORDINÁRIOS"))))))))</f>
        <v>1.ORDINÁRIOS</v>
      </c>
      <c r="CN99" s="14" t="n">
        <f aca="false">IF(AND(CE99=1,CJ99=1,BT99&lt;&gt;""),BT99,IF(AND(CE99&lt;&gt;0,CE99/RIGHT($CE$1,1)&gt;=0.5,CJ99=CE99),MAX(BV99:CC99),IF(AND(CF99&lt;&gt;0,CF99/RIGHT($CF$1,1)&gt;=0.5,CJ99=CF99),MAX(BV99:CC99),IF(AND(CG99&lt;&gt;0,CG99/RIGHT($CG$1,2)&gt;=0.5,CJ99=CG99),MAX(BV99:CC99),IF(AND(CH99&lt;&gt;0,CH99/RIGHT($CH$1,2)&gt;=0.5,CJ99=CH99),MAX(BV99:CC99),IF(AND(CI99&lt;&gt;0,CI99/RIGHT($CI$1,2)&gt;=0.5,CJ99=CI99),MAX(BV99:CC99),IF(AND(CE99=0,CF99=0,CG99=0,CH99=0),0,IF(CJ99/RIGHT($CJ$1,2)&lt;0.5,ROUND(BU99/RIGHT($CJ$1,2),0),MAX(BV99:CC99)))))))))</f>
        <v>120</v>
      </c>
      <c r="CO99" s="14" t="n">
        <f aca="false">CN99*3</f>
        <v>360</v>
      </c>
      <c r="CP99" s="15" t="n">
        <v>270</v>
      </c>
      <c r="CQ99" s="16" t="n">
        <f aca="false">IF((CO99-CP99)&lt;0,0,(CO99-CP99))</f>
        <v>90</v>
      </c>
      <c r="CR99" s="7"/>
    </row>
    <row r="100" customFormat="false" ht="12.75" hidden="false" customHeight="true" outlineLevel="0" collapsed="false">
      <c r="A100" s="7" t="s">
        <v>95</v>
      </c>
      <c r="B100" s="7" t="s">
        <v>194</v>
      </c>
      <c r="C100" s="8" t="n">
        <v>301004001</v>
      </c>
      <c r="D100" s="9"/>
      <c r="E100" s="9"/>
      <c r="F100" s="9"/>
      <c r="G100" s="9"/>
      <c r="H100" s="9"/>
      <c r="I100" s="9" t="n">
        <v>60</v>
      </c>
      <c r="J100" s="9"/>
      <c r="K100" s="9"/>
      <c r="L100" s="9"/>
      <c r="M100" s="9"/>
      <c r="N100" s="9"/>
      <c r="O100" s="9"/>
      <c r="P100" s="9"/>
      <c r="Q100" s="9" t="n">
        <v>10</v>
      </c>
      <c r="R100" s="9" t="n">
        <v>10</v>
      </c>
      <c r="S100" s="9"/>
      <c r="T100" s="9" t="n">
        <v>10</v>
      </c>
      <c r="U100" s="9" t="n">
        <v>20</v>
      </c>
      <c r="V100" s="9" t="n">
        <v>20</v>
      </c>
      <c r="W100" s="9"/>
      <c r="X100" s="9"/>
      <c r="Y100" s="9"/>
      <c r="Z100" s="9"/>
      <c r="AA100" s="9"/>
      <c r="AB100" s="9" t="n">
        <v>100</v>
      </c>
      <c r="AC100" s="9"/>
      <c r="AD100" s="9" t="n">
        <v>10</v>
      </c>
      <c r="AE100" s="9" t="n">
        <v>20</v>
      </c>
      <c r="AF100" s="9"/>
      <c r="AG100" s="9"/>
      <c r="AH100" s="9"/>
      <c r="AI100" s="9"/>
      <c r="AJ100" s="9"/>
      <c r="AK100" s="9"/>
      <c r="AL100" s="9"/>
      <c r="AM100" s="9"/>
      <c r="AN100" s="9"/>
      <c r="AO100" s="9" t="n">
        <v>20</v>
      </c>
      <c r="AP100" s="9" t="n">
        <v>80</v>
      </c>
      <c r="AQ100" s="9" t="n">
        <v>20</v>
      </c>
      <c r="AR100" s="9"/>
      <c r="AS100" s="9" t="n">
        <v>30</v>
      </c>
      <c r="AT100" s="9" t="n">
        <v>10</v>
      </c>
      <c r="AU100" s="9"/>
      <c r="AV100" s="9"/>
      <c r="AW100" s="9"/>
      <c r="AX100" s="9"/>
      <c r="AY100" s="9"/>
      <c r="AZ100" s="9" t="n">
        <v>140</v>
      </c>
      <c r="BA100" s="9"/>
      <c r="BB100" s="9"/>
      <c r="BC100" s="9"/>
      <c r="BD100" s="9"/>
      <c r="BE100" s="9"/>
      <c r="BF100" s="9" t="n">
        <v>120</v>
      </c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 t="n">
        <v>8</v>
      </c>
      <c r="BT100" s="9" t="n">
        <v>10</v>
      </c>
      <c r="BU100" s="10" t="n">
        <v>698</v>
      </c>
      <c r="BV100" s="11" t="n">
        <f aca="false">IF(ISERROR(ROUND(MEDIAN(BQ100:BT100),0)),0,ROUND(MEDIAN(BQ100:BT100),0))</f>
        <v>9</v>
      </c>
      <c r="BW100" s="11" t="n">
        <f aca="false">IF(ISERROR(ROUND(MEDIAN(BM100:BT100),0)),0,ROUND(MEDIAN(BM100:BT100),0))</f>
        <v>9</v>
      </c>
      <c r="BX100" s="11" t="n">
        <f aca="false">IF(ISERROR(ROUND(MEDIAN(BI100:BT100),0)),0,ROUND(MEDIAN(BI100:BT100),0))</f>
        <v>9</v>
      </c>
      <c r="BY100" s="11" t="n">
        <f aca="false">IF(ISERROR(ROUND(MEDIAN(BE100:BT100),0)),0,ROUND(MEDIAN(BE100:BT100),0))</f>
        <v>10</v>
      </c>
      <c r="BZ100" s="11" t="n">
        <f aca="false">IF(ISERROR(ROUND(MEDIAN(AU100:BT100),0)),0,ROUND(MEDIAN(AU100:BT100),0))</f>
        <v>65</v>
      </c>
      <c r="CA100" s="12" t="n">
        <f aca="false">IF(ISERROR(ROUND(MEDIAN(U100:BT100),0)),0,ROUND(MEDIAN(U100:BT100),0))</f>
        <v>20</v>
      </c>
      <c r="CB100" s="12" t="n">
        <f aca="false">IF(ISERROR(ROUND(MEDIAN(BT100),0)),0,ROUND(MEDIAN(BT100),0))</f>
        <v>10</v>
      </c>
      <c r="CC100" s="12" t="n">
        <f aca="false">IF(ISERROR(ROUND(MEDIAN(D100:BT100),0)),0,ROUND(MEDIAN(D100:BT100),0))</f>
        <v>20</v>
      </c>
      <c r="CD100" s="12" t="n">
        <f aca="false">MAX(D100:BT100)</f>
        <v>140</v>
      </c>
      <c r="CE100" s="7" t="n">
        <f aca="false">COUNTA(BQ100:BT100)</f>
        <v>2</v>
      </c>
      <c r="CF100" s="7" t="n">
        <f aca="false">COUNTA(BM100:BT100)</f>
        <v>2</v>
      </c>
      <c r="CG100" s="7" t="n">
        <f aca="false">COUNTA(BI100:BT100)</f>
        <v>2</v>
      </c>
      <c r="CH100" s="7" t="n">
        <f aca="false">COUNTA(BE100:BT100)</f>
        <v>3</v>
      </c>
      <c r="CI100" s="7" t="n">
        <f aca="false">COUNTA(AU100:BT100)</f>
        <v>4</v>
      </c>
      <c r="CJ100" s="7" t="n">
        <f aca="false">COUNTA(U100:BT100)</f>
        <v>14</v>
      </c>
      <c r="CK100" s="7" t="n">
        <f aca="false">COUNTA(BT100)</f>
        <v>1</v>
      </c>
      <c r="CL100" s="7" t="n">
        <f aca="false">COUNTA(D100:BT100)</f>
        <v>18</v>
      </c>
      <c r="CM100" s="17" t="str">
        <f aca="false">IF(AND(CE100=1,CJ100=1,BT100&lt;&gt;""),"5.ENTRANTES",IF(AND(CE100&lt;&gt;0,CE100/RIGHT($CE$1,1)&gt;=0.5,CJ100=CE100),"4.RECENTES",IF(AND(CF100&lt;&gt;0,CF100/RIGHT($CF$1,1)&gt;=0.5,CJ100=CF100),"4.RECENTES",IF(AND(CG100&lt;&gt;0,CG100/RIGHT($CG$1,2)&gt;=0.5,CJ100=CG100),"4.RECENTES",IF(AND(CH100&lt;&gt;0,CH100/RIGHT($CH$1,2)&gt;=0.5,CJ100=CH100),"4.RECENTES",IF(AND(CI100&lt;&gt;0,CI100/RIGHT($CI$1,2)&gt;=0.5,CJ100=CI100),"4.RECENTES",IF(AND(CE100=0,CF100=0,CG100=0,CH100=0),"3.INATIVOS",IF(CJ100/RIGHT($CJ$1,2)&lt;0.5,"2.INTERMITENTES","1.ORDINÁRIOS"))))))))</f>
        <v>2.INTERMITENTES</v>
      </c>
      <c r="CN100" s="18" t="n">
        <f aca="false">IF(AND(CE100=1,CJ100=1,BT100&lt;&gt;""),BT100,IF(AND(CE100&lt;&gt;0,CE100/RIGHT($CE$1,1)&gt;=0.5,CJ100=CE100),MAX(BV100:CC100),IF(AND(CF100&lt;&gt;0,CF100/RIGHT($CF$1,1)&gt;=0.5,CJ100=CF100),MAX(BV100:CC100),IF(AND(CG100&lt;&gt;0,CG100/RIGHT($CG$1,2)&gt;=0.5,CJ100=CG100),MAX(BV100:CC100),IF(AND(CH100&lt;&gt;0,CH100/RIGHT($CH$1,2)&gt;=0.5,CJ100=CH100),MAX(BV100:CC100),IF(AND(CI100&lt;&gt;0,CI100/RIGHT($CI$1,2)&gt;=0.5,CJ100=CI100),MAX(BV100:CC100),IF(AND(CE100=0,CF100=0,CG100=0,CH100=0),0,IF(CJ100/RIGHT($CJ$1,2)&lt;0.5,ROUND(BU100/RIGHT($CJ$1,2),0),MAX(BV100:CC100)))))))))</f>
        <v>13</v>
      </c>
      <c r="CO100" s="18" t="n">
        <f aca="false">CD100</f>
        <v>140</v>
      </c>
      <c r="CP100" s="15" t="n">
        <v>262</v>
      </c>
      <c r="CQ100" s="16" t="n">
        <f aca="false">IF((CO100-CP100)&lt;0,0,(CO100-CP100))</f>
        <v>0</v>
      </c>
      <c r="CR100" s="7"/>
    </row>
    <row r="101" customFormat="false" ht="12.75" hidden="false" customHeight="true" outlineLevel="0" collapsed="false">
      <c r="A101" s="7" t="s">
        <v>95</v>
      </c>
      <c r="B101" s="7" t="s">
        <v>195</v>
      </c>
      <c r="C101" s="8" t="n">
        <v>21001060</v>
      </c>
      <c r="D101" s="9"/>
      <c r="E101" s="9" t="n">
        <v>4</v>
      </c>
      <c r="F101" s="9" t="n">
        <v>4</v>
      </c>
      <c r="G101" s="9" t="n">
        <v>4</v>
      </c>
      <c r="H101" s="9" t="n">
        <v>12</v>
      </c>
      <c r="I101" s="9" t="n">
        <v>4</v>
      </c>
      <c r="J101" s="9" t="n">
        <v>4</v>
      </c>
      <c r="K101" s="9" t="n">
        <v>12</v>
      </c>
      <c r="L101" s="9"/>
      <c r="M101" s="9"/>
      <c r="N101" s="9" t="n">
        <v>16</v>
      </c>
      <c r="O101" s="9" t="n">
        <v>18</v>
      </c>
      <c r="P101" s="9"/>
      <c r="Q101" s="9"/>
      <c r="R101" s="9" t="n">
        <v>1</v>
      </c>
      <c r="S101" s="9" t="n">
        <v>3</v>
      </c>
      <c r="T101" s="9"/>
      <c r="U101" s="9" t="n">
        <v>8</v>
      </c>
      <c r="V101" s="9" t="n">
        <v>11</v>
      </c>
      <c r="W101" s="9" t="n">
        <v>2</v>
      </c>
      <c r="X101" s="9"/>
      <c r="Y101" s="9" t="n">
        <v>8</v>
      </c>
      <c r="Z101" s="9" t="n">
        <v>10</v>
      </c>
      <c r="AA101" s="9" t="n">
        <v>14</v>
      </c>
      <c r="AB101" s="9" t="n">
        <v>5</v>
      </c>
      <c r="AC101" s="9" t="n">
        <v>4</v>
      </c>
      <c r="AD101" s="9" t="n">
        <v>16</v>
      </c>
      <c r="AE101" s="9" t="n">
        <v>23</v>
      </c>
      <c r="AF101" s="9" t="n">
        <v>4</v>
      </c>
      <c r="AG101" s="9" t="n">
        <v>30</v>
      </c>
      <c r="AH101" s="9"/>
      <c r="AI101" s="9" t="n">
        <v>3</v>
      </c>
      <c r="AJ101" s="9" t="n">
        <v>4</v>
      </c>
      <c r="AK101" s="9" t="n">
        <v>8</v>
      </c>
      <c r="AL101" s="9"/>
      <c r="AM101" s="9" t="n">
        <v>8</v>
      </c>
      <c r="AN101" s="9" t="n">
        <v>2</v>
      </c>
      <c r="AO101" s="9" t="n">
        <v>4</v>
      </c>
      <c r="AP101" s="9" t="n">
        <v>2</v>
      </c>
      <c r="AQ101" s="9"/>
      <c r="AR101" s="9" t="n">
        <v>8</v>
      </c>
      <c r="AS101" s="9"/>
      <c r="AT101" s="9" t="n">
        <v>4</v>
      </c>
      <c r="AU101" s="9"/>
      <c r="AV101" s="9" t="n">
        <v>4</v>
      </c>
      <c r="AW101" s="9" t="n">
        <v>4</v>
      </c>
      <c r="AX101" s="9" t="n">
        <v>4</v>
      </c>
      <c r="AY101" s="9" t="n">
        <v>6</v>
      </c>
      <c r="AZ101" s="9"/>
      <c r="BA101" s="9"/>
      <c r="BB101" s="9"/>
      <c r="BC101" s="9"/>
      <c r="BD101" s="9" t="n">
        <v>5</v>
      </c>
      <c r="BE101" s="9" t="n">
        <v>5</v>
      </c>
      <c r="BF101" s="9" t="n">
        <v>12</v>
      </c>
      <c r="BG101" s="9" t="n">
        <v>2</v>
      </c>
      <c r="BH101" s="9" t="n">
        <v>16</v>
      </c>
      <c r="BI101" s="9" t="n">
        <v>4</v>
      </c>
      <c r="BJ101" s="9" t="n">
        <v>4</v>
      </c>
      <c r="BK101" s="9" t="n">
        <v>4</v>
      </c>
      <c r="BL101" s="9"/>
      <c r="BM101" s="9" t="n">
        <v>24</v>
      </c>
      <c r="BN101" s="9" t="n">
        <v>6</v>
      </c>
      <c r="BO101" s="9" t="n">
        <v>4</v>
      </c>
      <c r="BP101" s="9" t="n">
        <v>22</v>
      </c>
      <c r="BQ101" s="9" t="n">
        <v>4</v>
      </c>
      <c r="BR101" s="9"/>
      <c r="BS101" s="9" t="n">
        <v>15</v>
      </c>
      <c r="BT101" s="9"/>
      <c r="BU101" s="10" t="n">
        <v>405</v>
      </c>
      <c r="BV101" s="11" t="n">
        <f aca="false">IF(ISERROR(ROUND(MEDIAN(BQ101:BT101),0)),0,ROUND(MEDIAN(BQ101:BT101),0))</f>
        <v>10</v>
      </c>
      <c r="BW101" s="11" t="n">
        <f aca="false">IF(ISERROR(ROUND(MEDIAN(BM101:BT101),0)),0,ROUND(MEDIAN(BM101:BT101),0))</f>
        <v>11</v>
      </c>
      <c r="BX101" s="11" t="n">
        <f aca="false">IF(ISERROR(ROUND(MEDIAN(BI101:BT101),0)),0,ROUND(MEDIAN(BI101:BT101),0))</f>
        <v>4</v>
      </c>
      <c r="BY101" s="11" t="n">
        <f aca="false">IF(ISERROR(ROUND(MEDIAN(BE101:BT101),0)),0,ROUND(MEDIAN(BE101:BT101),0))</f>
        <v>5</v>
      </c>
      <c r="BZ101" s="11" t="n">
        <f aca="false">IF(ISERROR(ROUND(MEDIAN(AU101:BT101),0)),0,ROUND(MEDIAN(AU101:BT101),0))</f>
        <v>5</v>
      </c>
      <c r="CA101" s="12" t="n">
        <f aca="false">IF(ISERROR(ROUND(MEDIAN(U101:BT101),0)),0,ROUND(MEDIAN(U101:BT101),0))</f>
        <v>5</v>
      </c>
      <c r="CB101" s="12" t="n">
        <f aca="false">IF(ISERROR(ROUND(MEDIAN(BT101),0)),0,ROUND(MEDIAN(BT101),0))</f>
        <v>0</v>
      </c>
      <c r="CC101" s="12" t="n">
        <f aca="false">IF(ISERROR(ROUND(MEDIAN(D101:BT101),0)),0,ROUND(MEDIAN(D101:BT101),0))</f>
        <v>5</v>
      </c>
      <c r="CD101" s="12" t="n">
        <f aca="false">MAX(D101:BT101)</f>
        <v>30</v>
      </c>
      <c r="CE101" s="7" t="n">
        <f aca="false">COUNTA(BQ101:BT101)</f>
        <v>2</v>
      </c>
      <c r="CF101" s="7" t="n">
        <f aca="false">COUNTA(BM101:BT101)</f>
        <v>6</v>
      </c>
      <c r="CG101" s="7" t="n">
        <f aca="false">COUNTA(BI101:BT101)</f>
        <v>9</v>
      </c>
      <c r="CH101" s="7" t="n">
        <f aca="false">COUNTA(BE101:BT101)</f>
        <v>13</v>
      </c>
      <c r="CI101" s="7" t="n">
        <f aca="false">COUNTA(AU101:BT101)</f>
        <v>18</v>
      </c>
      <c r="CJ101" s="7" t="n">
        <f aca="false">COUNTA(U101:BT101)</f>
        <v>39</v>
      </c>
      <c r="CK101" s="7" t="n">
        <f aca="false">COUNTA(BT101)</f>
        <v>0</v>
      </c>
      <c r="CL101" s="7" t="n">
        <f aca="false">COUNTA(D101:BT101)</f>
        <v>50</v>
      </c>
      <c r="CM101" s="13" t="str">
        <f aca="false">IF(AND(CE101=1,CJ101=1,BT101&lt;&gt;""),"5.ENTRANTES",IF(AND(CE101&lt;&gt;0,CE101/RIGHT($CE$1,1)&gt;=0.5,CJ101=CE101),"4.RECENTES",IF(AND(CF101&lt;&gt;0,CF101/RIGHT($CF$1,1)&gt;=0.5,CJ101=CF101),"4.RECENTES",IF(AND(CG101&lt;&gt;0,CG101/RIGHT($CG$1,2)&gt;=0.5,CJ101=CG101),"4.RECENTES",IF(AND(CH101&lt;&gt;0,CH101/RIGHT($CH$1,2)&gt;=0.5,CJ101=CH101),"4.RECENTES",IF(AND(CI101&lt;&gt;0,CI101/RIGHT($CI$1,2)&gt;=0.5,CJ101=CI101),"4.RECENTES",IF(AND(CE101=0,CF101=0,CG101=0,CH101=0),"3.INATIVOS",IF(CJ101/RIGHT($CJ$1,2)&lt;0.5,"2.INTERMITENTES","1.ORDINÁRIOS"))))))))</f>
        <v>1.ORDINÁRIOS</v>
      </c>
      <c r="CN101" s="14" t="n">
        <f aca="false">IF(AND(CE101=1,CJ101=1,BT101&lt;&gt;""),BT101,IF(AND(CE101&lt;&gt;0,CE101/RIGHT($CE$1,1)&gt;=0.5,CJ101=CE101),MAX(BV101:CC101),IF(AND(CF101&lt;&gt;0,CF101/RIGHT($CF$1,1)&gt;=0.5,CJ101=CF101),MAX(BV101:CC101),IF(AND(CG101&lt;&gt;0,CG101/RIGHT($CG$1,2)&gt;=0.5,CJ101=CG101),MAX(BV101:CC101),IF(AND(CH101&lt;&gt;0,CH101/RIGHT($CH$1,2)&gt;=0.5,CJ101=CH101),MAX(BV101:CC101),IF(AND(CI101&lt;&gt;0,CI101/RIGHT($CI$1,2)&gt;=0.5,CJ101=CI101),MAX(BV101:CC101),IF(AND(CE101=0,CF101=0,CG101=0,CH101=0),0,IF(CJ101/RIGHT($CJ$1,2)&lt;0.5,ROUND(BU101/RIGHT($CJ$1,2),0),MAX(BV101:CC101)))))))))</f>
        <v>11</v>
      </c>
      <c r="CO101" s="14" t="n">
        <f aca="false">CN101*3</f>
        <v>33</v>
      </c>
      <c r="CP101" s="15" t="n">
        <v>44</v>
      </c>
      <c r="CQ101" s="16" t="n">
        <f aca="false">IF((CO101-CP101)&lt;0,0,(CO101-CP101))</f>
        <v>0</v>
      </c>
      <c r="CR101" s="7"/>
    </row>
    <row r="102" customFormat="false" ht="12.75" hidden="false" customHeight="true" outlineLevel="0" collapsed="false">
      <c r="A102" s="7" t="s">
        <v>95</v>
      </c>
      <c r="B102" s="7" t="s">
        <v>196</v>
      </c>
      <c r="C102" s="8" t="n">
        <v>327001002</v>
      </c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 t="n">
        <v>60</v>
      </c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 t="n">
        <v>60</v>
      </c>
      <c r="BG102" s="9" t="n">
        <v>90</v>
      </c>
      <c r="BH102" s="9" t="n">
        <v>120</v>
      </c>
      <c r="BI102" s="9"/>
      <c r="BJ102" s="9"/>
      <c r="BK102" s="9" t="n">
        <v>30</v>
      </c>
      <c r="BL102" s="9" t="n">
        <v>30</v>
      </c>
      <c r="BM102" s="9" t="n">
        <v>60</v>
      </c>
      <c r="BN102" s="9"/>
      <c r="BO102" s="9"/>
      <c r="BP102" s="9"/>
      <c r="BQ102" s="9" t="n">
        <v>90</v>
      </c>
      <c r="BR102" s="9"/>
      <c r="BS102" s="9" t="n">
        <v>30</v>
      </c>
      <c r="BT102" s="9"/>
      <c r="BU102" s="10" t="n">
        <v>570</v>
      </c>
      <c r="BV102" s="11" t="n">
        <f aca="false">IF(ISERROR(ROUND(MEDIAN(BQ102:BT102),0)),0,ROUND(MEDIAN(BQ102:BT102),0))</f>
        <v>60</v>
      </c>
      <c r="BW102" s="11" t="n">
        <f aca="false">IF(ISERROR(ROUND(MEDIAN(BM102:BT102),0)),0,ROUND(MEDIAN(BM102:BT102),0))</f>
        <v>60</v>
      </c>
      <c r="BX102" s="11" t="n">
        <f aca="false">IF(ISERROR(ROUND(MEDIAN(BI102:BT102),0)),0,ROUND(MEDIAN(BI102:BT102),0))</f>
        <v>30</v>
      </c>
      <c r="BY102" s="11" t="n">
        <f aca="false">IF(ISERROR(ROUND(MEDIAN(BE102:BT102),0)),0,ROUND(MEDIAN(BE102:BT102),0))</f>
        <v>60</v>
      </c>
      <c r="BZ102" s="11" t="n">
        <f aca="false">IF(ISERROR(ROUND(MEDIAN(AU102:BT102),0)),0,ROUND(MEDIAN(AU102:BT102),0))</f>
        <v>60</v>
      </c>
      <c r="CA102" s="12" t="n">
        <f aca="false">IF(ISERROR(ROUND(MEDIAN(U102:BT102),0)),0,ROUND(MEDIAN(U102:BT102),0))</f>
        <v>60</v>
      </c>
      <c r="CB102" s="12" t="n">
        <f aca="false">IF(ISERROR(ROUND(MEDIAN(BT102),0)),0,ROUND(MEDIAN(BT102),0))</f>
        <v>0</v>
      </c>
      <c r="CC102" s="12" t="n">
        <f aca="false">IF(ISERROR(ROUND(MEDIAN(D102:BT102),0)),0,ROUND(MEDIAN(D102:BT102),0))</f>
        <v>60</v>
      </c>
      <c r="CD102" s="12" t="n">
        <f aca="false">MAX(D102:BT102)</f>
        <v>120</v>
      </c>
      <c r="CE102" s="7" t="n">
        <f aca="false">COUNTA(BQ102:BT102)</f>
        <v>2</v>
      </c>
      <c r="CF102" s="7" t="n">
        <f aca="false">COUNTA(BM102:BT102)</f>
        <v>3</v>
      </c>
      <c r="CG102" s="7" t="n">
        <f aca="false">COUNTA(BI102:BT102)</f>
        <v>5</v>
      </c>
      <c r="CH102" s="7" t="n">
        <f aca="false">COUNTA(BE102:BT102)</f>
        <v>8</v>
      </c>
      <c r="CI102" s="7" t="n">
        <f aca="false">COUNTA(AU102:BT102)</f>
        <v>8</v>
      </c>
      <c r="CJ102" s="7" t="n">
        <f aca="false">COUNTA(U102:BT102)</f>
        <v>9</v>
      </c>
      <c r="CK102" s="7" t="n">
        <f aca="false">COUNTA(BT102)</f>
        <v>0</v>
      </c>
      <c r="CL102" s="7" t="n">
        <f aca="false">COUNTA(D102:BT102)</f>
        <v>9</v>
      </c>
      <c r="CM102" s="17" t="str">
        <f aca="false">IF(AND(CE102=1,CJ102=1,BT102&lt;&gt;""),"5.ENTRANTES",IF(AND(CE102&lt;&gt;0,CE102/RIGHT($CE$1,1)&gt;=0.5,CJ102=CE102),"4.RECENTES",IF(AND(CF102&lt;&gt;0,CF102/RIGHT($CF$1,1)&gt;=0.5,CJ102=CF102),"4.RECENTES",IF(AND(CG102&lt;&gt;0,CG102/RIGHT($CG$1,2)&gt;=0.5,CJ102=CG102),"4.RECENTES",IF(AND(CH102&lt;&gt;0,CH102/RIGHT($CH$1,2)&gt;=0.5,CJ102=CH102),"4.RECENTES",IF(AND(CI102&lt;&gt;0,CI102/RIGHT($CI$1,2)&gt;=0.5,CJ102=CI102),"4.RECENTES",IF(AND(CE102=0,CF102=0,CG102=0,CH102=0),"3.INATIVOS",IF(CJ102/RIGHT($CJ$1,2)&lt;0.5,"2.INTERMITENTES","1.ORDINÁRIOS"))))))))</f>
        <v>2.INTERMITENTES</v>
      </c>
      <c r="CN102" s="18" t="n">
        <f aca="false">IF(AND(CE102=1,CJ102=1,BT102&lt;&gt;""),BT102,IF(AND(CE102&lt;&gt;0,CE102/RIGHT($CE$1,1)&gt;=0.5,CJ102=CE102),MAX(BV102:CC102),IF(AND(CF102&lt;&gt;0,CF102/RIGHT($CF$1,1)&gt;=0.5,CJ102=CF102),MAX(BV102:CC102),IF(AND(CG102&lt;&gt;0,CG102/RIGHT($CG$1,2)&gt;=0.5,CJ102=CG102),MAX(BV102:CC102),IF(AND(CH102&lt;&gt;0,CH102/RIGHT($CH$1,2)&gt;=0.5,CJ102=CH102),MAX(BV102:CC102),IF(AND(CI102&lt;&gt;0,CI102/RIGHT($CI$1,2)&gt;=0.5,CJ102=CI102),MAX(BV102:CC102),IF(AND(CE102=0,CF102=0,CG102=0,CH102=0),0,IF(CJ102/RIGHT($CJ$1,2)&lt;0.5,ROUND(BU102/RIGHT($CJ$1,2),0),MAX(BV102:CC102)))))))))</f>
        <v>11</v>
      </c>
      <c r="CO102" s="18" t="n">
        <f aca="false">CD102</f>
        <v>120</v>
      </c>
      <c r="CP102" s="15" t="n">
        <v>0</v>
      </c>
      <c r="CQ102" s="16" t="n">
        <f aca="false">IF((CO102-CP102)&lt;0,0,(CO102-CP102))</f>
        <v>120</v>
      </c>
      <c r="CR102" s="7"/>
    </row>
    <row r="103" customFormat="false" ht="12.75" hidden="false" customHeight="true" outlineLevel="0" collapsed="false">
      <c r="A103" s="7" t="s">
        <v>95</v>
      </c>
      <c r="B103" s="7" t="s">
        <v>197</v>
      </c>
      <c r="C103" s="8" t="n">
        <v>327001001</v>
      </c>
      <c r="D103" s="9"/>
      <c r="E103" s="9" t="n">
        <v>270</v>
      </c>
      <c r="F103" s="9" t="n">
        <v>150</v>
      </c>
      <c r="G103" s="9" t="n">
        <v>90</v>
      </c>
      <c r="H103" s="9" t="n">
        <v>330</v>
      </c>
      <c r="I103" s="9" t="n">
        <v>150</v>
      </c>
      <c r="J103" s="9" t="n">
        <v>330</v>
      </c>
      <c r="K103" s="9"/>
      <c r="L103" s="9" t="n">
        <v>300</v>
      </c>
      <c r="M103" s="9" t="n">
        <v>120</v>
      </c>
      <c r="N103" s="9" t="n">
        <v>330</v>
      </c>
      <c r="O103" s="9" t="n">
        <v>480</v>
      </c>
      <c r="P103" s="9" t="n">
        <v>120</v>
      </c>
      <c r="Q103" s="9"/>
      <c r="R103" s="9" t="n">
        <v>90</v>
      </c>
      <c r="S103" s="9" t="n">
        <v>360</v>
      </c>
      <c r="T103" s="9" t="n">
        <v>150</v>
      </c>
      <c r="U103" s="9" t="n">
        <v>210</v>
      </c>
      <c r="V103" s="9"/>
      <c r="W103" s="9" t="n">
        <v>390</v>
      </c>
      <c r="X103" s="9" t="n">
        <v>60</v>
      </c>
      <c r="Y103" s="9" t="n">
        <v>150</v>
      </c>
      <c r="Z103" s="9" t="n">
        <v>30</v>
      </c>
      <c r="AA103" s="9" t="n">
        <v>390</v>
      </c>
      <c r="AB103" s="9" t="n">
        <v>210</v>
      </c>
      <c r="AC103" s="9" t="n">
        <v>150</v>
      </c>
      <c r="AD103" s="9" t="n">
        <v>330</v>
      </c>
      <c r="AE103" s="9" t="n">
        <v>540</v>
      </c>
      <c r="AF103" s="9"/>
      <c r="AG103" s="9" t="n">
        <v>330</v>
      </c>
      <c r="AH103" s="9" t="n">
        <v>150</v>
      </c>
      <c r="AI103" s="9" t="n">
        <v>60</v>
      </c>
      <c r="AJ103" s="9" t="n">
        <v>240</v>
      </c>
      <c r="AK103" s="9" t="n">
        <v>60</v>
      </c>
      <c r="AL103" s="9" t="n">
        <v>480</v>
      </c>
      <c r="AM103" s="9" t="n">
        <v>150</v>
      </c>
      <c r="AN103" s="9" t="n">
        <v>120</v>
      </c>
      <c r="AO103" s="9" t="n">
        <v>120</v>
      </c>
      <c r="AP103" s="9" t="n">
        <v>120</v>
      </c>
      <c r="AQ103" s="9" t="n">
        <v>450</v>
      </c>
      <c r="AR103" s="9" t="n">
        <v>270</v>
      </c>
      <c r="AS103" s="9"/>
      <c r="AT103" s="9" t="n">
        <v>180</v>
      </c>
      <c r="AU103" s="9" t="n">
        <v>90</v>
      </c>
      <c r="AV103" s="9"/>
      <c r="AW103" s="9" t="n">
        <v>180</v>
      </c>
      <c r="AX103" s="9" t="n">
        <v>390</v>
      </c>
      <c r="AY103" s="9" t="n">
        <v>240</v>
      </c>
      <c r="AZ103" s="9"/>
      <c r="BA103" s="9" t="n">
        <v>60</v>
      </c>
      <c r="BB103" s="9"/>
      <c r="BC103" s="9" t="n">
        <v>92</v>
      </c>
      <c r="BD103" s="9" t="n">
        <v>480</v>
      </c>
      <c r="BE103" s="9" t="n">
        <v>60</v>
      </c>
      <c r="BF103" s="9" t="n">
        <v>270</v>
      </c>
      <c r="BG103" s="9" t="n">
        <v>150</v>
      </c>
      <c r="BH103" s="9" t="n">
        <v>120</v>
      </c>
      <c r="BI103" s="9" t="n">
        <v>60</v>
      </c>
      <c r="BJ103" s="9" t="n">
        <v>90</v>
      </c>
      <c r="BK103" s="9" t="n">
        <v>60</v>
      </c>
      <c r="BL103" s="9" t="n">
        <v>270</v>
      </c>
      <c r="BM103" s="9" t="n">
        <v>210</v>
      </c>
      <c r="BN103" s="9" t="n">
        <v>210</v>
      </c>
      <c r="BO103" s="9" t="n">
        <v>120</v>
      </c>
      <c r="BP103" s="9" t="n">
        <v>60</v>
      </c>
      <c r="BQ103" s="9" t="n">
        <v>300</v>
      </c>
      <c r="BR103" s="9" t="n">
        <v>150</v>
      </c>
      <c r="BS103" s="9" t="n">
        <v>120</v>
      </c>
      <c r="BT103" s="9" t="n">
        <v>120</v>
      </c>
      <c r="BU103" s="10" t="n">
        <v>12362</v>
      </c>
      <c r="BV103" s="11" t="n">
        <f aca="false">IF(ISERROR(ROUND(MEDIAN(BQ103:BT103),0)),0,ROUND(MEDIAN(BQ103:BT103),0))</f>
        <v>135</v>
      </c>
      <c r="BW103" s="11" t="n">
        <f aca="false">IF(ISERROR(ROUND(MEDIAN(BM103:BT103),0)),0,ROUND(MEDIAN(BM103:BT103),0))</f>
        <v>135</v>
      </c>
      <c r="BX103" s="11" t="n">
        <f aca="false">IF(ISERROR(ROUND(MEDIAN(BI103:BT103),0)),0,ROUND(MEDIAN(BI103:BT103),0))</f>
        <v>120</v>
      </c>
      <c r="BY103" s="11" t="n">
        <f aca="false">IF(ISERROR(ROUND(MEDIAN(BE103:BT103),0)),0,ROUND(MEDIAN(BE103:BT103),0))</f>
        <v>120</v>
      </c>
      <c r="BZ103" s="11" t="n">
        <f aca="false">IF(ISERROR(ROUND(MEDIAN(AU103:BT103),0)),0,ROUND(MEDIAN(AU103:BT103),0))</f>
        <v>120</v>
      </c>
      <c r="CA103" s="12" t="n">
        <f aca="false">IF(ISERROR(ROUND(MEDIAN(U103:BT103),0)),0,ROUND(MEDIAN(U103:BT103),0))</f>
        <v>150</v>
      </c>
      <c r="CB103" s="12" t="n">
        <f aca="false">IF(ISERROR(ROUND(MEDIAN(BT103),0)),0,ROUND(MEDIAN(BT103),0))</f>
        <v>120</v>
      </c>
      <c r="CC103" s="12" t="n">
        <f aca="false">IF(ISERROR(ROUND(MEDIAN(D103:BT103),0)),0,ROUND(MEDIAN(D103:BT103),0))</f>
        <v>150</v>
      </c>
      <c r="CD103" s="12" t="n">
        <f aca="false">MAX(D103:BT103)</f>
        <v>540</v>
      </c>
      <c r="CE103" s="7" t="n">
        <f aca="false">COUNTA(BQ103:BT103)</f>
        <v>4</v>
      </c>
      <c r="CF103" s="7" t="n">
        <f aca="false">COUNTA(BM103:BT103)</f>
        <v>8</v>
      </c>
      <c r="CG103" s="7" t="n">
        <f aca="false">COUNTA(BI103:BT103)</f>
        <v>12</v>
      </c>
      <c r="CH103" s="7" t="n">
        <f aca="false">COUNTA(BE103:BT103)</f>
        <v>16</v>
      </c>
      <c r="CI103" s="7" t="n">
        <f aca="false">COUNTA(AU103:BT103)</f>
        <v>23</v>
      </c>
      <c r="CJ103" s="7" t="n">
        <f aca="false">COUNTA(U103:BT103)</f>
        <v>46</v>
      </c>
      <c r="CK103" s="7" t="n">
        <f aca="false">COUNTA(BT103)</f>
        <v>1</v>
      </c>
      <c r="CL103" s="7" t="n">
        <f aca="false">COUNTA(D103:BT103)</f>
        <v>60</v>
      </c>
      <c r="CM103" s="13" t="str">
        <f aca="false">IF(AND(CE103=1,CJ103=1,BT103&lt;&gt;""),"5.ENTRANTES",IF(AND(CE103&lt;&gt;0,CE103/RIGHT($CE$1,1)&gt;=0.5,CJ103=CE103),"4.RECENTES",IF(AND(CF103&lt;&gt;0,CF103/RIGHT($CF$1,1)&gt;=0.5,CJ103=CF103),"4.RECENTES",IF(AND(CG103&lt;&gt;0,CG103/RIGHT($CG$1,2)&gt;=0.5,CJ103=CG103),"4.RECENTES",IF(AND(CH103&lt;&gt;0,CH103/RIGHT($CH$1,2)&gt;=0.5,CJ103=CH103),"4.RECENTES",IF(AND(CI103&lt;&gt;0,CI103/RIGHT($CI$1,2)&gt;=0.5,CJ103=CI103),"4.RECENTES",IF(AND(CE103=0,CF103=0,CG103=0,CH103=0),"3.INATIVOS",IF(CJ103/RIGHT($CJ$1,2)&lt;0.5,"2.INTERMITENTES","1.ORDINÁRIOS"))))))))</f>
        <v>1.ORDINÁRIOS</v>
      </c>
      <c r="CN103" s="14" t="n">
        <f aca="false">IF(AND(CE103=1,CJ103=1,BT103&lt;&gt;""),BT103,IF(AND(CE103&lt;&gt;0,CE103/RIGHT($CE$1,1)&gt;=0.5,CJ103=CE103),MAX(BV103:CC103),IF(AND(CF103&lt;&gt;0,CF103/RIGHT($CF$1,1)&gt;=0.5,CJ103=CF103),MAX(BV103:CC103),IF(AND(CG103&lt;&gt;0,CG103/RIGHT($CG$1,2)&gt;=0.5,CJ103=CG103),MAX(BV103:CC103),IF(AND(CH103&lt;&gt;0,CH103/RIGHT($CH$1,2)&gt;=0.5,CJ103=CH103),MAX(BV103:CC103),IF(AND(CI103&lt;&gt;0,CI103/RIGHT($CI$1,2)&gt;=0.5,CJ103=CI103),MAX(BV103:CC103),IF(AND(CE103=0,CF103=0,CG103=0,CH103=0),0,IF(CJ103/RIGHT($CJ$1,2)&lt;0.5,ROUND(BU103/RIGHT($CJ$1,2),0),MAX(BV103:CC103)))))))))</f>
        <v>150</v>
      </c>
      <c r="CO103" s="14" t="n">
        <f aca="false">CN103*3</f>
        <v>450</v>
      </c>
      <c r="CP103" s="15" t="n">
        <v>60</v>
      </c>
      <c r="CQ103" s="16" t="n">
        <f aca="false">IF((CO103-CP103)&lt;0,0,(CO103-CP103))</f>
        <v>390</v>
      </c>
      <c r="CR103" s="7"/>
    </row>
    <row r="104" customFormat="false" ht="12.75" hidden="false" customHeight="true" outlineLevel="0" collapsed="false">
      <c r="A104" s="7" t="s">
        <v>95</v>
      </c>
      <c r="B104" s="7" t="s">
        <v>198</v>
      </c>
      <c r="C104" s="8" t="n">
        <v>22001002</v>
      </c>
      <c r="D104" s="9"/>
      <c r="E104" s="9" t="n">
        <v>70</v>
      </c>
      <c r="F104" s="9" t="n">
        <v>80</v>
      </c>
      <c r="G104" s="9" t="n">
        <v>100</v>
      </c>
      <c r="H104" s="9" t="n">
        <v>50</v>
      </c>
      <c r="I104" s="9" t="n">
        <v>10</v>
      </c>
      <c r="J104" s="9" t="n">
        <v>70</v>
      </c>
      <c r="K104" s="9" t="n">
        <v>60</v>
      </c>
      <c r="L104" s="9" t="n">
        <v>40</v>
      </c>
      <c r="M104" s="9" t="n">
        <v>10</v>
      </c>
      <c r="N104" s="9" t="n">
        <v>30</v>
      </c>
      <c r="O104" s="9" t="n">
        <v>10</v>
      </c>
      <c r="P104" s="9" t="n">
        <v>60</v>
      </c>
      <c r="Q104" s="9" t="n">
        <v>70</v>
      </c>
      <c r="R104" s="9" t="n">
        <v>90</v>
      </c>
      <c r="S104" s="9" t="n">
        <v>50</v>
      </c>
      <c r="T104" s="9" t="n">
        <v>30</v>
      </c>
      <c r="U104" s="9"/>
      <c r="V104" s="9" t="n">
        <v>10</v>
      </c>
      <c r="W104" s="9" t="n">
        <v>40</v>
      </c>
      <c r="X104" s="9" t="n">
        <v>30</v>
      </c>
      <c r="Y104" s="9" t="n">
        <v>30</v>
      </c>
      <c r="Z104" s="9" t="n">
        <v>10</v>
      </c>
      <c r="AA104" s="9" t="n">
        <v>30</v>
      </c>
      <c r="AB104" s="9" t="n">
        <v>100</v>
      </c>
      <c r="AC104" s="9" t="n">
        <v>40</v>
      </c>
      <c r="AD104" s="9" t="n">
        <v>50</v>
      </c>
      <c r="AE104" s="9" t="n">
        <v>40</v>
      </c>
      <c r="AF104" s="9" t="n">
        <v>40</v>
      </c>
      <c r="AG104" s="9" t="n">
        <v>70</v>
      </c>
      <c r="AH104" s="9" t="n">
        <v>40</v>
      </c>
      <c r="AI104" s="9" t="n">
        <v>100</v>
      </c>
      <c r="AJ104" s="9" t="n">
        <v>70</v>
      </c>
      <c r="AK104" s="9" t="n">
        <v>120</v>
      </c>
      <c r="AL104" s="9" t="n">
        <v>70</v>
      </c>
      <c r="AM104" s="9" t="n">
        <v>70</v>
      </c>
      <c r="AN104" s="9" t="n">
        <v>40</v>
      </c>
      <c r="AO104" s="9" t="n">
        <v>20</v>
      </c>
      <c r="AP104" s="9" t="n">
        <v>70</v>
      </c>
      <c r="AQ104" s="9" t="n">
        <v>70</v>
      </c>
      <c r="AR104" s="9" t="n">
        <v>120</v>
      </c>
      <c r="AS104" s="9" t="n">
        <v>60</v>
      </c>
      <c r="AT104" s="9" t="n">
        <v>110</v>
      </c>
      <c r="AU104" s="9" t="n">
        <v>80</v>
      </c>
      <c r="AV104" s="9"/>
      <c r="AW104" s="9" t="n">
        <v>60</v>
      </c>
      <c r="AX104" s="9" t="n">
        <v>40</v>
      </c>
      <c r="AY104" s="9" t="n">
        <v>44</v>
      </c>
      <c r="AZ104" s="9" t="n">
        <v>70</v>
      </c>
      <c r="BA104" s="9" t="n">
        <v>20</v>
      </c>
      <c r="BB104" s="9" t="n">
        <v>30</v>
      </c>
      <c r="BC104" s="9" t="n">
        <v>164</v>
      </c>
      <c r="BD104" s="9" t="n">
        <v>80</v>
      </c>
      <c r="BE104" s="9" t="n">
        <v>50</v>
      </c>
      <c r="BF104" s="9" t="n">
        <v>90</v>
      </c>
      <c r="BG104" s="9" t="n">
        <v>60</v>
      </c>
      <c r="BH104" s="9" t="n">
        <v>60</v>
      </c>
      <c r="BI104" s="9" t="n">
        <v>40</v>
      </c>
      <c r="BJ104" s="9" t="n">
        <v>40</v>
      </c>
      <c r="BK104" s="9" t="n">
        <v>80</v>
      </c>
      <c r="BL104" s="9" t="n">
        <v>50</v>
      </c>
      <c r="BM104" s="9" t="n">
        <v>20</v>
      </c>
      <c r="BN104" s="9" t="n">
        <v>24</v>
      </c>
      <c r="BO104" s="9" t="n">
        <v>10</v>
      </c>
      <c r="BP104" s="9" t="n">
        <v>30</v>
      </c>
      <c r="BQ104" s="9" t="n">
        <v>10</v>
      </c>
      <c r="BR104" s="9" t="n">
        <v>60</v>
      </c>
      <c r="BS104" s="9" t="n">
        <v>10</v>
      </c>
      <c r="BT104" s="9"/>
      <c r="BU104" s="10" t="n">
        <v>3502</v>
      </c>
      <c r="BV104" s="11" t="n">
        <f aca="false">IF(ISERROR(ROUND(MEDIAN(BQ104:BT104),0)),0,ROUND(MEDIAN(BQ104:BT104),0))</f>
        <v>10</v>
      </c>
      <c r="BW104" s="11" t="n">
        <f aca="false">IF(ISERROR(ROUND(MEDIAN(BM104:BT104),0)),0,ROUND(MEDIAN(BM104:BT104),0))</f>
        <v>20</v>
      </c>
      <c r="BX104" s="11" t="n">
        <f aca="false">IF(ISERROR(ROUND(MEDIAN(BI104:BT104),0)),0,ROUND(MEDIAN(BI104:BT104),0))</f>
        <v>30</v>
      </c>
      <c r="BY104" s="11" t="n">
        <f aca="false">IF(ISERROR(ROUND(MEDIAN(BE104:BT104),0)),0,ROUND(MEDIAN(BE104:BT104),0))</f>
        <v>40</v>
      </c>
      <c r="BZ104" s="11" t="n">
        <f aca="false">IF(ISERROR(ROUND(MEDIAN(AU104:BT104),0)),0,ROUND(MEDIAN(AU104:BT104),0))</f>
        <v>47</v>
      </c>
      <c r="CA104" s="12" t="n">
        <f aca="false">IF(ISERROR(ROUND(MEDIAN(U104:BT104),0)),0,ROUND(MEDIAN(U104:BT104),0))</f>
        <v>50</v>
      </c>
      <c r="CB104" s="12" t="n">
        <f aca="false">IF(ISERROR(ROUND(MEDIAN(BT104),0)),0,ROUND(MEDIAN(BT104),0))</f>
        <v>0</v>
      </c>
      <c r="CC104" s="12" t="n">
        <f aca="false">IF(ISERROR(ROUND(MEDIAN(D104:BT104),0)),0,ROUND(MEDIAN(D104:BT104),0))</f>
        <v>50</v>
      </c>
      <c r="CD104" s="12" t="n">
        <f aca="false">MAX(D104:BT104)</f>
        <v>164</v>
      </c>
      <c r="CE104" s="7" t="n">
        <f aca="false">COUNTA(BQ104:BT104)</f>
        <v>3</v>
      </c>
      <c r="CF104" s="7" t="n">
        <f aca="false">COUNTA(BM104:BT104)</f>
        <v>7</v>
      </c>
      <c r="CG104" s="7" t="n">
        <f aca="false">COUNTA(BI104:BT104)</f>
        <v>11</v>
      </c>
      <c r="CH104" s="7" t="n">
        <f aca="false">COUNTA(BE104:BT104)</f>
        <v>15</v>
      </c>
      <c r="CI104" s="7" t="n">
        <f aca="false">COUNTA(AU104:BT104)</f>
        <v>24</v>
      </c>
      <c r="CJ104" s="7" t="n">
        <f aca="false">COUNTA(U104:BT104)</f>
        <v>49</v>
      </c>
      <c r="CK104" s="7" t="n">
        <f aca="false">COUNTA(BT104)</f>
        <v>0</v>
      </c>
      <c r="CL104" s="7" t="n">
        <f aca="false">COUNTA(D104:BT104)</f>
        <v>65</v>
      </c>
      <c r="CM104" s="13" t="str">
        <f aca="false">IF(AND(CE104=1,CJ104=1,BT104&lt;&gt;""),"5.ENTRANTES",IF(AND(CE104&lt;&gt;0,CE104/RIGHT($CE$1,1)&gt;=0.5,CJ104=CE104),"4.RECENTES",IF(AND(CF104&lt;&gt;0,CF104/RIGHT($CF$1,1)&gt;=0.5,CJ104=CF104),"4.RECENTES",IF(AND(CG104&lt;&gt;0,CG104/RIGHT($CG$1,2)&gt;=0.5,CJ104=CG104),"4.RECENTES",IF(AND(CH104&lt;&gt;0,CH104/RIGHT($CH$1,2)&gt;=0.5,CJ104=CH104),"4.RECENTES",IF(AND(CI104&lt;&gt;0,CI104/RIGHT($CI$1,2)&gt;=0.5,CJ104=CI104),"4.RECENTES",IF(AND(CE104=0,CF104=0,CG104=0,CH104=0),"3.INATIVOS",IF(CJ104/RIGHT($CJ$1,2)&lt;0.5,"2.INTERMITENTES","1.ORDINÁRIOS"))))))))</f>
        <v>1.ORDINÁRIOS</v>
      </c>
      <c r="CN104" s="14" t="n">
        <f aca="false">IF(AND(CE104=1,CJ104=1,BT104&lt;&gt;""),BT104,IF(AND(CE104&lt;&gt;0,CE104/RIGHT($CE$1,1)&gt;=0.5,CJ104=CE104),MAX(BV104:CC104),IF(AND(CF104&lt;&gt;0,CF104/RIGHT($CF$1,1)&gt;=0.5,CJ104=CF104),MAX(BV104:CC104),IF(AND(CG104&lt;&gt;0,CG104/RIGHT($CG$1,2)&gt;=0.5,CJ104=CG104),MAX(BV104:CC104),IF(AND(CH104&lt;&gt;0,CH104/RIGHT($CH$1,2)&gt;=0.5,CJ104=CH104),MAX(BV104:CC104),IF(AND(CI104&lt;&gt;0,CI104/RIGHT($CI$1,2)&gt;=0.5,CJ104=CI104),MAX(BV104:CC104),IF(AND(CE104=0,CF104=0,CG104=0,CH104=0),0,IF(CJ104/RIGHT($CJ$1,2)&lt;0.5,ROUND(BU104/RIGHT($CJ$1,2),0),MAX(BV104:CC104)))))))))</f>
        <v>50</v>
      </c>
      <c r="CO104" s="14" t="n">
        <f aca="false">CN104*3</f>
        <v>150</v>
      </c>
      <c r="CP104" s="15" t="n">
        <v>136</v>
      </c>
      <c r="CQ104" s="16" t="n">
        <f aca="false">IF((CO104-CP104)&lt;0,0,(CO104-CP104))</f>
        <v>14</v>
      </c>
      <c r="CR104" s="7"/>
    </row>
    <row r="105" customFormat="false" ht="12.75" hidden="false" customHeight="true" outlineLevel="0" collapsed="false">
      <c r="A105" s="7" t="s">
        <v>95</v>
      </c>
      <c r="B105" s="7" t="s">
        <v>199</v>
      </c>
      <c r="C105" s="8" t="n">
        <v>5000037</v>
      </c>
      <c r="D105" s="9"/>
      <c r="E105" s="9" t="n">
        <v>30</v>
      </c>
      <c r="F105" s="9" t="n">
        <v>240</v>
      </c>
      <c r="G105" s="9"/>
      <c r="H105" s="9" t="n">
        <v>60</v>
      </c>
      <c r="I105" s="9"/>
      <c r="J105" s="9" t="n">
        <v>270</v>
      </c>
      <c r="K105" s="9"/>
      <c r="L105" s="9"/>
      <c r="M105" s="9" t="n">
        <v>60</v>
      </c>
      <c r="N105" s="9" t="n">
        <v>60</v>
      </c>
      <c r="O105" s="9"/>
      <c r="P105" s="9" t="n">
        <v>210</v>
      </c>
      <c r="Q105" s="9" t="n">
        <v>60</v>
      </c>
      <c r="R105" s="9" t="n">
        <v>60</v>
      </c>
      <c r="S105" s="9"/>
      <c r="T105" s="9"/>
      <c r="U105" s="9" t="n">
        <v>250</v>
      </c>
      <c r="V105" s="9"/>
      <c r="W105" s="9" t="n">
        <v>60</v>
      </c>
      <c r="X105" s="9"/>
      <c r="Y105" s="9" t="n">
        <v>30</v>
      </c>
      <c r="Z105" s="9" t="n">
        <v>270</v>
      </c>
      <c r="AA105" s="9"/>
      <c r="AB105" s="9" t="n">
        <v>90</v>
      </c>
      <c r="AC105" s="9" t="n">
        <v>30</v>
      </c>
      <c r="AD105" s="9"/>
      <c r="AE105" s="9" t="n">
        <v>210</v>
      </c>
      <c r="AF105" s="9" t="n">
        <v>90</v>
      </c>
      <c r="AG105" s="9"/>
      <c r="AH105" s="9" t="n">
        <v>30</v>
      </c>
      <c r="AI105" s="9" t="n">
        <v>240</v>
      </c>
      <c r="AJ105" s="9" t="n">
        <v>60</v>
      </c>
      <c r="AK105" s="9"/>
      <c r="AL105" s="9"/>
      <c r="AM105" s="9"/>
      <c r="AN105" s="9" t="n">
        <v>240</v>
      </c>
      <c r="AO105" s="9" t="n">
        <v>90</v>
      </c>
      <c r="AP105" s="9"/>
      <c r="AQ105" s="9"/>
      <c r="AR105" s="9" t="n">
        <v>270</v>
      </c>
      <c r="AS105" s="9" t="n">
        <v>60</v>
      </c>
      <c r="AT105" s="9" t="n">
        <v>60</v>
      </c>
      <c r="AU105" s="9"/>
      <c r="AV105" s="9"/>
      <c r="AW105" s="9" t="n">
        <v>60</v>
      </c>
      <c r="AX105" s="9"/>
      <c r="AY105" s="9" t="n">
        <v>60</v>
      </c>
      <c r="AZ105" s="9"/>
      <c r="BA105" s="9" t="n">
        <v>30</v>
      </c>
      <c r="BB105" s="9"/>
      <c r="BC105" s="9"/>
      <c r="BD105" s="9"/>
      <c r="BE105" s="9" t="n">
        <v>30</v>
      </c>
      <c r="BF105" s="9" t="n">
        <v>30</v>
      </c>
      <c r="BG105" s="9"/>
      <c r="BH105" s="9" t="n">
        <v>60</v>
      </c>
      <c r="BI105" s="9" t="n">
        <v>30</v>
      </c>
      <c r="BJ105" s="9"/>
      <c r="BK105" s="9"/>
      <c r="BL105" s="9"/>
      <c r="BM105" s="9" t="n">
        <v>60</v>
      </c>
      <c r="BN105" s="9" t="n">
        <v>30</v>
      </c>
      <c r="BO105" s="9" t="n">
        <v>30</v>
      </c>
      <c r="BP105" s="9"/>
      <c r="BQ105" s="9"/>
      <c r="BR105" s="9" t="n">
        <v>90</v>
      </c>
      <c r="BS105" s="9"/>
      <c r="BT105" s="9"/>
      <c r="BU105" s="10" t="n">
        <v>3640</v>
      </c>
      <c r="BV105" s="11" t="n">
        <f aca="false">IF(ISERROR(ROUND(MEDIAN(BQ105:BT105),0)),0,ROUND(MEDIAN(BQ105:BT105),0))</f>
        <v>90</v>
      </c>
      <c r="BW105" s="11" t="n">
        <f aca="false">IF(ISERROR(ROUND(MEDIAN(BM105:BT105),0)),0,ROUND(MEDIAN(BM105:BT105),0))</f>
        <v>45</v>
      </c>
      <c r="BX105" s="11" t="n">
        <f aca="false">IF(ISERROR(ROUND(MEDIAN(BI105:BT105),0)),0,ROUND(MEDIAN(BI105:BT105),0))</f>
        <v>30</v>
      </c>
      <c r="BY105" s="11" t="n">
        <f aca="false">IF(ISERROR(ROUND(MEDIAN(BE105:BT105),0)),0,ROUND(MEDIAN(BE105:BT105),0))</f>
        <v>30</v>
      </c>
      <c r="BZ105" s="11" t="n">
        <f aca="false">IF(ISERROR(ROUND(MEDIAN(AU105:BT105),0)),0,ROUND(MEDIAN(AU105:BT105),0))</f>
        <v>30</v>
      </c>
      <c r="CA105" s="12" t="n">
        <f aca="false">IF(ISERROR(ROUND(MEDIAN(U105:BT105),0)),0,ROUND(MEDIAN(U105:BT105),0))</f>
        <v>60</v>
      </c>
      <c r="CB105" s="12" t="n">
        <f aca="false">IF(ISERROR(ROUND(MEDIAN(BT105),0)),0,ROUND(MEDIAN(BT105),0))</f>
        <v>0</v>
      </c>
      <c r="CC105" s="12" t="n">
        <f aca="false">IF(ISERROR(ROUND(MEDIAN(D105:BT105),0)),0,ROUND(MEDIAN(D105:BT105),0))</f>
        <v>60</v>
      </c>
      <c r="CD105" s="12" t="n">
        <f aca="false">MAX(D105:BT105)</f>
        <v>270</v>
      </c>
      <c r="CE105" s="7" t="n">
        <f aca="false">COUNTA(BQ105:BT105)</f>
        <v>1</v>
      </c>
      <c r="CF105" s="7" t="n">
        <f aca="false">COUNTA(BM105:BT105)</f>
        <v>4</v>
      </c>
      <c r="CG105" s="7" t="n">
        <f aca="false">COUNTA(BI105:BT105)</f>
        <v>5</v>
      </c>
      <c r="CH105" s="7" t="n">
        <f aca="false">COUNTA(BE105:BT105)</f>
        <v>8</v>
      </c>
      <c r="CI105" s="7" t="n">
        <f aca="false">COUNTA(AU105:BT105)</f>
        <v>11</v>
      </c>
      <c r="CJ105" s="7" t="n">
        <f aca="false">COUNTA(U105:BT105)</f>
        <v>27</v>
      </c>
      <c r="CK105" s="7" t="n">
        <f aca="false">COUNTA(BT105)</f>
        <v>0</v>
      </c>
      <c r="CL105" s="7" t="n">
        <f aca="false">COUNTA(D105:BT105)</f>
        <v>36</v>
      </c>
      <c r="CM105" s="13" t="str">
        <f aca="false">IF(AND(CE105=1,CJ105=1,BT105&lt;&gt;""),"5.ENTRANTES",IF(AND(CE105&lt;&gt;0,CE105/RIGHT($CE$1,1)&gt;=0.5,CJ105=CE105),"4.RECENTES",IF(AND(CF105&lt;&gt;0,CF105/RIGHT($CF$1,1)&gt;=0.5,CJ105=CF105),"4.RECENTES",IF(AND(CG105&lt;&gt;0,CG105/RIGHT($CG$1,2)&gt;=0.5,CJ105=CG105),"4.RECENTES",IF(AND(CH105&lt;&gt;0,CH105/RIGHT($CH$1,2)&gt;=0.5,CJ105=CH105),"4.RECENTES",IF(AND(CI105&lt;&gt;0,CI105/RIGHT($CI$1,2)&gt;=0.5,CJ105=CI105),"4.RECENTES",IF(AND(CE105=0,CF105=0,CG105=0,CH105=0),"3.INATIVOS",IF(CJ105/RIGHT($CJ$1,2)&lt;0.5,"2.INTERMITENTES","1.ORDINÁRIOS"))))))))</f>
        <v>1.ORDINÁRIOS</v>
      </c>
      <c r="CN105" s="14" t="n">
        <f aca="false">IF(AND(CE105=1,CJ105=1,BT105&lt;&gt;""),BT105,IF(AND(CE105&lt;&gt;0,CE105/RIGHT($CE$1,1)&gt;=0.5,CJ105=CE105),MAX(BV105:CC105),IF(AND(CF105&lt;&gt;0,CF105/RIGHT($CF$1,1)&gt;=0.5,CJ105=CF105),MAX(BV105:CC105),IF(AND(CG105&lt;&gt;0,CG105/RIGHT($CG$1,2)&gt;=0.5,CJ105=CG105),MAX(BV105:CC105),IF(AND(CH105&lt;&gt;0,CH105/RIGHT($CH$1,2)&gt;=0.5,CJ105=CH105),MAX(BV105:CC105),IF(AND(CI105&lt;&gt;0,CI105/RIGHT($CI$1,2)&gt;=0.5,CJ105=CI105),MAX(BV105:CC105),IF(AND(CE105=0,CF105=0,CG105=0,CH105=0),0,IF(CJ105/RIGHT($CJ$1,2)&lt;0.5,ROUND(BU105/RIGHT($CJ$1,2),0),MAX(BV105:CC105)))))))))</f>
        <v>90</v>
      </c>
      <c r="CO105" s="14" t="n">
        <f aca="false">CN105*3</f>
        <v>270</v>
      </c>
      <c r="CP105" s="15" t="n">
        <v>190</v>
      </c>
      <c r="CQ105" s="16" t="n">
        <f aca="false">IF((CO105-CP105)&lt;0,0,(CO105-CP105))</f>
        <v>80</v>
      </c>
      <c r="CR105" s="7"/>
    </row>
    <row r="106" customFormat="false" ht="12.75" hidden="false" customHeight="true" outlineLevel="0" collapsed="false">
      <c r="A106" s="7" t="s">
        <v>95</v>
      </c>
      <c r="B106" s="7" t="s">
        <v>200</v>
      </c>
      <c r="C106" s="8" t="n">
        <v>5000009</v>
      </c>
      <c r="D106" s="9"/>
      <c r="E106" s="9" t="n">
        <v>60</v>
      </c>
      <c r="F106" s="9" t="n">
        <v>60</v>
      </c>
      <c r="G106" s="9" t="n">
        <v>30</v>
      </c>
      <c r="H106" s="9"/>
      <c r="I106" s="9"/>
      <c r="J106" s="9" t="n">
        <v>120</v>
      </c>
      <c r="K106" s="9"/>
      <c r="L106" s="9" t="n">
        <v>30</v>
      </c>
      <c r="M106" s="9"/>
      <c r="N106" s="9" t="n">
        <v>60</v>
      </c>
      <c r="O106" s="9"/>
      <c r="P106" s="9" t="n">
        <v>60</v>
      </c>
      <c r="Q106" s="9" t="n">
        <v>90</v>
      </c>
      <c r="R106" s="9" t="n">
        <v>120</v>
      </c>
      <c r="S106" s="9" t="n">
        <v>60</v>
      </c>
      <c r="T106" s="9" t="n">
        <v>30</v>
      </c>
      <c r="U106" s="9"/>
      <c r="V106" s="9"/>
      <c r="W106" s="9" t="n">
        <v>150</v>
      </c>
      <c r="X106" s="9" t="n">
        <v>30</v>
      </c>
      <c r="Y106" s="9" t="n">
        <v>150</v>
      </c>
      <c r="Z106" s="9"/>
      <c r="AA106" s="9" t="n">
        <v>60</v>
      </c>
      <c r="AB106" s="9"/>
      <c r="AC106" s="9" t="n">
        <v>60</v>
      </c>
      <c r="AD106" s="9" t="n">
        <v>30</v>
      </c>
      <c r="AE106" s="9"/>
      <c r="AF106" s="9" t="n">
        <v>120</v>
      </c>
      <c r="AG106" s="9"/>
      <c r="AH106" s="9"/>
      <c r="AI106" s="9"/>
      <c r="AJ106" s="9"/>
      <c r="AK106" s="9" t="n">
        <v>30</v>
      </c>
      <c r="AL106" s="9"/>
      <c r="AM106" s="9" t="n">
        <v>60</v>
      </c>
      <c r="AN106" s="9"/>
      <c r="AO106" s="9" t="n">
        <v>30</v>
      </c>
      <c r="AP106" s="9" t="n">
        <v>60</v>
      </c>
      <c r="AQ106" s="9"/>
      <c r="AR106" s="9"/>
      <c r="AS106" s="9" t="n">
        <v>30</v>
      </c>
      <c r="AT106" s="9"/>
      <c r="AU106" s="9" t="n">
        <v>30</v>
      </c>
      <c r="AV106" s="9"/>
      <c r="AW106" s="9" t="n">
        <v>30</v>
      </c>
      <c r="AX106" s="9"/>
      <c r="AY106" s="9" t="n">
        <v>30</v>
      </c>
      <c r="AZ106" s="9" t="n">
        <v>30</v>
      </c>
      <c r="BA106" s="9" t="n">
        <v>90</v>
      </c>
      <c r="BB106" s="9"/>
      <c r="BC106" s="9" t="n">
        <v>90</v>
      </c>
      <c r="BD106" s="9" t="n">
        <v>50</v>
      </c>
      <c r="BE106" s="9" t="n">
        <v>30</v>
      </c>
      <c r="BF106" s="9"/>
      <c r="BG106" s="9" t="n">
        <v>60</v>
      </c>
      <c r="BH106" s="9"/>
      <c r="BI106" s="9" t="n">
        <v>30</v>
      </c>
      <c r="BJ106" s="9" t="n">
        <v>90</v>
      </c>
      <c r="BK106" s="9"/>
      <c r="BL106" s="9"/>
      <c r="BM106" s="9"/>
      <c r="BN106" s="9"/>
      <c r="BO106" s="9" t="n">
        <v>90</v>
      </c>
      <c r="BP106" s="9" t="n">
        <v>30</v>
      </c>
      <c r="BQ106" s="9" t="n">
        <v>60</v>
      </c>
      <c r="BR106" s="9"/>
      <c r="BS106" s="9" t="n">
        <v>90</v>
      </c>
      <c r="BT106" s="9"/>
      <c r="BU106" s="10" t="n">
        <v>2360</v>
      </c>
      <c r="BV106" s="11" t="n">
        <f aca="false">IF(ISERROR(ROUND(MEDIAN(BQ106:BT106),0)),0,ROUND(MEDIAN(BQ106:BT106),0))</f>
        <v>75</v>
      </c>
      <c r="BW106" s="11" t="n">
        <f aca="false">IF(ISERROR(ROUND(MEDIAN(BM106:BT106),0)),0,ROUND(MEDIAN(BM106:BT106),0))</f>
        <v>75</v>
      </c>
      <c r="BX106" s="11" t="n">
        <f aca="false">IF(ISERROR(ROUND(MEDIAN(BI106:BT106),0)),0,ROUND(MEDIAN(BI106:BT106),0))</f>
        <v>75</v>
      </c>
      <c r="BY106" s="11" t="n">
        <f aca="false">IF(ISERROR(ROUND(MEDIAN(BE106:BT106),0)),0,ROUND(MEDIAN(BE106:BT106),0))</f>
        <v>60</v>
      </c>
      <c r="BZ106" s="11" t="n">
        <f aca="false">IF(ISERROR(ROUND(MEDIAN(AU106:BT106),0)),0,ROUND(MEDIAN(AU106:BT106),0))</f>
        <v>50</v>
      </c>
      <c r="CA106" s="12" t="n">
        <f aca="false">IF(ISERROR(ROUND(MEDIAN(U106:BT106),0)),0,ROUND(MEDIAN(U106:BT106),0))</f>
        <v>60</v>
      </c>
      <c r="CB106" s="12" t="n">
        <f aca="false">IF(ISERROR(ROUND(MEDIAN(BT106),0)),0,ROUND(MEDIAN(BT106),0))</f>
        <v>0</v>
      </c>
      <c r="CC106" s="12" t="n">
        <f aca="false">IF(ISERROR(ROUND(MEDIAN(D106:BT106),0)),0,ROUND(MEDIAN(D106:BT106),0))</f>
        <v>60</v>
      </c>
      <c r="CD106" s="12" t="n">
        <f aca="false">MAX(D106:BT106)</f>
        <v>150</v>
      </c>
      <c r="CE106" s="7" t="n">
        <f aca="false">COUNTA(BQ106:BT106)</f>
        <v>2</v>
      </c>
      <c r="CF106" s="7" t="n">
        <f aca="false">COUNTA(BM106:BT106)</f>
        <v>4</v>
      </c>
      <c r="CG106" s="7" t="n">
        <f aca="false">COUNTA(BI106:BT106)</f>
        <v>6</v>
      </c>
      <c r="CH106" s="7" t="n">
        <f aca="false">COUNTA(BE106:BT106)</f>
        <v>8</v>
      </c>
      <c r="CI106" s="7" t="n">
        <f aca="false">COUNTA(AU106:BT106)</f>
        <v>15</v>
      </c>
      <c r="CJ106" s="7" t="n">
        <f aca="false">COUNTA(U106:BT106)</f>
        <v>27</v>
      </c>
      <c r="CK106" s="7" t="n">
        <f aca="false">COUNTA(BT106)</f>
        <v>0</v>
      </c>
      <c r="CL106" s="7" t="n">
        <f aca="false">COUNTA(D106:BT106)</f>
        <v>38</v>
      </c>
      <c r="CM106" s="13" t="str">
        <f aca="false">IF(AND(CE106=1,CJ106=1,BT106&lt;&gt;""),"5.ENTRANTES",IF(AND(CE106&lt;&gt;0,CE106/RIGHT($CE$1,1)&gt;=0.5,CJ106=CE106),"4.RECENTES",IF(AND(CF106&lt;&gt;0,CF106/RIGHT($CF$1,1)&gt;=0.5,CJ106=CF106),"4.RECENTES",IF(AND(CG106&lt;&gt;0,CG106/RIGHT($CG$1,2)&gt;=0.5,CJ106=CG106),"4.RECENTES",IF(AND(CH106&lt;&gt;0,CH106/RIGHT($CH$1,2)&gt;=0.5,CJ106=CH106),"4.RECENTES",IF(AND(CI106&lt;&gt;0,CI106/RIGHT($CI$1,2)&gt;=0.5,CJ106=CI106),"4.RECENTES",IF(AND(CE106=0,CF106=0,CG106=0,CH106=0),"3.INATIVOS",IF(CJ106/RIGHT($CJ$1,2)&lt;0.5,"2.INTERMITENTES","1.ORDINÁRIOS"))))))))</f>
        <v>1.ORDINÁRIOS</v>
      </c>
      <c r="CN106" s="14" t="n">
        <f aca="false">IF(AND(CE106=1,CJ106=1,BT106&lt;&gt;""),BT106,IF(AND(CE106&lt;&gt;0,CE106/RIGHT($CE$1,1)&gt;=0.5,CJ106=CE106),MAX(BV106:CC106),IF(AND(CF106&lt;&gt;0,CF106/RIGHT($CF$1,1)&gt;=0.5,CJ106=CF106),MAX(BV106:CC106),IF(AND(CG106&lt;&gt;0,CG106/RIGHT($CG$1,2)&gt;=0.5,CJ106=CG106),MAX(BV106:CC106),IF(AND(CH106&lt;&gt;0,CH106/RIGHT($CH$1,2)&gt;=0.5,CJ106=CH106),MAX(BV106:CC106),IF(AND(CI106&lt;&gt;0,CI106/RIGHT($CI$1,2)&gt;=0.5,CJ106=CI106),MAX(BV106:CC106),IF(AND(CE106=0,CF106=0,CG106=0,CH106=0),0,IF(CJ106/RIGHT($CJ$1,2)&lt;0.5,ROUND(BU106/RIGHT($CJ$1,2),0),MAX(BV106:CC106)))))))))</f>
        <v>75</v>
      </c>
      <c r="CO106" s="14" t="n">
        <f aca="false">CN106*3</f>
        <v>225</v>
      </c>
      <c r="CP106" s="15" t="n">
        <v>350</v>
      </c>
      <c r="CQ106" s="16" t="n">
        <f aca="false">IF((CO106-CP106)&lt;0,0,(CO106-CP106))</f>
        <v>0</v>
      </c>
      <c r="CR106" s="7"/>
    </row>
    <row r="107" customFormat="false" ht="12.75" hidden="false" customHeight="true" outlineLevel="0" collapsed="false">
      <c r="A107" s="7" t="s">
        <v>95</v>
      </c>
      <c r="B107" s="7" t="s">
        <v>201</v>
      </c>
      <c r="C107" s="8" t="n">
        <v>308001002</v>
      </c>
      <c r="D107" s="9" t="n">
        <v>63</v>
      </c>
      <c r="E107" s="9" t="n">
        <v>357</v>
      </c>
      <c r="F107" s="9" t="n">
        <v>126</v>
      </c>
      <c r="G107" s="9" t="n">
        <v>105</v>
      </c>
      <c r="H107" s="9" t="n">
        <v>294</v>
      </c>
      <c r="I107" s="9" t="n">
        <v>294</v>
      </c>
      <c r="J107" s="9" t="n">
        <v>168</v>
      </c>
      <c r="K107" s="9" t="n">
        <v>168</v>
      </c>
      <c r="L107" s="9" t="n">
        <v>273</v>
      </c>
      <c r="M107" s="9" t="n">
        <v>126</v>
      </c>
      <c r="N107" s="9" t="n">
        <v>252</v>
      </c>
      <c r="O107" s="9" t="n">
        <v>105</v>
      </c>
      <c r="P107" s="9" t="n">
        <v>210</v>
      </c>
      <c r="Q107" s="9" t="n">
        <v>147</v>
      </c>
      <c r="R107" s="9" t="n">
        <v>261</v>
      </c>
      <c r="S107" s="9" t="n">
        <v>147</v>
      </c>
      <c r="T107" s="9" t="n">
        <v>126</v>
      </c>
      <c r="U107" s="9" t="n">
        <v>252</v>
      </c>
      <c r="V107" s="9" t="n">
        <v>126</v>
      </c>
      <c r="W107" s="9" t="n">
        <v>105</v>
      </c>
      <c r="X107" s="9" t="n">
        <v>126</v>
      </c>
      <c r="Y107" s="9" t="n">
        <v>231</v>
      </c>
      <c r="Z107" s="9" t="n">
        <v>147</v>
      </c>
      <c r="AA107" s="9" t="n">
        <v>273</v>
      </c>
      <c r="AB107" s="9" t="n">
        <v>189</v>
      </c>
      <c r="AC107" s="9" t="n">
        <v>210</v>
      </c>
      <c r="AD107" s="9" t="n">
        <v>105</v>
      </c>
      <c r="AE107" s="9" t="n">
        <v>189</v>
      </c>
      <c r="AF107" s="9" t="n">
        <v>168</v>
      </c>
      <c r="AG107" s="9" t="n">
        <v>126</v>
      </c>
      <c r="AH107" s="9" t="n">
        <v>315</v>
      </c>
      <c r="AI107" s="9" t="n">
        <v>84</v>
      </c>
      <c r="AJ107" s="9" t="n">
        <v>210</v>
      </c>
      <c r="AK107" s="9" t="n">
        <v>169</v>
      </c>
      <c r="AL107" s="9" t="n">
        <v>294</v>
      </c>
      <c r="AM107" s="9" t="n">
        <v>123</v>
      </c>
      <c r="AN107" s="9" t="n">
        <v>168</v>
      </c>
      <c r="AO107" s="9" t="n">
        <v>168</v>
      </c>
      <c r="AP107" s="9" t="n">
        <v>210</v>
      </c>
      <c r="AQ107" s="9" t="n">
        <v>231</v>
      </c>
      <c r="AR107" s="9" t="n">
        <v>84</v>
      </c>
      <c r="AS107" s="9" t="n">
        <v>127</v>
      </c>
      <c r="AT107" s="9" t="n">
        <v>168</v>
      </c>
      <c r="AU107" s="9" t="n">
        <v>84</v>
      </c>
      <c r="AV107" s="9" t="n">
        <v>147</v>
      </c>
      <c r="AW107" s="9" t="n">
        <v>84</v>
      </c>
      <c r="AX107" s="9" t="n">
        <v>249</v>
      </c>
      <c r="AY107" s="9" t="n">
        <v>22</v>
      </c>
      <c r="AZ107" s="9" t="n">
        <v>84</v>
      </c>
      <c r="BA107" s="9" t="n">
        <v>127</v>
      </c>
      <c r="BB107" s="9" t="n">
        <v>168</v>
      </c>
      <c r="BC107" s="9" t="n">
        <v>126</v>
      </c>
      <c r="BD107" s="9" t="n">
        <v>84</v>
      </c>
      <c r="BE107" s="9" t="n">
        <v>168</v>
      </c>
      <c r="BF107" s="9" t="n">
        <v>63</v>
      </c>
      <c r="BG107" s="9" t="n">
        <v>105</v>
      </c>
      <c r="BH107" s="9" t="n">
        <v>42</v>
      </c>
      <c r="BI107" s="9" t="n">
        <v>126</v>
      </c>
      <c r="BJ107" s="9" t="n">
        <v>63</v>
      </c>
      <c r="BK107" s="9" t="n">
        <v>63</v>
      </c>
      <c r="BL107" s="9" t="n">
        <v>126</v>
      </c>
      <c r="BM107" s="9" t="n">
        <v>126</v>
      </c>
      <c r="BN107" s="9" t="n">
        <v>63</v>
      </c>
      <c r="BO107" s="9" t="n">
        <v>63</v>
      </c>
      <c r="BP107" s="9" t="n">
        <v>147</v>
      </c>
      <c r="BQ107" s="9" t="n">
        <v>63</v>
      </c>
      <c r="BR107" s="9" t="n">
        <v>84</v>
      </c>
      <c r="BS107" s="9" t="n">
        <v>42</v>
      </c>
      <c r="BT107" s="9" t="n">
        <v>126</v>
      </c>
      <c r="BU107" s="10" t="n">
        <v>10465</v>
      </c>
      <c r="BV107" s="11" t="n">
        <f aca="false">IF(ISERROR(ROUND(MEDIAN(BQ107:BT107),0)),0,ROUND(MEDIAN(BQ107:BT107),0))</f>
        <v>74</v>
      </c>
      <c r="BW107" s="11" t="n">
        <f aca="false">IF(ISERROR(ROUND(MEDIAN(BM107:BT107),0)),0,ROUND(MEDIAN(BM107:BT107),0))</f>
        <v>74</v>
      </c>
      <c r="BX107" s="11" t="n">
        <f aca="false">IF(ISERROR(ROUND(MEDIAN(BI107:BT107),0)),0,ROUND(MEDIAN(BI107:BT107),0))</f>
        <v>74</v>
      </c>
      <c r="BY107" s="11" t="n">
        <f aca="false">IF(ISERROR(ROUND(MEDIAN(BE107:BT107),0)),0,ROUND(MEDIAN(BE107:BT107),0))</f>
        <v>74</v>
      </c>
      <c r="BZ107" s="11" t="n">
        <f aca="false">IF(ISERROR(ROUND(MEDIAN(AU107:BT107),0)),0,ROUND(MEDIAN(AU107:BT107),0))</f>
        <v>84</v>
      </c>
      <c r="CA107" s="12" t="n">
        <f aca="false">IF(ISERROR(ROUND(MEDIAN(U107:BT107),0)),0,ROUND(MEDIAN(U107:BT107),0))</f>
        <v>126</v>
      </c>
      <c r="CB107" s="12" t="n">
        <f aca="false">IF(ISERROR(ROUND(MEDIAN(BT107),0)),0,ROUND(MEDIAN(BT107),0))</f>
        <v>126</v>
      </c>
      <c r="CC107" s="12" t="n">
        <f aca="false">IF(ISERROR(ROUND(MEDIAN(D107:BT107),0)),0,ROUND(MEDIAN(D107:BT107),0))</f>
        <v>127</v>
      </c>
      <c r="CD107" s="12" t="n">
        <f aca="false">MAX(D107:BT107)</f>
        <v>357</v>
      </c>
      <c r="CE107" s="7" t="n">
        <f aca="false">COUNTA(BQ107:BT107)</f>
        <v>4</v>
      </c>
      <c r="CF107" s="7" t="n">
        <f aca="false">COUNTA(BM107:BT107)</f>
        <v>8</v>
      </c>
      <c r="CG107" s="7" t="n">
        <f aca="false">COUNTA(BI107:BT107)</f>
        <v>12</v>
      </c>
      <c r="CH107" s="7" t="n">
        <f aca="false">COUNTA(BE107:BT107)</f>
        <v>16</v>
      </c>
      <c r="CI107" s="7" t="n">
        <f aca="false">COUNTA(AU107:BT107)</f>
        <v>26</v>
      </c>
      <c r="CJ107" s="7" t="n">
        <f aca="false">COUNTA(U107:BT107)</f>
        <v>52</v>
      </c>
      <c r="CK107" s="7" t="n">
        <f aca="false">COUNTA(BT107)</f>
        <v>1</v>
      </c>
      <c r="CL107" s="7" t="n">
        <f aca="false">COUNTA(D107:BT107)</f>
        <v>69</v>
      </c>
      <c r="CM107" s="13" t="str">
        <f aca="false">IF(AND(CE107=1,CJ107=1,BT107&lt;&gt;""),"5.ENTRANTES",IF(AND(CE107&lt;&gt;0,CE107/RIGHT($CE$1,1)&gt;=0.5,CJ107=CE107),"4.RECENTES",IF(AND(CF107&lt;&gt;0,CF107/RIGHT($CF$1,1)&gt;=0.5,CJ107=CF107),"4.RECENTES",IF(AND(CG107&lt;&gt;0,CG107/RIGHT($CG$1,2)&gt;=0.5,CJ107=CG107),"4.RECENTES",IF(AND(CH107&lt;&gt;0,CH107/RIGHT($CH$1,2)&gt;=0.5,CJ107=CH107),"4.RECENTES",IF(AND(CI107&lt;&gt;0,CI107/RIGHT($CI$1,2)&gt;=0.5,CJ107=CI107),"4.RECENTES",IF(AND(CE107=0,CF107=0,CG107=0,CH107=0),"3.INATIVOS",IF(CJ107/RIGHT($CJ$1,2)&lt;0.5,"2.INTERMITENTES","1.ORDINÁRIOS"))))))))</f>
        <v>1.ORDINÁRIOS</v>
      </c>
      <c r="CN107" s="14" t="n">
        <f aca="false">IF(AND(CE107=1,CJ107=1,BT107&lt;&gt;""),BT107,IF(AND(CE107&lt;&gt;0,CE107/RIGHT($CE$1,1)&gt;=0.5,CJ107=CE107),MAX(BV107:CC107),IF(AND(CF107&lt;&gt;0,CF107/RIGHT($CF$1,1)&gt;=0.5,CJ107=CF107),MAX(BV107:CC107),IF(AND(CG107&lt;&gt;0,CG107/RIGHT($CG$1,2)&gt;=0.5,CJ107=CG107),MAX(BV107:CC107),IF(AND(CH107&lt;&gt;0,CH107/RIGHT($CH$1,2)&gt;=0.5,CJ107=CH107),MAX(BV107:CC107),IF(AND(CI107&lt;&gt;0,CI107/RIGHT($CI$1,2)&gt;=0.5,CJ107=CI107),MAX(BV107:CC107),IF(AND(CE107=0,CF107=0,CG107=0,CH107=0),0,IF(CJ107/RIGHT($CJ$1,2)&lt;0.5,ROUND(BU107/RIGHT($CJ$1,2),0),MAX(BV107:CC107)))))))))</f>
        <v>127</v>
      </c>
      <c r="CO107" s="14" t="n">
        <f aca="false">CN107*3</f>
        <v>381</v>
      </c>
      <c r="CP107" s="15" t="n">
        <v>252</v>
      </c>
      <c r="CQ107" s="16" t="n">
        <f aca="false">IF((CO107-CP107)&lt;0,0,(CO107-CP107))</f>
        <v>129</v>
      </c>
      <c r="CR107" s="7"/>
    </row>
    <row r="108" customFormat="false" ht="12.75" hidden="false" customHeight="true" outlineLevel="0" collapsed="false">
      <c r="A108" s="7" t="s">
        <v>95</v>
      </c>
      <c r="B108" s="7" t="s">
        <v>202</v>
      </c>
      <c r="C108" s="8" t="n">
        <v>9000001</v>
      </c>
      <c r="D108" s="9"/>
      <c r="E108" s="9"/>
      <c r="F108" s="9"/>
      <c r="G108" s="9"/>
      <c r="H108" s="9" t="n">
        <v>2</v>
      </c>
      <c r="I108" s="9"/>
      <c r="J108" s="9"/>
      <c r="K108" s="9" t="n">
        <v>2</v>
      </c>
      <c r="L108" s="9"/>
      <c r="M108" s="9"/>
      <c r="N108" s="9" t="n">
        <v>4</v>
      </c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 t="n">
        <v>2</v>
      </c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 t="n">
        <v>2</v>
      </c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 t="n">
        <v>1</v>
      </c>
      <c r="BN108" s="9"/>
      <c r="BO108" s="9"/>
      <c r="BP108" s="9"/>
      <c r="BQ108" s="9"/>
      <c r="BR108" s="9"/>
      <c r="BS108" s="9"/>
      <c r="BT108" s="9"/>
      <c r="BU108" s="10" t="n">
        <v>13</v>
      </c>
      <c r="BV108" s="11" t="n">
        <f aca="false">IF(ISERROR(ROUND(MEDIAN(BQ108:BT108),0)),0,ROUND(MEDIAN(BQ108:BT108),0))</f>
        <v>0</v>
      </c>
      <c r="BW108" s="11" t="n">
        <f aca="false">IF(ISERROR(ROUND(MEDIAN(BM108:BT108),0)),0,ROUND(MEDIAN(BM108:BT108),0))</f>
        <v>1</v>
      </c>
      <c r="BX108" s="11" t="n">
        <f aca="false">IF(ISERROR(ROUND(MEDIAN(BI108:BT108),0)),0,ROUND(MEDIAN(BI108:BT108),0))</f>
        <v>1</v>
      </c>
      <c r="BY108" s="11" t="n">
        <f aca="false">IF(ISERROR(ROUND(MEDIAN(BE108:BT108),0)),0,ROUND(MEDIAN(BE108:BT108),0))</f>
        <v>1</v>
      </c>
      <c r="BZ108" s="11" t="n">
        <f aca="false">IF(ISERROR(ROUND(MEDIAN(AU108:BT108),0)),0,ROUND(MEDIAN(AU108:BT108),0))</f>
        <v>2</v>
      </c>
      <c r="CA108" s="12" t="n">
        <f aca="false">IF(ISERROR(ROUND(MEDIAN(U108:BT108),0)),0,ROUND(MEDIAN(U108:BT108),0))</f>
        <v>2</v>
      </c>
      <c r="CB108" s="12" t="n">
        <f aca="false">IF(ISERROR(ROUND(MEDIAN(BT108),0)),0,ROUND(MEDIAN(BT108),0))</f>
        <v>0</v>
      </c>
      <c r="CC108" s="12" t="n">
        <f aca="false">IF(ISERROR(ROUND(MEDIAN(D108:BT108),0)),0,ROUND(MEDIAN(D108:BT108),0))</f>
        <v>2</v>
      </c>
      <c r="CD108" s="12" t="n">
        <f aca="false">MAX(D108:BT108)</f>
        <v>4</v>
      </c>
      <c r="CE108" s="7" t="n">
        <f aca="false">COUNTA(BQ108:BT108)</f>
        <v>0</v>
      </c>
      <c r="CF108" s="7" t="n">
        <f aca="false">COUNTA(BM108:BT108)</f>
        <v>1</v>
      </c>
      <c r="CG108" s="7" t="n">
        <f aca="false">COUNTA(BI108:BT108)</f>
        <v>1</v>
      </c>
      <c r="CH108" s="7" t="n">
        <f aca="false">COUNTA(BE108:BT108)</f>
        <v>1</v>
      </c>
      <c r="CI108" s="7" t="n">
        <f aca="false">COUNTA(AU108:BT108)</f>
        <v>2</v>
      </c>
      <c r="CJ108" s="7" t="n">
        <f aca="false">COUNTA(U108:BT108)</f>
        <v>3</v>
      </c>
      <c r="CK108" s="7" t="n">
        <f aca="false">COUNTA(BT108)</f>
        <v>0</v>
      </c>
      <c r="CL108" s="7" t="n">
        <f aca="false">COUNTA(D108:BT108)</f>
        <v>6</v>
      </c>
      <c r="CM108" s="17" t="str">
        <f aca="false">IF(AND(CE108=1,CJ108=1,BT108&lt;&gt;""),"5.ENTRANTES",IF(AND(CE108&lt;&gt;0,CE108/RIGHT($CE$1,1)&gt;=0.5,CJ108=CE108),"4.RECENTES",IF(AND(CF108&lt;&gt;0,CF108/RIGHT($CF$1,1)&gt;=0.5,CJ108=CF108),"4.RECENTES",IF(AND(CG108&lt;&gt;0,CG108/RIGHT($CG$1,2)&gt;=0.5,CJ108=CG108),"4.RECENTES",IF(AND(CH108&lt;&gt;0,CH108/RIGHT($CH$1,2)&gt;=0.5,CJ108=CH108),"4.RECENTES",IF(AND(CI108&lt;&gt;0,CI108/RIGHT($CI$1,2)&gt;=0.5,CJ108=CI108),"4.RECENTES",IF(AND(CE108=0,CF108=0,CG108=0,CH108=0),"3.INATIVOS",IF(CJ108/RIGHT($CJ$1,2)&lt;0.5,"2.INTERMITENTES","1.ORDINÁRIOS"))))))))</f>
        <v>2.INTERMITENTES</v>
      </c>
      <c r="CN108" s="18" t="n">
        <f aca="false">IF(AND(CE108=1,CJ108=1,BT108&lt;&gt;""),BT108,IF(AND(CE108&lt;&gt;0,CE108/RIGHT($CE$1,1)&gt;=0.5,CJ108=CE108),MAX(BV108:CC108),IF(AND(CF108&lt;&gt;0,CF108/RIGHT($CF$1,1)&gt;=0.5,CJ108=CF108),MAX(BV108:CC108),IF(AND(CG108&lt;&gt;0,CG108/RIGHT($CG$1,2)&gt;=0.5,CJ108=CG108),MAX(BV108:CC108),IF(AND(CH108&lt;&gt;0,CH108/RIGHT($CH$1,2)&gt;=0.5,CJ108=CH108),MAX(BV108:CC108),IF(AND(CI108&lt;&gt;0,CI108/RIGHT($CI$1,2)&gt;=0.5,CJ108=CI108),MAX(BV108:CC108),IF(AND(CE108=0,CF108=0,CG108=0,CH108=0),0,IF(CJ108/RIGHT($CJ$1,2)&lt;0.5,ROUND(BU108/RIGHT($CJ$1,2),0),MAX(BV108:CC108)))))))))</f>
        <v>0</v>
      </c>
      <c r="CO108" s="18" t="n">
        <f aca="false">CD108</f>
        <v>4</v>
      </c>
      <c r="CP108" s="15" t="n">
        <v>57</v>
      </c>
      <c r="CQ108" s="16" t="n">
        <f aca="false">IF((CO108-CP108)&lt;0,0,(CO108-CP108))</f>
        <v>0</v>
      </c>
      <c r="CR108" s="7"/>
    </row>
    <row r="109" customFormat="false" ht="12.75" hidden="false" customHeight="true" outlineLevel="0" collapsed="false">
      <c r="A109" s="7" t="s">
        <v>95</v>
      </c>
      <c r="B109" s="7" t="s">
        <v>203</v>
      </c>
      <c r="C109" s="8" t="n">
        <v>21001032</v>
      </c>
      <c r="D109" s="9" t="n">
        <v>30</v>
      </c>
      <c r="E109" s="9" t="n">
        <v>300</v>
      </c>
      <c r="F109" s="9" t="n">
        <v>510</v>
      </c>
      <c r="G109" s="9" t="n">
        <v>570</v>
      </c>
      <c r="H109" s="9" t="n">
        <v>120</v>
      </c>
      <c r="I109" s="9" t="n">
        <v>420</v>
      </c>
      <c r="J109" s="9" t="n">
        <v>420</v>
      </c>
      <c r="K109" s="9" t="n">
        <v>330</v>
      </c>
      <c r="L109" s="9" t="n">
        <v>480</v>
      </c>
      <c r="M109" s="9" t="n">
        <v>390</v>
      </c>
      <c r="N109" s="9" t="n">
        <v>360</v>
      </c>
      <c r="O109" s="9" t="n">
        <v>390</v>
      </c>
      <c r="P109" s="9" t="n">
        <v>360</v>
      </c>
      <c r="Q109" s="9" t="n">
        <v>330</v>
      </c>
      <c r="R109" s="9" t="n">
        <v>270</v>
      </c>
      <c r="S109" s="9" t="n">
        <v>210</v>
      </c>
      <c r="T109" s="9" t="n">
        <v>340</v>
      </c>
      <c r="U109" s="9" t="n">
        <v>450</v>
      </c>
      <c r="V109" s="9" t="n">
        <v>330</v>
      </c>
      <c r="W109" s="9" t="n">
        <v>290</v>
      </c>
      <c r="X109" s="9" t="n">
        <v>360</v>
      </c>
      <c r="Y109" s="9" t="n">
        <v>300</v>
      </c>
      <c r="Z109" s="9" t="n">
        <v>360</v>
      </c>
      <c r="AA109" s="9" t="n">
        <v>330</v>
      </c>
      <c r="AB109" s="9" t="n">
        <v>450</v>
      </c>
      <c r="AC109" s="9" t="n">
        <v>510</v>
      </c>
      <c r="AD109" s="9" t="n">
        <v>330</v>
      </c>
      <c r="AE109" s="9" t="n">
        <v>300</v>
      </c>
      <c r="AF109" s="9" t="n">
        <v>270</v>
      </c>
      <c r="AG109" s="9" t="n">
        <v>270</v>
      </c>
      <c r="AH109" s="9" t="n">
        <v>600</v>
      </c>
      <c r="AI109" s="9" t="n">
        <v>390</v>
      </c>
      <c r="AJ109" s="9" t="n">
        <v>360</v>
      </c>
      <c r="AK109" s="9" t="n">
        <v>360</v>
      </c>
      <c r="AL109" s="9" t="n">
        <v>300</v>
      </c>
      <c r="AM109" s="9" t="n">
        <v>510</v>
      </c>
      <c r="AN109" s="9" t="n">
        <v>330</v>
      </c>
      <c r="AO109" s="9" t="n">
        <v>300</v>
      </c>
      <c r="AP109" s="9" t="n">
        <v>480</v>
      </c>
      <c r="AQ109" s="9" t="n">
        <v>300</v>
      </c>
      <c r="AR109" s="9" t="n">
        <v>300</v>
      </c>
      <c r="AS109" s="9" t="n">
        <v>300</v>
      </c>
      <c r="AT109" s="9" t="n">
        <v>450</v>
      </c>
      <c r="AU109" s="9" t="n">
        <v>180</v>
      </c>
      <c r="AV109" s="9" t="n">
        <v>360</v>
      </c>
      <c r="AW109" s="9" t="n">
        <v>270</v>
      </c>
      <c r="AX109" s="9" t="n">
        <v>270</v>
      </c>
      <c r="AY109" s="9" t="n">
        <v>210</v>
      </c>
      <c r="AZ109" s="9" t="n">
        <v>288</v>
      </c>
      <c r="BA109" s="9" t="n">
        <v>320</v>
      </c>
      <c r="BB109" s="9" t="n">
        <v>360</v>
      </c>
      <c r="BC109" s="9" t="n">
        <v>150</v>
      </c>
      <c r="BD109" s="9" t="n">
        <v>180</v>
      </c>
      <c r="BE109" s="9" t="n">
        <v>290</v>
      </c>
      <c r="BF109" s="9" t="n">
        <v>195</v>
      </c>
      <c r="BG109" s="9" t="n">
        <v>210</v>
      </c>
      <c r="BH109" s="9" t="n">
        <v>150</v>
      </c>
      <c r="BI109" s="9" t="n">
        <v>330</v>
      </c>
      <c r="BJ109" s="9" t="n">
        <v>330</v>
      </c>
      <c r="BK109" s="9" t="n">
        <v>190</v>
      </c>
      <c r="BL109" s="9" t="n">
        <v>270</v>
      </c>
      <c r="BM109" s="9" t="n">
        <v>210</v>
      </c>
      <c r="BN109" s="9" t="n">
        <v>330</v>
      </c>
      <c r="BO109" s="9" t="n">
        <v>330</v>
      </c>
      <c r="BP109" s="9" t="n">
        <v>330</v>
      </c>
      <c r="BQ109" s="9" t="n">
        <v>240</v>
      </c>
      <c r="BR109" s="9" t="n">
        <v>300</v>
      </c>
      <c r="BS109" s="9" t="n">
        <v>180</v>
      </c>
      <c r="BT109" s="9" t="n">
        <v>90</v>
      </c>
      <c r="BU109" s="10" t="n">
        <v>21923</v>
      </c>
      <c r="BV109" s="11" t="n">
        <f aca="false">IF(ISERROR(ROUND(MEDIAN(BQ109:BT109),0)),0,ROUND(MEDIAN(BQ109:BT109),0))</f>
        <v>210</v>
      </c>
      <c r="BW109" s="11" t="n">
        <f aca="false">IF(ISERROR(ROUND(MEDIAN(BM109:BT109),0)),0,ROUND(MEDIAN(BM109:BT109),0))</f>
        <v>270</v>
      </c>
      <c r="BX109" s="11" t="n">
        <f aca="false">IF(ISERROR(ROUND(MEDIAN(BI109:BT109),0)),0,ROUND(MEDIAN(BI109:BT109),0))</f>
        <v>285</v>
      </c>
      <c r="BY109" s="11" t="n">
        <f aca="false">IF(ISERROR(ROUND(MEDIAN(BE109:BT109),0)),0,ROUND(MEDIAN(BE109:BT109),0))</f>
        <v>255</v>
      </c>
      <c r="BZ109" s="11" t="n">
        <f aca="false">IF(ISERROR(ROUND(MEDIAN(AU109:BT109),0)),0,ROUND(MEDIAN(AU109:BT109),0))</f>
        <v>270</v>
      </c>
      <c r="CA109" s="12" t="n">
        <f aca="false">IF(ISERROR(ROUND(MEDIAN(U109:BT109),0)),0,ROUND(MEDIAN(U109:BT109),0))</f>
        <v>300</v>
      </c>
      <c r="CB109" s="12" t="n">
        <f aca="false">IF(ISERROR(ROUND(MEDIAN(BT109),0)),0,ROUND(MEDIAN(BT109),0))</f>
        <v>90</v>
      </c>
      <c r="CC109" s="12" t="n">
        <f aca="false">IF(ISERROR(ROUND(MEDIAN(D109:BT109),0)),0,ROUND(MEDIAN(D109:BT109),0))</f>
        <v>330</v>
      </c>
      <c r="CD109" s="12" t="n">
        <f aca="false">MAX(D109:BT109)</f>
        <v>600</v>
      </c>
      <c r="CE109" s="7" t="n">
        <f aca="false">COUNTA(BQ109:BT109)</f>
        <v>4</v>
      </c>
      <c r="CF109" s="7" t="n">
        <f aca="false">COUNTA(BM109:BT109)</f>
        <v>8</v>
      </c>
      <c r="CG109" s="7" t="n">
        <f aca="false">COUNTA(BI109:BT109)</f>
        <v>12</v>
      </c>
      <c r="CH109" s="7" t="n">
        <f aca="false">COUNTA(BE109:BT109)</f>
        <v>16</v>
      </c>
      <c r="CI109" s="7" t="n">
        <f aca="false">COUNTA(AU109:BT109)</f>
        <v>26</v>
      </c>
      <c r="CJ109" s="7" t="n">
        <f aca="false">COUNTA(U109:BT109)</f>
        <v>52</v>
      </c>
      <c r="CK109" s="7" t="n">
        <f aca="false">COUNTA(BT109)</f>
        <v>1</v>
      </c>
      <c r="CL109" s="7" t="n">
        <f aca="false">COUNTA(D109:BT109)</f>
        <v>69</v>
      </c>
      <c r="CM109" s="13" t="str">
        <f aca="false">IF(AND(CE109=1,CJ109=1,BT109&lt;&gt;""),"5.ENTRANTES",IF(AND(CE109&lt;&gt;0,CE109/RIGHT($CE$1,1)&gt;=0.5,CJ109=CE109),"4.RECENTES",IF(AND(CF109&lt;&gt;0,CF109/RIGHT($CF$1,1)&gt;=0.5,CJ109=CF109),"4.RECENTES",IF(AND(CG109&lt;&gt;0,CG109/RIGHT($CG$1,2)&gt;=0.5,CJ109=CG109),"4.RECENTES",IF(AND(CH109&lt;&gt;0,CH109/RIGHT($CH$1,2)&gt;=0.5,CJ109=CH109),"4.RECENTES",IF(AND(CI109&lt;&gt;0,CI109/RIGHT($CI$1,2)&gt;=0.5,CJ109=CI109),"4.RECENTES",IF(AND(CE109=0,CF109=0,CG109=0,CH109=0),"3.INATIVOS",IF(CJ109/RIGHT($CJ$1,2)&lt;0.5,"2.INTERMITENTES","1.ORDINÁRIOS"))))))))</f>
        <v>1.ORDINÁRIOS</v>
      </c>
      <c r="CN109" s="14" t="n">
        <f aca="false">IF(AND(CE109=1,CJ109=1,BT109&lt;&gt;""),BT109,IF(AND(CE109&lt;&gt;0,CE109/RIGHT($CE$1,1)&gt;=0.5,CJ109=CE109),MAX(BV109:CC109),IF(AND(CF109&lt;&gt;0,CF109/RIGHT($CF$1,1)&gt;=0.5,CJ109=CF109),MAX(BV109:CC109),IF(AND(CG109&lt;&gt;0,CG109/RIGHT($CG$1,2)&gt;=0.5,CJ109=CG109),MAX(BV109:CC109),IF(AND(CH109&lt;&gt;0,CH109/RIGHT($CH$1,2)&gt;=0.5,CJ109=CH109),MAX(BV109:CC109),IF(AND(CI109&lt;&gt;0,CI109/RIGHT($CI$1,2)&gt;=0.5,CJ109=CI109),MAX(BV109:CC109),IF(AND(CE109=0,CF109=0,CG109=0,CH109=0),0,IF(CJ109/RIGHT($CJ$1,2)&lt;0.5,ROUND(BU109/RIGHT($CJ$1,2),0),MAX(BV109:CC109)))))))))</f>
        <v>330</v>
      </c>
      <c r="CO109" s="14" t="n">
        <f aca="false">CN109*3</f>
        <v>990</v>
      </c>
      <c r="CP109" s="15" t="n">
        <v>625</v>
      </c>
      <c r="CQ109" s="16" t="n">
        <f aca="false">IF((CO109-CP109)&lt;0,0,(CO109-CP109))</f>
        <v>365</v>
      </c>
      <c r="CR109" s="7"/>
    </row>
    <row r="110" customFormat="false" ht="12.75" hidden="false" customHeight="true" outlineLevel="0" collapsed="false">
      <c r="A110" s="7" t="s">
        <v>95</v>
      </c>
      <c r="B110" s="7" t="s">
        <v>204</v>
      </c>
      <c r="C110" s="8" t="n">
        <v>9000011</v>
      </c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 t="n">
        <v>90</v>
      </c>
      <c r="AW110" s="9" t="n">
        <v>270</v>
      </c>
      <c r="AX110" s="9" t="n">
        <v>270</v>
      </c>
      <c r="AY110" s="9" t="n">
        <v>120</v>
      </c>
      <c r="AZ110" s="9" t="n">
        <v>255</v>
      </c>
      <c r="BA110" s="9" t="n">
        <v>210</v>
      </c>
      <c r="BB110" s="9" t="n">
        <v>360</v>
      </c>
      <c r="BC110" s="9" t="n">
        <v>330</v>
      </c>
      <c r="BD110" s="9" t="n">
        <v>240</v>
      </c>
      <c r="BE110" s="9" t="n">
        <v>270</v>
      </c>
      <c r="BF110" s="9" t="n">
        <v>300</v>
      </c>
      <c r="BG110" s="9" t="n">
        <v>210</v>
      </c>
      <c r="BH110" s="9" t="n">
        <v>350</v>
      </c>
      <c r="BI110" s="9" t="n">
        <v>445</v>
      </c>
      <c r="BJ110" s="9" t="n">
        <v>285</v>
      </c>
      <c r="BK110" s="9" t="n">
        <v>180</v>
      </c>
      <c r="BL110" s="9" t="n">
        <v>450</v>
      </c>
      <c r="BM110" s="9" t="n">
        <v>360</v>
      </c>
      <c r="BN110" s="9" t="n">
        <v>270</v>
      </c>
      <c r="BO110" s="9" t="n">
        <v>300</v>
      </c>
      <c r="BP110" s="9" t="n">
        <v>270</v>
      </c>
      <c r="BQ110" s="9" t="n">
        <v>270</v>
      </c>
      <c r="BR110" s="9" t="n">
        <v>330</v>
      </c>
      <c r="BS110" s="9" t="n">
        <v>240</v>
      </c>
      <c r="BT110" s="9" t="n">
        <v>270</v>
      </c>
      <c r="BU110" s="10" t="n">
        <v>6945</v>
      </c>
      <c r="BV110" s="11" t="n">
        <f aca="false">IF(ISERROR(ROUND(MEDIAN(BQ110:BT110),0)),0,ROUND(MEDIAN(BQ110:BT110),0))</f>
        <v>270</v>
      </c>
      <c r="BW110" s="11" t="n">
        <f aca="false">IF(ISERROR(ROUND(MEDIAN(BM110:BT110),0)),0,ROUND(MEDIAN(BM110:BT110),0))</f>
        <v>270</v>
      </c>
      <c r="BX110" s="11" t="n">
        <f aca="false">IF(ISERROR(ROUND(MEDIAN(BI110:BT110),0)),0,ROUND(MEDIAN(BI110:BT110),0))</f>
        <v>278</v>
      </c>
      <c r="BY110" s="11" t="n">
        <f aca="false">IF(ISERROR(ROUND(MEDIAN(BE110:BT110),0)),0,ROUND(MEDIAN(BE110:BT110),0))</f>
        <v>278</v>
      </c>
      <c r="BZ110" s="11" t="n">
        <f aca="false">IF(ISERROR(ROUND(MEDIAN(AU110:BT110),0)),0,ROUND(MEDIAN(AU110:BT110),0))</f>
        <v>270</v>
      </c>
      <c r="CA110" s="12" t="n">
        <f aca="false">IF(ISERROR(ROUND(MEDIAN(U110:BT110),0)),0,ROUND(MEDIAN(U110:BT110),0))</f>
        <v>270</v>
      </c>
      <c r="CB110" s="12" t="n">
        <f aca="false">IF(ISERROR(ROUND(MEDIAN(BT110),0)),0,ROUND(MEDIAN(BT110),0))</f>
        <v>270</v>
      </c>
      <c r="CC110" s="12" t="n">
        <f aca="false">IF(ISERROR(ROUND(MEDIAN(D110:BT110),0)),0,ROUND(MEDIAN(D110:BT110),0))</f>
        <v>270</v>
      </c>
      <c r="CD110" s="12" t="n">
        <f aca="false">MAX(D110:BT110)</f>
        <v>450</v>
      </c>
      <c r="CE110" s="7" t="n">
        <f aca="false">COUNTA(BQ110:BT110)</f>
        <v>4</v>
      </c>
      <c r="CF110" s="7" t="n">
        <f aca="false">COUNTA(BM110:BT110)</f>
        <v>8</v>
      </c>
      <c r="CG110" s="7" t="n">
        <f aca="false">COUNTA(BI110:BT110)</f>
        <v>12</v>
      </c>
      <c r="CH110" s="7" t="n">
        <f aca="false">COUNTA(BE110:BT110)</f>
        <v>16</v>
      </c>
      <c r="CI110" s="7" t="n">
        <f aca="false">COUNTA(AU110:BT110)</f>
        <v>25</v>
      </c>
      <c r="CJ110" s="7" t="n">
        <f aca="false">COUNTA(U110:BT110)</f>
        <v>25</v>
      </c>
      <c r="CK110" s="7" t="n">
        <f aca="false">COUNTA(BT110)</f>
        <v>1</v>
      </c>
      <c r="CL110" s="7" t="n">
        <f aca="false">COUNTA(D110:BT110)</f>
        <v>25</v>
      </c>
      <c r="CM110" s="21" t="str">
        <f aca="false">IF(AND(CE110=1,CJ110=1,BT110&lt;&gt;""),"5.ENTRANTES",IF(AND(CE110&lt;&gt;0,CE110/RIGHT($CE$1,1)&gt;=0.5,CJ110=CE110),"4.RECENTES",IF(AND(CF110&lt;&gt;0,CF110/RIGHT($CF$1,1)&gt;=0.5,CJ110=CF110),"4.RECENTES",IF(AND(CG110&lt;&gt;0,CG110/RIGHT($CG$1,2)&gt;=0.5,CJ110=CG110),"4.RECENTES",IF(AND(CH110&lt;&gt;0,CH110/RIGHT($CH$1,2)&gt;=0.5,CJ110=CH110),"4.RECENTES",IF(AND(CI110&lt;&gt;0,CI110/RIGHT($CI$1,2)&gt;=0.5,CJ110=CI110),"4.RECENTES",IF(AND(CE110=0,CF110=0,CG110=0,CH110=0),"3.INATIVOS",IF(CJ110/RIGHT($CJ$1,2)&lt;0.5,"2.INTERMITENTES","1.ORDINÁRIOS"))))))))</f>
        <v>4.RECENTES</v>
      </c>
      <c r="CN110" s="22" t="n">
        <f aca="false">IF(AND(CE110=1,CJ110=1,BT110&lt;&gt;""),BT110,IF(AND(CE110&lt;&gt;0,CE110/RIGHT($CE$1,1)&gt;=0.5,CJ110=CE110),MAX(BV110:CC110),IF(AND(CF110&lt;&gt;0,CF110/RIGHT($CF$1,1)&gt;=0.5,CJ110=CF110),MAX(BV110:CC110),IF(AND(CG110&lt;&gt;0,CG110/RIGHT($CG$1,2)&gt;=0.5,CJ110=CG110),MAX(BV110:CC110),IF(AND(CH110&lt;&gt;0,CH110/RIGHT($CH$1,2)&gt;=0.5,CJ110=CH110),MAX(BV110:CC110),IF(AND(CI110&lt;&gt;0,CI110/RIGHT($CI$1,2)&gt;=0.5,CJ110=CI110),MAX(BV110:CC110),IF(AND(CE110=0,CF110=0,CG110=0,CH110=0),0,IF(CJ110/RIGHT($CJ$1,2)&lt;0.5,ROUND(BU110/RIGHT($CJ$1,2),0),MAX(BV110:CC110)))))))))</f>
        <v>278</v>
      </c>
      <c r="CO110" s="22" t="n">
        <f aca="false">CN110*3</f>
        <v>834</v>
      </c>
      <c r="CP110" s="15" t="n">
        <v>555</v>
      </c>
      <c r="CQ110" s="16" t="n">
        <f aca="false">IF((CO110-CP110)&lt;0,0,(CO110-CP110))</f>
        <v>279</v>
      </c>
      <c r="CR110" s="7"/>
    </row>
    <row r="111" customFormat="false" ht="12.75" hidden="false" customHeight="true" outlineLevel="0" collapsed="false">
      <c r="A111" s="7" t="s">
        <v>95</v>
      </c>
      <c r="B111" s="7" t="s">
        <v>205</v>
      </c>
      <c r="C111" s="8" t="n">
        <v>21001033</v>
      </c>
      <c r="D111" s="9" t="n">
        <v>210</v>
      </c>
      <c r="E111" s="9" t="n">
        <v>810</v>
      </c>
      <c r="F111" s="9" t="n">
        <v>1170</v>
      </c>
      <c r="G111" s="9" t="n">
        <v>1140</v>
      </c>
      <c r="H111" s="9" t="n">
        <v>390</v>
      </c>
      <c r="I111" s="9" t="n">
        <v>1620</v>
      </c>
      <c r="J111" s="9" t="n">
        <v>1080</v>
      </c>
      <c r="K111" s="9" t="n">
        <v>870</v>
      </c>
      <c r="L111" s="9" t="n">
        <v>1050</v>
      </c>
      <c r="M111" s="9" t="n">
        <v>780</v>
      </c>
      <c r="N111" s="9" t="n">
        <v>1060</v>
      </c>
      <c r="O111" s="9" t="n">
        <v>720</v>
      </c>
      <c r="P111" s="9" t="n">
        <v>1000</v>
      </c>
      <c r="Q111" s="9" t="n">
        <v>1025</v>
      </c>
      <c r="R111" s="9" t="n">
        <v>1270</v>
      </c>
      <c r="S111" s="9" t="n">
        <v>680</v>
      </c>
      <c r="T111" s="9" t="n">
        <v>790</v>
      </c>
      <c r="U111" s="9" t="n">
        <v>1315</v>
      </c>
      <c r="V111" s="9" t="n">
        <v>720</v>
      </c>
      <c r="W111" s="9" t="n">
        <v>970</v>
      </c>
      <c r="X111" s="9" t="n">
        <v>1010</v>
      </c>
      <c r="Y111" s="9" t="n">
        <v>1110</v>
      </c>
      <c r="Z111" s="9" t="n">
        <v>540</v>
      </c>
      <c r="AA111" s="9" t="n">
        <v>1190</v>
      </c>
      <c r="AB111" s="9" t="n">
        <v>900</v>
      </c>
      <c r="AC111" s="9" t="n">
        <v>1380</v>
      </c>
      <c r="AD111" s="9" t="n">
        <v>840</v>
      </c>
      <c r="AE111" s="9" t="n">
        <v>1020</v>
      </c>
      <c r="AF111" s="9" t="n">
        <v>860</v>
      </c>
      <c r="AG111" s="9" t="n">
        <v>900</v>
      </c>
      <c r="AH111" s="9" t="n">
        <v>1140</v>
      </c>
      <c r="AI111" s="9" t="n">
        <v>840</v>
      </c>
      <c r="AJ111" s="9" t="n">
        <v>1080</v>
      </c>
      <c r="AK111" s="9" t="n">
        <v>930</v>
      </c>
      <c r="AL111" s="9" t="n">
        <v>1320</v>
      </c>
      <c r="AM111" s="9" t="n">
        <v>750</v>
      </c>
      <c r="AN111" s="9" t="n">
        <v>1170</v>
      </c>
      <c r="AO111" s="9" t="n">
        <v>630</v>
      </c>
      <c r="AP111" s="9" t="n">
        <v>1050</v>
      </c>
      <c r="AQ111" s="9" t="n">
        <v>1290</v>
      </c>
      <c r="AR111" s="9" t="n">
        <v>960</v>
      </c>
      <c r="AS111" s="9" t="n">
        <v>870</v>
      </c>
      <c r="AT111" s="9" t="n">
        <v>840</v>
      </c>
      <c r="AU111" s="9" t="n">
        <v>690</v>
      </c>
      <c r="AV111" s="9" t="n">
        <v>630</v>
      </c>
      <c r="AW111" s="9" t="n">
        <v>570</v>
      </c>
      <c r="AX111" s="9" t="n">
        <v>660</v>
      </c>
      <c r="AY111" s="9" t="n">
        <v>480</v>
      </c>
      <c r="AZ111" s="9" t="n">
        <v>510</v>
      </c>
      <c r="BA111" s="9" t="n">
        <v>530</v>
      </c>
      <c r="BB111" s="9" t="n">
        <v>420</v>
      </c>
      <c r="BC111" s="9" t="n">
        <v>600</v>
      </c>
      <c r="BD111" s="9" t="n">
        <v>320</v>
      </c>
      <c r="BE111" s="9" t="n">
        <v>360</v>
      </c>
      <c r="BF111" s="9" t="n">
        <v>430</v>
      </c>
      <c r="BG111" s="9" t="n">
        <v>540</v>
      </c>
      <c r="BH111" s="9" t="n">
        <v>430</v>
      </c>
      <c r="BI111" s="9" t="n">
        <v>630</v>
      </c>
      <c r="BJ111" s="9" t="n">
        <v>330</v>
      </c>
      <c r="BK111" s="9" t="n">
        <v>540</v>
      </c>
      <c r="BL111" s="9" t="n">
        <v>700</v>
      </c>
      <c r="BM111" s="9" t="n">
        <v>270</v>
      </c>
      <c r="BN111" s="9" t="n">
        <v>690</v>
      </c>
      <c r="BO111" s="9" t="n">
        <v>480</v>
      </c>
      <c r="BP111" s="9" t="n">
        <v>600</v>
      </c>
      <c r="BQ111" s="9" t="n">
        <v>510</v>
      </c>
      <c r="BR111" s="9" t="n">
        <v>630</v>
      </c>
      <c r="BS111" s="9" t="n">
        <v>210</v>
      </c>
      <c r="BT111" s="9" t="n">
        <v>600</v>
      </c>
      <c r="BU111" s="10" t="n">
        <v>54650</v>
      </c>
      <c r="BV111" s="11" t="n">
        <f aca="false">IF(ISERROR(ROUND(MEDIAN(BQ111:BT111),0)),0,ROUND(MEDIAN(BQ111:BT111),0))</f>
        <v>555</v>
      </c>
      <c r="BW111" s="11" t="n">
        <f aca="false">IF(ISERROR(ROUND(MEDIAN(BM111:BT111),0)),0,ROUND(MEDIAN(BM111:BT111),0))</f>
        <v>555</v>
      </c>
      <c r="BX111" s="11" t="n">
        <f aca="false">IF(ISERROR(ROUND(MEDIAN(BI111:BT111),0)),0,ROUND(MEDIAN(BI111:BT111),0))</f>
        <v>570</v>
      </c>
      <c r="BY111" s="11" t="n">
        <f aca="false">IF(ISERROR(ROUND(MEDIAN(BE111:BT111),0)),0,ROUND(MEDIAN(BE111:BT111),0))</f>
        <v>525</v>
      </c>
      <c r="BZ111" s="11" t="n">
        <f aca="false">IF(ISERROR(ROUND(MEDIAN(AU111:BT111),0)),0,ROUND(MEDIAN(AU111:BT111),0))</f>
        <v>535</v>
      </c>
      <c r="CA111" s="12" t="n">
        <f aca="false">IF(ISERROR(ROUND(MEDIAN(U111:BT111),0)),0,ROUND(MEDIAN(U111:BT111),0))</f>
        <v>690</v>
      </c>
      <c r="CB111" s="12" t="n">
        <f aca="false">IF(ISERROR(ROUND(MEDIAN(BT111),0)),0,ROUND(MEDIAN(BT111),0))</f>
        <v>600</v>
      </c>
      <c r="CC111" s="12" t="n">
        <f aca="false">IF(ISERROR(ROUND(MEDIAN(D111:BT111),0)),0,ROUND(MEDIAN(D111:BT111),0))</f>
        <v>780</v>
      </c>
      <c r="CD111" s="12" t="n">
        <f aca="false">MAX(D111:BT111)</f>
        <v>1620</v>
      </c>
      <c r="CE111" s="7" t="n">
        <f aca="false">COUNTA(BQ111:BT111)</f>
        <v>4</v>
      </c>
      <c r="CF111" s="7" t="n">
        <f aca="false">COUNTA(BM111:BT111)</f>
        <v>8</v>
      </c>
      <c r="CG111" s="7" t="n">
        <f aca="false">COUNTA(BI111:BT111)</f>
        <v>12</v>
      </c>
      <c r="CH111" s="7" t="n">
        <f aca="false">COUNTA(BE111:BT111)</f>
        <v>16</v>
      </c>
      <c r="CI111" s="7" t="n">
        <f aca="false">COUNTA(AU111:BT111)</f>
        <v>26</v>
      </c>
      <c r="CJ111" s="7" t="n">
        <f aca="false">COUNTA(U111:BT111)</f>
        <v>52</v>
      </c>
      <c r="CK111" s="7" t="n">
        <f aca="false">COUNTA(BT111)</f>
        <v>1</v>
      </c>
      <c r="CL111" s="7" t="n">
        <f aca="false">COUNTA(D111:BT111)</f>
        <v>69</v>
      </c>
      <c r="CM111" s="13" t="str">
        <f aca="false">IF(AND(CE111=1,CJ111=1,BT111&lt;&gt;""),"5.ENTRANTES",IF(AND(CE111&lt;&gt;0,CE111/RIGHT($CE$1,1)&gt;=0.5,CJ111=CE111),"4.RECENTES",IF(AND(CF111&lt;&gt;0,CF111/RIGHT($CF$1,1)&gt;=0.5,CJ111=CF111),"4.RECENTES",IF(AND(CG111&lt;&gt;0,CG111/RIGHT($CG$1,2)&gt;=0.5,CJ111=CG111),"4.RECENTES",IF(AND(CH111&lt;&gt;0,CH111/RIGHT($CH$1,2)&gt;=0.5,CJ111=CH111),"4.RECENTES",IF(AND(CI111&lt;&gt;0,CI111/RIGHT($CI$1,2)&gt;=0.5,CJ111=CI111),"4.RECENTES",IF(AND(CE111=0,CF111=0,CG111=0,CH111=0),"3.INATIVOS",IF(CJ111/RIGHT($CJ$1,2)&lt;0.5,"2.INTERMITENTES","1.ORDINÁRIOS"))))))))</f>
        <v>1.ORDINÁRIOS</v>
      </c>
      <c r="CN111" s="14" t="n">
        <f aca="false">IF(AND(CE111=1,CJ111=1,BT111&lt;&gt;""),BT111,IF(AND(CE111&lt;&gt;0,CE111/RIGHT($CE$1,1)&gt;=0.5,CJ111=CE111),MAX(BV111:CC111),IF(AND(CF111&lt;&gt;0,CF111/RIGHT($CF$1,1)&gt;=0.5,CJ111=CF111),MAX(BV111:CC111),IF(AND(CG111&lt;&gt;0,CG111/RIGHT($CG$1,2)&gt;=0.5,CJ111=CG111),MAX(BV111:CC111),IF(AND(CH111&lt;&gt;0,CH111/RIGHT($CH$1,2)&gt;=0.5,CJ111=CH111),MAX(BV111:CC111),IF(AND(CI111&lt;&gt;0,CI111/RIGHT($CI$1,2)&gt;=0.5,CJ111=CI111),MAX(BV111:CC111),IF(AND(CE111=0,CF111=0,CG111=0,CH111=0),0,IF(CJ111/RIGHT($CJ$1,2)&lt;0.5,ROUND(BU111/RIGHT($CJ$1,2),0),MAX(BV111:CC111)))))))))</f>
        <v>780</v>
      </c>
      <c r="CO111" s="14" t="n">
        <f aca="false">CN111*3</f>
        <v>2340</v>
      </c>
      <c r="CP111" s="15" t="n">
        <v>1750</v>
      </c>
      <c r="CQ111" s="16" t="n">
        <f aca="false">IF((CO111-CP111)&lt;0,0,(CO111-CP111))</f>
        <v>590</v>
      </c>
      <c r="CR111" s="7"/>
    </row>
    <row r="112" customFormat="false" ht="12.75" hidden="false" customHeight="true" outlineLevel="0" collapsed="false">
      <c r="A112" s="7" t="s">
        <v>95</v>
      </c>
      <c r="B112" s="7" t="s">
        <v>206</v>
      </c>
      <c r="C112" s="8" t="n">
        <v>10001003</v>
      </c>
      <c r="D112" s="9" t="n">
        <v>9</v>
      </c>
      <c r="E112" s="9" t="n">
        <v>16</v>
      </c>
      <c r="F112" s="9" t="n">
        <v>18</v>
      </c>
      <c r="G112" s="9" t="n">
        <v>12</v>
      </c>
      <c r="H112" s="9" t="n">
        <v>8</v>
      </c>
      <c r="I112" s="9" t="n">
        <v>24</v>
      </c>
      <c r="J112" s="9" t="n">
        <v>33</v>
      </c>
      <c r="K112" s="9" t="n">
        <v>13</v>
      </c>
      <c r="L112" s="9" t="n">
        <v>21</v>
      </c>
      <c r="M112" s="9" t="n">
        <v>21</v>
      </c>
      <c r="N112" s="9" t="n">
        <v>18</v>
      </c>
      <c r="O112" s="9" t="n">
        <v>8</v>
      </c>
      <c r="P112" s="9" t="n">
        <v>15</v>
      </c>
      <c r="Q112" s="9" t="n">
        <v>11</v>
      </c>
      <c r="R112" s="9" t="n">
        <v>16</v>
      </c>
      <c r="S112" s="9" t="n">
        <v>5</v>
      </c>
      <c r="T112" s="9" t="n">
        <v>17</v>
      </c>
      <c r="U112" s="9" t="n">
        <v>9</v>
      </c>
      <c r="V112" s="9" t="n">
        <v>12</v>
      </c>
      <c r="W112" s="9" t="n">
        <v>9</v>
      </c>
      <c r="X112" s="9" t="n">
        <v>8</v>
      </c>
      <c r="Y112" s="9" t="n">
        <v>8</v>
      </c>
      <c r="Z112" s="9" t="n">
        <v>11</v>
      </c>
      <c r="AA112" s="9" t="n">
        <v>17</v>
      </c>
      <c r="AB112" s="9" t="n">
        <v>17</v>
      </c>
      <c r="AC112" s="9" t="n">
        <v>30</v>
      </c>
      <c r="AD112" s="9" t="n">
        <v>19</v>
      </c>
      <c r="AE112" s="9" t="n">
        <v>26</v>
      </c>
      <c r="AF112" s="9" t="n">
        <v>9</v>
      </c>
      <c r="AG112" s="9" t="n">
        <v>24</v>
      </c>
      <c r="AH112" s="9" t="n">
        <v>41</v>
      </c>
      <c r="AI112" s="9" t="n">
        <v>30</v>
      </c>
      <c r="AJ112" s="9" t="n">
        <v>24</v>
      </c>
      <c r="AK112" s="9" t="n">
        <v>46</v>
      </c>
      <c r="AL112" s="9" t="n">
        <v>33</v>
      </c>
      <c r="AM112" s="9" t="n">
        <v>33</v>
      </c>
      <c r="AN112" s="9" t="n">
        <v>43</v>
      </c>
      <c r="AO112" s="9" t="n">
        <v>25</v>
      </c>
      <c r="AP112" s="9" t="n">
        <v>33</v>
      </c>
      <c r="AQ112" s="9" t="n">
        <v>37</v>
      </c>
      <c r="AR112" s="9" t="n">
        <v>42</v>
      </c>
      <c r="AS112" s="9" t="n">
        <v>27</v>
      </c>
      <c r="AT112" s="9" t="n">
        <v>41</v>
      </c>
      <c r="AU112" s="9" t="n">
        <v>24</v>
      </c>
      <c r="AV112" s="9" t="n">
        <v>11</v>
      </c>
      <c r="AW112" s="9" t="n">
        <v>17</v>
      </c>
      <c r="AX112" s="9" t="n">
        <v>9</v>
      </c>
      <c r="AY112" s="9" t="n">
        <v>11</v>
      </c>
      <c r="AZ112" s="9" t="n">
        <v>24</v>
      </c>
      <c r="BA112" s="9" t="n">
        <v>58</v>
      </c>
      <c r="BB112" s="9" t="n">
        <v>41</v>
      </c>
      <c r="BC112" s="9" t="n">
        <v>23</v>
      </c>
      <c r="BD112" s="9" t="n">
        <v>37</v>
      </c>
      <c r="BE112" s="9" t="n">
        <v>25</v>
      </c>
      <c r="BF112" s="9" t="n">
        <v>30</v>
      </c>
      <c r="BG112" s="9" t="n">
        <v>39</v>
      </c>
      <c r="BH112" s="9" t="n">
        <v>27</v>
      </c>
      <c r="BI112" s="9" t="n">
        <v>37</v>
      </c>
      <c r="BJ112" s="9" t="n">
        <v>28</v>
      </c>
      <c r="BK112" s="9" t="n">
        <v>34</v>
      </c>
      <c r="BL112" s="9" t="n">
        <v>20</v>
      </c>
      <c r="BM112" s="9" t="n">
        <v>15</v>
      </c>
      <c r="BN112" s="9" t="n">
        <v>23</v>
      </c>
      <c r="BO112" s="9" t="n">
        <v>22</v>
      </c>
      <c r="BP112" s="9" t="n">
        <v>23</v>
      </c>
      <c r="BQ112" s="9" t="n">
        <v>9</v>
      </c>
      <c r="BR112" s="9" t="n">
        <v>19</v>
      </c>
      <c r="BS112" s="9" t="n">
        <v>12</v>
      </c>
      <c r="BT112" s="9" t="n">
        <v>12</v>
      </c>
      <c r="BU112" s="10" t="n">
        <v>1549</v>
      </c>
      <c r="BV112" s="11" t="n">
        <f aca="false">IF(ISERROR(ROUND(MEDIAN(BQ112:BT112),0)),0,ROUND(MEDIAN(BQ112:BT112),0))</f>
        <v>12</v>
      </c>
      <c r="BW112" s="11" t="n">
        <f aca="false">IF(ISERROR(ROUND(MEDIAN(BM112:BT112),0)),0,ROUND(MEDIAN(BM112:BT112),0))</f>
        <v>17</v>
      </c>
      <c r="BX112" s="11" t="n">
        <f aca="false">IF(ISERROR(ROUND(MEDIAN(BI112:BT112),0)),0,ROUND(MEDIAN(BI112:BT112),0))</f>
        <v>21</v>
      </c>
      <c r="BY112" s="11" t="n">
        <f aca="false">IF(ISERROR(ROUND(MEDIAN(BE112:BT112),0)),0,ROUND(MEDIAN(BE112:BT112),0))</f>
        <v>23</v>
      </c>
      <c r="BZ112" s="11" t="n">
        <f aca="false">IF(ISERROR(ROUND(MEDIAN(AU112:BT112),0)),0,ROUND(MEDIAN(AU112:BT112),0))</f>
        <v>23</v>
      </c>
      <c r="CA112" s="12" t="n">
        <f aca="false">IF(ISERROR(ROUND(MEDIAN(U112:BT112),0)),0,ROUND(MEDIAN(U112:BT112),0))</f>
        <v>24</v>
      </c>
      <c r="CB112" s="12" t="n">
        <f aca="false">IF(ISERROR(ROUND(MEDIAN(BT112),0)),0,ROUND(MEDIAN(BT112),0))</f>
        <v>12</v>
      </c>
      <c r="CC112" s="12" t="n">
        <f aca="false">IF(ISERROR(ROUND(MEDIAN(D112:BT112),0)),0,ROUND(MEDIAN(D112:BT112),0))</f>
        <v>21</v>
      </c>
      <c r="CD112" s="12" t="n">
        <f aca="false">MAX(D112:BT112)</f>
        <v>58</v>
      </c>
      <c r="CE112" s="7" t="n">
        <f aca="false">COUNTA(BQ112:BT112)</f>
        <v>4</v>
      </c>
      <c r="CF112" s="7" t="n">
        <f aca="false">COUNTA(BM112:BT112)</f>
        <v>8</v>
      </c>
      <c r="CG112" s="7" t="n">
        <f aca="false">COUNTA(BI112:BT112)</f>
        <v>12</v>
      </c>
      <c r="CH112" s="7" t="n">
        <f aca="false">COUNTA(BE112:BT112)</f>
        <v>16</v>
      </c>
      <c r="CI112" s="7" t="n">
        <f aca="false">COUNTA(AU112:BT112)</f>
        <v>26</v>
      </c>
      <c r="CJ112" s="7" t="n">
        <f aca="false">COUNTA(U112:BT112)</f>
        <v>52</v>
      </c>
      <c r="CK112" s="7" t="n">
        <f aca="false">COUNTA(BT112)</f>
        <v>1</v>
      </c>
      <c r="CL112" s="7" t="n">
        <f aca="false">COUNTA(D112:BT112)</f>
        <v>69</v>
      </c>
      <c r="CM112" s="13" t="str">
        <f aca="false">IF(AND(CE112=1,CJ112=1,BT112&lt;&gt;""),"5.ENTRANTES",IF(AND(CE112&lt;&gt;0,CE112/RIGHT($CE$1,1)&gt;=0.5,CJ112=CE112),"4.RECENTES",IF(AND(CF112&lt;&gt;0,CF112/RIGHT($CF$1,1)&gt;=0.5,CJ112=CF112),"4.RECENTES",IF(AND(CG112&lt;&gt;0,CG112/RIGHT($CG$1,2)&gt;=0.5,CJ112=CG112),"4.RECENTES",IF(AND(CH112&lt;&gt;0,CH112/RIGHT($CH$1,2)&gt;=0.5,CJ112=CH112),"4.RECENTES",IF(AND(CI112&lt;&gt;0,CI112/RIGHT($CI$1,2)&gt;=0.5,CJ112=CI112),"4.RECENTES",IF(AND(CE112=0,CF112=0,CG112=0,CH112=0),"3.INATIVOS",IF(CJ112/RIGHT($CJ$1,2)&lt;0.5,"2.INTERMITENTES","1.ORDINÁRIOS"))))))))</f>
        <v>1.ORDINÁRIOS</v>
      </c>
      <c r="CN112" s="14" t="n">
        <f aca="false">IF(AND(CE112=1,CJ112=1,BT112&lt;&gt;""),BT112,IF(AND(CE112&lt;&gt;0,CE112/RIGHT($CE$1,1)&gt;=0.5,CJ112=CE112),MAX(BV112:CC112),IF(AND(CF112&lt;&gt;0,CF112/RIGHT($CF$1,1)&gt;=0.5,CJ112=CF112),MAX(BV112:CC112),IF(AND(CG112&lt;&gt;0,CG112/RIGHT($CG$1,2)&gt;=0.5,CJ112=CG112),MAX(BV112:CC112),IF(AND(CH112&lt;&gt;0,CH112/RIGHT($CH$1,2)&gt;=0.5,CJ112=CH112),MAX(BV112:CC112),IF(AND(CI112&lt;&gt;0,CI112/RIGHT($CI$1,2)&gt;=0.5,CJ112=CI112),MAX(BV112:CC112),IF(AND(CE112=0,CF112=0,CG112=0,CH112=0),0,IF(CJ112/RIGHT($CJ$1,2)&lt;0.5,ROUND(BU112/RIGHT($CJ$1,2),0),MAX(BV112:CC112)))))))))</f>
        <v>24</v>
      </c>
      <c r="CO112" s="14" t="n">
        <f aca="false">CN112*3</f>
        <v>72</v>
      </c>
      <c r="CP112" s="15" t="n">
        <v>62</v>
      </c>
      <c r="CQ112" s="16" t="n">
        <f aca="false">IF((CO112-CP112)&lt;0,0,(CO112-CP112))</f>
        <v>10</v>
      </c>
      <c r="CR112" s="7"/>
    </row>
    <row r="113" customFormat="false" ht="12.75" hidden="false" customHeight="true" outlineLevel="0" collapsed="false">
      <c r="A113" s="7" t="s">
        <v>95</v>
      </c>
      <c r="B113" s="7" t="s">
        <v>207</v>
      </c>
      <c r="C113" s="8" t="n">
        <v>10001004</v>
      </c>
      <c r="D113" s="9" t="n">
        <v>30</v>
      </c>
      <c r="E113" s="9" t="n">
        <v>249</v>
      </c>
      <c r="F113" s="9" t="n">
        <v>552</v>
      </c>
      <c r="G113" s="9" t="n">
        <v>615</v>
      </c>
      <c r="H113" s="9" t="n">
        <v>187</v>
      </c>
      <c r="I113" s="9" t="n">
        <v>510</v>
      </c>
      <c r="J113" s="9" t="n">
        <v>426</v>
      </c>
      <c r="K113" s="9" t="n">
        <v>312</v>
      </c>
      <c r="L113" s="9" t="n">
        <v>432</v>
      </c>
      <c r="M113" s="9" t="n">
        <v>299</v>
      </c>
      <c r="N113" s="9" t="n">
        <v>420</v>
      </c>
      <c r="O113" s="9" t="n">
        <v>282</v>
      </c>
      <c r="P113" s="9" t="n">
        <v>456</v>
      </c>
      <c r="Q113" s="9" t="n">
        <v>525</v>
      </c>
      <c r="R113" s="9" t="n">
        <v>504</v>
      </c>
      <c r="S113" s="9" t="n">
        <v>465</v>
      </c>
      <c r="T113" s="9" t="n">
        <v>510</v>
      </c>
      <c r="U113" s="9" t="n">
        <v>450</v>
      </c>
      <c r="V113" s="9" t="n">
        <v>495</v>
      </c>
      <c r="W113" s="9" t="n">
        <v>465</v>
      </c>
      <c r="X113" s="9" t="n">
        <v>660</v>
      </c>
      <c r="Y113" s="9" t="n">
        <v>945</v>
      </c>
      <c r="Z113" s="9" t="n">
        <v>540</v>
      </c>
      <c r="AA113" s="9" t="n">
        <v>1012</v>
      </c>
      <c r="AB113" s="9" t="n">
        <v>879</v>
      </c>
      <c r="AC113" s="9" t="n">
        <v>735</v>
      </c>
      <c r="AD113" s="9" t="n">
        <v>840</v>
      </c>
      <c r="AE113" s="9" t="n">
        <v>810</v>
      </c>
      <c r="AF113" s="9" t="n">
        <v>617</v>
      </c>
      <c r="AG113" s="9" t="n">
        <v>959</v>
      </c>
      <c r="AH113" s="9" t="n">
        <v>795</v>
      </c>
      <c r="AI113" s="9" t="n">
        <v>840</v>
      </c>
      <c r="AJ113" s="9" t="n">
        <v>705</v>
      </c>
      <c r="AK113" s="9" t="n">
        <v>735</v>
      </c>
      <c r="AL113" s="9" t="n">
        <v>909</v>
      </c>
      <c r="AM113" s="9" t="n">
        <v>559</v>
      </c>
      <c r="AN113" s="9" t="n">
        <v>804</v>
      </c>
      <c r="AO113" s="9" t="n">
        <v>252</v>
      </c>
      <c r="AP113" s="9" t="n">
        <v>813</v>
      </c>
      <c r="AQ113" s="9" t="n">
        <v>822</v>
      </c>
      <c r="AR113" s="9" t="n">
        <v>697</v>
      </c>
      <c r="AS113" s="9" t="n">
        <v>1001</v>
      </c>
      <c r="AT113" s="9" t="n">
        <v>762</v>
      </c>
      <c r="AU113" s="9" t="n">
        <v>403</v>
      </c>
      <c r="AV113" s="9" t="n">
        <v>420</v>
      </c>
      <c r="AW113" s="9" t="n">
        <v>630</v>
      </c>
      <c r="AX113" s="9" t="n">
        <v>493</v>
      </c>
      <c r="AY113" s="9" t="n">
        <v>282</v>
      </c>
      <c r="AZ113" s="9" t="n">
        <v>609</v>
      </c>
      <c r="BA113" s="9" t="n">
        <v>974</v>
      </c>
      <c r="BB113" s="9" t="n">
        <v>562</v>
      </c>
      <c r="BC113" s="9" t="n">
        <v>783</v>
      </c>
      <c r="BD113" s="9" t="n">
        <v>580</v>
      </c>
      <c r="BE113" s="9" t="n">
        <v>504</v>
      </c>
      <c r="BF113" s="9" t="n">
        <v>664</v>
      </c>
      <c r="BG113" s="9" t="n">
        <v>426</v>
      </c>
      <c r="BH113" s="9" t="n">
        <v>900</v>
      </c>
      <c r="BI113" s="9" t="n">
        <v>771</v>
      </c>
      <c r="BJ113" s="9" t="n">
        <v>672</v>
      </c>
      <c r="BK113" s="9" t="n">
        <v>768</v>
      </c>
      <c r="BL113" s="9" t="n">
        <v>514</v>
      </c>
      <c r="BM113" s="9" t="n">
        <v>576</v>
      </c>
      <c r="BN113" s="9" t="n">
        <v>624</v>
      </c>
      <c r="BO113" s="9" t="n">
        <v>648</v>
      </c>
      <c r="BP113" s="9" t="n">
        <v>555</v>
      </c>
      <c r="BQ113" s="9" t="n">
        <v>567</v>
      </c>
      <c r="BR113" s="9" t="n">
        <v>591</v>
      </c>
      <c r="BS113" s="9" t="n">
        <v>387</v>
      </c>
      <c r="BT113" s="9" t="n">
        <v>346</v>
      </c>
      <c r="BU113" s="10" t="n">
        <v>41124</v>
      </c>
      <c r="BV113" s="11" t="n">
        <f aca="false">IF(ISERROR(ROUND(MEDIAN(BQ113:BT113),0)),0,ROUND(MEDIAN(BQ113:BT113),0))</f>
        <v>477</v>
      </c>
      <c r="BW113" s="11" t="n">
        <f aca="false">IF(ISERROR(ROUND(MEDIAN(BM113:BT113),0)),0,ROUND(MEDIAN(BM113:BT113),0))</f>
        <v>572</v>
      </c>
      <c r="BX113" s="11" t="n">
        <f aca="false">IF(ISERROR(ROUND(MEDIAN(BI113:BT113),0)),0,ROUND(MEDIAN(BI113:BT113),0))</f>
        <v>584</v>
      </c>
      <c r="BY113" s="11" t="n">
        <f aca="false">IF(ISERROR(ROUND(MEDIAN(BE113:BT113),0)),0,ROUND(MEDIAN(BE113:BT113),0))</f>
        <v>584</v>
      </c>
      <c r="BZ113" s="11" t="n">
        <f aca="false">IF(ISERROR(ROUND(MEDIAN(AU113:BT113),0)),0,ROUND(MEDIAN(AU113:BT113),0))</f>
        <v>578</v>
      </c>
      <c r="CA113" s="12" t="n">
        <f aca="false">IF(ISERROR(ROUND(MEDIAN(U113:BT113),0)),0,ROUND(MEDIAN(U113:BT113),0))</f>
        <v>654</v>
      </c>
      <c r="CB113" s="12" t="n">
        <f aca="false">IF(ISERROR(ROUND(MEDIAN(BT113),0)),0,ROUND(MEDIAN(BT113),0))</f>
        <v>346</v>
      </c>
      <c r="CC113" s="12" t="n">
        <f aca="false">IF(ISERROR(ROUND(MEDIAN(D113:BT113),0)),0,ROUND(MEDIAN(D113:BT113),0))</f>
        <v>576</v>
      </c>
      <c r="CD113" s="12" t="n">
        <f aca="false">MAX(D113:BT113)</f>
        <v>1012</v>
      </c>
      <c r="CE113" s="7" t="n">
        <f aca="false">COUNTA(BQ113:BT113)</f>
        <v>4</v>
      </c>
      <c r="CF113" s="7" t="n">
        <f aca="false">COUNTA(BM113:BT113)</f>
        <v>8</v>
      </c>
      <c r="CG113" s="7" t="n">
        <f aca="false">COUNTA(BI113:BT113)</f>
        <v>12</v>
      </c>
      <c r="CH113" s="7" t="n">
        <f aca="false">COUNTA(BE113:BT113)</f>
        <v>16</v>
      </c>
      <c r="CI113" s="7" t="n">
        <f aca="false">COUNTA(AU113:BT113)</f>
        <v>26</v>
      </c>
      <c r="CJ113" s="7" t="n">
        <f aca="false">COUNTA(U113:BT113)</f>
        <v>52</v>
      </c>
      <c r="CK113" s="7" t="n">
        <f aca="false">COUNTA(BT113)</f>
        <v>1</v>
      </c>
      <c r="CL113" s="7" t="n">
        <f aca="false">COUNTA(D113:BT113)</f>
        <v>69</v>
      </c>
      <c r="CM113" s="13" t="str">
        <f aca="false">IF(AND(CE113=1,CJ113=1,BT113&lt;&gt;""),"5.ENTRANTES",IF(AND(CE113&lt;&gt;0,CE113/RIGHT($CE$1,1)&gt;=0.5,CJ113=CE113),"4.RECENTES",IF(AND(CF113&lt;&gt;0,CF113/RIGHT($CF$1,1)&gt;=0.5,CJ113=CF113),"4.RECENTES",IF(AND(CG113&lt;&gt;0,CG113/RIGHT($CG$1,2)&gt;=0.5,CJ113=CG113),"4.RECENTES",IF(AND(CH113&lt;&gt;0,CH113/RIGHT($CH$1,2)&gt;=0.5,CJ113=CH113),"4.RECENTES",IF(AND(CI113&lt;&gt;0,CI113/RIGHT($CI$1,2)&gt;=0.5,CJ113=CI113),"4.RECENTES",IF(AND(CE113=0,CF113=0,CG113=0,CH113=0),"3.INATIVOS",IF(CJ113/RIGHT($CJ$1,2)&lt;0.5,"2.INTERMITENTES","1.ORDINÁRIOS"))))))))</f>
        <v>1.ORDINÁRIOS</v>
      </c>
      <c r="CN113" s="14" t="n">
        <f aca="false">IF(AND(CE113=1,CJ113=1,BT113&lt;&gt;""),BT113,IF(AND(CE113&lt;&gt;0,CE113/RIGHT($CE$1,1)&gt;=0.5,CJ113=CE113),MAX(BV113:CC113),IF(AND(CF113&lt;&gt;0,CF113/RIGHT($CF$1,1)&gt;=0.5,CJ113=CF113),MAX(BV113:CC113),IF(AND(CG113&lt;&gt;0,CG113/RIGHT($CG$1,2)&gt;=0.5,CJ113=CG113),MAX(BV113:CC113),IF(AND(CH113&lt;&gt;0,CH113/RIGHT($CH$1,2)&gt;=0.5,CJ113=CH113),MAX(BV113:CC113),IF(AND(CI113&lt;&gt;0,CI113/RIGHT($CI$1,2)&gt;=0.5,CJ113=CI113),MAX(BV113:CC113),IF(AND(CE113=0,CF113=0,CG113=0,CH113=0),0,IF(CJ113/RIGHT($CJ$1,2)&lt;0.5,ROUND(BU113/RIGHT($CJ$1,2),0),MAX(BV113:CC113)))))))))</f>
        <v>654</v>
      </c>
      <c r="CO113" s="14" t="n">
        <f aca="false">CN113*3</f>
        <v>1962</v>
      </c>
      <c r="CP113" s="15" t="n">
        <v>1574</v>
      </c>
      <c r="CQ113" s="16" t="n">
        <f aca="false">IF((CO113-CP113)&lt;0,0,(CO113-CP113))</f>
        <v>388</v>
      </c>
      <c r="CR113" s="7"/>
    </row>
    <row r="114" customFormat="false" ht="12.75" hidden="false" customHeight="true" outlineLevel="0" collapsed="false">
      <c r="A114" s="7" t="s">
        <v>95</v>
      </c>
      <c r="B114" s="7" t="s">
        <v>208</v>
      </c>
      <c r="C114" s="8" t="n">
        <v>3000002</v>
      </c>
      <c r="D114" s="9"/>
      <c r="E114" s="9"/>
      <c r="F114" s="9" t="n">
        <v>40</v>
      </c>
      <c r="G114" s="9" t="n">
        <v>90</v>
      </c>
      <c r="H114" s="9"/>
      <c r="I114" s="9" t="n">
        <v>90</v>
      </c>
      <c r="J114" s="9"/>
      <c r="K114" s="9" t="n">
        <v>90</v>
      </c>
      <c r="L114" s="9"/>
      <c r="M114" s="9"/>
      <c r="N114" s="9"/>
      <c r="O114" s="9"/>
      <c r="P114" s="9"/>
      <c r="Q114" s="9"/>
      <c r="R114" s="9"/>
      <c r="S114" s="9"/>
      <c r="T114" s="9" t="n">
        <v>10</v>
      </c>
      <c r="U114" s="9"/>
      <c r="V114" s="9" t="n">
        <v>120</v>
      </c>
      <c r="W114" s="9" t="n">
        <v>90</v>
      </c>
      <c r="X114" s="9"/>
      <c r="Y114" s="9"/>
      <c r="Z114" s="9"/>
      <c r="AA114" s="9" t="n">
        <v>90</v>
      </c>
      <c r="AB114" s="9"/>
      <c r="AC114" s="9"/>
      <c r="AD114" s="9"/>
      <c r="AE114" s="9"/>
      <c r="AF114" s="9"/>
      <c r="AG114" s="9" t="n">
        <v>90</v>
      </c>
      <c r="AH114" s="9" t="n">
        <v>180</v>
      </c>
      <c r="AI114" s="9" t="n">
        <v>90</v>
      </c>
      <c r="AJ114" s="9"/>
      <c r="AK114" s="9"/>
      <c r="AL114" s="9" t="n">
        <v>30</v>
      </c>
      <c r="AM114" s="9" t="n">
        <v>90</v>
      </c>
      <c r="AN114" s="9"/>
      <c r="AO114" s="9"/>
      <c r="AP114" s="9" t="n">
        <v>60</v>
      </c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10" t="n">
        <v>1160</v>
      </c>
      <c r="BV114" s="11" t="n">
        <f aca="false">IF(ISERROR(ROUND(MEDIAN(BQ114:BT114),0)),0,ROUND(MEDIAN(BQ114:BT114),0))</f>
        <v>0</v>
      </c>
      <c r="BW114" s="11" t="n">
        <f aca="false">IF(ISERROR(ROUND(MEDIAN(BM114:BT114),0)),0,ROUND(MEDIAN(BM114:BT114),0))</f>
        <v>0</v>
      </c>
      <c r="BX114" s="11" t="n">
        <f aca="false">IF(ISERROR(ROUND(MEDIAN(BI114:BT114),0)),0,ROUND(MEDIAN(BI114:BT114),0))</f>
        <v>0</v>
      </c>
      <c r="BY114" s="11" t="n">
        <f aca="false">IF(ISERROR(ROUND(MEDIAN(BE114:BT114),0)),0,ROUND(MEDIAN(BE114:BT114),0))</f>
        <v>0</v>
      </c>
      <c r="BZ114" s="11" t="n">
        <f aca="false">IF(ISERROR(ROUND(MEDIAN(AU114:BT114),0)),0,ROUND(MEDIAN(AU114:BT114),0))</f>
        <v>0</v>
      </c>
      <c r="CA114" s="12" t="n">
        <f aca="false">IF(ISERROR(ROUND(MEDIAN(U114:BT114),0)),0,ROUND(MEDIAN(U114:BT114),0))</f>
        <v>90</v>
      </c>
      <c r="CB114" s="12" t="n">
        <f aca="false">IF(ISERROR(ROUND(MEDIAN(BT114),0)),0,ROUND(MEDIAN(BT114),0))</f>
        <v>0</v>
      </c>
      <c r="CC114" s="12" t="n">
        <f aca="false">IF(ISERROR(ROUND(MEDIAN(D114:BT114),0)),0,ROUND(MEDIAN(D114:BT114),0))</f>
        <v>90</v>
      </c>
      <c r="CD114" s="12" t="n">
        <f aca="false">MAX(D114:BT114)</f>
        <v>180</v>
      </c>
      <c r="CE114" s="7" t="n">
        <f aca="false">COUNTA(BQ114:BT114)</f>
        <v>0</v>
      </c>
      <c r="CF114" s="7" t="n">
        <f aca="false">COUNTA(BM114:BT114)</f>
        <v>0</v>
      </c>
      <c r="CG114" s="7" t="n">
        <f aca="false">COUNTA(BI114:BT114)</f>
        <v>0</v>
      </c>
      <c r="CH114" s="7" t="n">
        <f aca="false">COUNTA(BE114:BT114)</f>
        <v>0</v>
      </c>
      <c r="CI114" s="7" t="n">
        <f aca="false">COUNTA(AU114:BT114)</f>
        <v>0</v>
      </c>
      <c r="CJ114" s="7" t="n">
        <f aca="false">COUNTA(U114:BT114)</f>
        <v>9</v>
      </c>
      <c r="CK114" s="7" t="n">
        <f aca="false">COUNTA(BT114)</f>
        <v>0</v>
      </c>
      <c r="CL114" s="7" t="n">
        <f aca="false">COUNTA(D114:BT114)</f>
        <v>14</v>
      </c>
      <c r="CM114" s="19" t="str">
        <f aca="false">IF(AND(CE114=1,CJ114=1,BT114&lt;&gt;""),"5.ENTRANTES",IF(AND(CE114&lt;&gt;0,CE114/RIGHT($CE$1,1)&gt;=0.5,CJ114=CE114),"4.RECENTES",IF(AND(CF114&lt;&gt;0,CF114/RIGHT($CF$1,1)&gt;=0.5,CJ114=CF114),"4.RECENTES",IF(AND(CG114&lt;&gt;0,CG114/RIGHT($CG$1,2)&gt;=0.5,CJ114=CG114),"4.RECENTES",IF(AND(CH114&lt;&gt;0,CH114/RIGHT($CH$1,2)&gt;=0.5,CJ114=CH114),"4.RECENTES",IF(AND(CI114&lt;&gt;0,CI114/RIGHT($CI$1,2)&gt;=0.5,CJ114=CI114),"4.RECENTES",IF(AND(CE114=0,CF114=0,CG114=0,CH114=0),"3.INATIVOS",IF(CJ114/RIGHT($CJ$1,2)&lt;0.5,"2.INTERMITENTES","1.ORDINÁRIOS"))))))))</f>
        <v>3.INATIVOS</v>
      </c>
      <c r="CN114" s="20" t="n">
        <f aca="false">IF(AND(CE114=1,CJ114=1,BT114&lt;&gt;""),BT114,IF(AND(CE114&lt;&gt;0,CE114/RIGHT($CE$1,1)&gt;=0.5,CJ114=CE114),MAX(BV114:CC114),IF(AND(CF114&lt;&gt;0,CF114/RIGHT($CF$1,1)&gt;=0.5,CJ114=CF114),MAX(BV114:CC114),IF(AND(CG114&lt;&gt;0,CG114/RIGHT($CG$1,2)&gt;=0.5,CJ114=CG114),MAX(BV114:CC114),IF(AND(CH114&lt;&gt;0,CH114/RIGHT($CH$1,2)&gt;=0.5,CJ114=CH114),MAX(BV114:CC114),IF(AND(CI114&lt;&gt;0,CI114/RIGHT($CI$1,2)&gt;=0.5,CJ114=CI114),MAX(BV114:CC114),IF(AND(CE114=0,CF114=0,CG114=0,CH114=0),0,IF(CJ114/RIGHT($CJ$1,2)&lt;0.5,ROUND(BU114/RIGHT($CJ$1,2),0),MAX(BV114:CC114)))))))))</f>
        <v>0</v>
      </c>
      <c r="CO114" s="20" t="n">
        <f aca="false">CN114*3</f>
        <v>0</v>
      </c>
      <c r="CP114" s="15" t="n">
        <v>410</v>
      </c>
      <c r="CQ114" s="16" t="n">
        <f aca="false">IF((CO114-CP114)&lt;0,0,(CO114-CP114))</f>
        <v>0</v>
      </c>
      <c r="CR114" s="7"/>
    </row>
    <row r="115" customFormat="false" ht="12.75" hidden="false" customHeight="true" outlineLevel="0" collapsed="false">
      <c r="A115" s="7" t="s">
        <v>95</v>
      </c>
      <c r="B115" s="7" t="s">
        <v>209</v>
      </c>
      <c r="C115" s="8" t="n">
        <v>1000006</v>
      </c>
      <c r="D115" s="9" t="n">
        <v>630</v>
      </c>
      <c r="E115" s="9" t="n">
        <v>780</v>
      </c>
      <c r="F115" s="9" t="n">
        <v>690</v>
      </c>
      <c r="G115" s="9" t="n">
        <v>1080</v>
      </c>
      <c r="H115" s="9" t="n">
        <v>540</v>
      </c>
      <c r="I115" s="9" t="n">
        <v>570</v>
      </c>
      <c r="J115" s="9" t="n">
        <v>480</v>
      </c>
      <c r="K115" s="9" t="n">
        <v>810</v>
      </c>
      <c r="L115" s="9" t="n">
        <v>660</v>
      </c>
      <c r="M115" s="9" t="n">
        <v>630</v>
      </c>
      <c r="N115" s="9" t="n">
        <v>600</v>
      </c>
      <c r="O115" s="9" t="n">
        <v>780</v>
      </c>
      <c r="P115" s="9" t="n">
        <v>720</v>
      </c>
      <c r="Q115" s="9" t="n">
        <v>730</v>
      </c>
      <c r="R115" s="9" t="n">
        <v>510</v>
      </c>
      <c r="S115" s="9" t="n">
        <v>480</v>
      </c>
      <c r="T115" s="9" t="n">
        <v>1040</v>
      </c>
      <c r="U115" s="9" t="n">
        <v>660</v>
      </c>
      <c r="V115" s="9" t="n">
        <v>600</v>
      </c>
      <c r="W115" s="9" t="n">
        <v>180</v>
      </c>
      <c r="X115" s="9" t="n">
        <v>810</v>
      </c>
      <c r="Y115" s="9" t="n">
        <v>600</v>
      </c>
      <c r="Z115" s="9" t="n">
        <v>300</v>
      </c>
      <c r="AA115" s="9" t="n">
        <v>870</v>
      </c>
      <c r="AB115" s="9" t="n">
        <v>360</v>
      </c>
      <c r="AC115" s="9" t="n">
        <v>900</v>
      </c>
      <c r="AD115" s="9" t="n">
        <v>870</v>
      </c>
      <c r="AE115" s="9" t="n">
        <v>510</v>
      </c>
      <c r="AF115" s="9" t="n">
        <v>630</v>
      </c>
      <c r="AG115" s="9" t="n">
        <v>860</v>
      </c>
      <c r="AH115" s="9" t="n">
        <v>270</v>
      </c>
      <c r="AI115" s="9" t="n">
        <v>720</v>
      </c>
      <c r="AJ115" s="9" t="n">
        <v>420</v>
      </c>
      <c r="AK115" s="9" t="n">
        <v>750</v>
      </c>
      <c r="AL115" s="9" t="n">
        <v>750</v>
      </c>
      <c r="AM115" s="9" t="n">
        <v>540</v>
      </c>
      <c r="AN115" s="9" t="n">
        <v>570</v>
      </c>
      <c r="AO115" s="9" t="n">
        <v>450</v>
      </c>
      <c r="AP115" s="9" t="n">
        <v>1040</v>
      </c>
      <c r="AQ115" s="9" t="n">
        <v>700</v>
      </c>
      <c r="AR115" s="9" t="n">
        <v>630</v>
      </c>
      <c r="AS115" s="9" t="n">
        <v>600</v>
      </c>
      <c r="AT115" s="9" t="n">
        <v>690</v>
      </c>
      <c r="AU115" s="9" t="n">
        <v>450</v>
      </c>
      <c r="AV115" s="9" t="n">
        <v>360</v>
      </c>
      <c r="AW115" s="9" t="n">
        <v>780</v>
      </c>
      <c r="AX115" s="9" t="n">
        <v>780</v>
      </c>
      <c r="AY115" s="9" t="n">
        <v>120</v>
      </c>
      <c r="AZ115" s="9" t="n">
        <v>660</v>
      </c>
      <c r="BA115" s="9" t="n">
        <v>840</v>
      </c>
      <c r="BB115" s="9" t="n">
        <v>120</v>
      </c>
      <c r="BC115" s="9" t="n">
        <v>680</v>
      </c>
      <c r="BD115" s="9" t="n">
        <v>750</v>
      </c>
      <c r="BE115" s="9" t="n">
        <v>360</v>
      </c>
      <c r="BF115" s="9" t="n">
        <v>660</v>
      </c>
      <c r="BG115" s="9" t="n">
        <v>710</v>
      </c>
      <c r="BH115" s="9" t="n">
        <v>240</v>
      </c>
      <c r="BI115" s="9" t="n">
        <v>690</v>
      </c>
      <c r="BJ115" s="9" t="n">
        <v>480</v>
      </c>
      <c r="BK115" s="9" t="n">
        <v>120</v>
      </c>
      <c r="BL115" s="9" t="n">
        <v>930</v>
      </c>
      <c r="BM115" s="9" t="n">
        <v>450</v>
      </c>
      <c r="BN115" s="9" t="n">
        <v>870</v>
      </c>
      <c r="BO115" s="9" t="n">
        <v>690</v>
      </c>
      <c r="BP115" s="9" t="n">
        <v>420</v>
      </c>
      <c r="BQ115" s="9" t="n">
        <v>840</v>
      </c>
      <c r="BR115" s="9" t="n">
        <v>600</v>
      </c>
      <c r="BS115" s="9" t="n">
        <v>540</v>
      </c>
      <c r="BT115" s="9" t="n">
        <v>570</v>
      </c>
      <c r="BU115" s="10" t="n">
        <v>42720</v>
      </c>
      <c r="BV115" s="11" t="n">
        <f aca="false">IF(ISERROR(ROUND(MEDIAN(BQ115:BT115),0)),0,ROUND(MEDIAN(BQ115:BT115),0))</f>
        <v>585</v>
      </c>
      <c r="BW115" s="11" t="n">
        <f aca="false">IF(ISERROR(ROUND(MEDIAN(BM115:BT115),0)),0,ROUND(MEDIAN(BM115:BT115),0))</f>
        <v>585</v>
      </c>
      <c r="BX115" s="11" t="n">
        <f aca="false">IF(ISERROR(ROUND(MEDIAN(BI115:BT115),0)),0,ROUND(MEDIAN(BI115:BT115),0))</f>
        <v>585</v>
      </c>
      <c r="BY115" s="11" t="n">
        <f aca="false">IF(ISERROR(ROUND(MEDIAN(BE115:BT115),0)),0,ROUND(MEDIAN(BE115:BT115),0))</f>
        <v>585</v>
      </c>
      <c r="BZ115" s="11" t="n">
        <f aca="false">IF(ISERROR(ROUND(MEDIAN(AU115:BT115),0)),0,ROUND(MEDIAN(AU115:BT115),0))</f>
        <v>630</v>
      </c>
      <c r="CA115" s="12" t="n">
        <f aca="false">IF(ISERROR(ROUND(MEDIAN(U115:BT115),0)),0,ROUND(MEDIAN(U115:BT115),0))</f>
        <v>630</v>
      </c>
      <c r="CB115" s="12" t="n">
        <f aca="false">IF(ISERROR(ROUND(MEDIAN(BT115),0)),0,ROUND(MEDIAN(BT115),0))</f>
        <v>570</v>
      </c>
      <c r="CC115" s="12" t="n">
        <f aca="false">IF(ISERROR(ROUND(MEDIAN(D115:BT115),0)),0,ROUND(MEDIAN(D115:BT115),0))</f>
        <v>630</v>
      </c>
      <c r="CD115" s="12" t="n">
        <f aca="false">MAX(D115:BT115)</f>
        <v>1080</v>
      </c>
      <c r="CE115" s="7" t="n">
        <f aca="false">COUNTA(BQ115:BT115)</f>
        <v>4</v>
      </c>
      <c r="CF115" s="7" t="n">
        <f aca="false">COUNTA(BM115:BT115)</f>
        <v>8</v>
      </c>
      <c r="CG115" s="7" t="n">
        <f aca="false">COUNTA(BI115:BT115)</f>
        <v>12</v>
      </c>
      <c r="CH115" s="7" t="n">
        <f aca="false">COUNTA(BE115:BT115)</f>
        <v>16</v>
      </c>
      <c r="CI115" s="7" t="n">
        <f aca="false">COUNTA(AU115:BT115)</f>
        <v>26</v>
      </c>
      <c r="CJ115" s="7" t="n">
        <f aca="false">COUNTA(U115:BT115)</f>
        <v>52</v>
      </c>
      <c r="CK115" s="7" t="n">
        <f aca="false">COUNTA(BT115)</f>
        <v>1</v>
      </c>
      <c r="CL115" s="7" t="n">
        <f aca="false">COUNTA(D115:BT115)</f>
        <v>69</v>
      </c>
      <c r="CM115" s="13" t="str">
        <f aca="false">IF(AND(CE115=1,CJ115=1,BT115&lt;&gt;""),"5.ENTRANTES",IF(AND(CE115&lt;&gt;0,CE115/RIGHT($CE$1,1)&gt;=0.5,CJ115=CE115),"4.RECENTES",IF(AND(CF115&lt;&gt;0,CF115/RIGHT($CF$1,1)&gt;=0.5,CJ115=CF115),"4.RECENTES",IF(AND(CG115&lt;&gt;0,CG115/RIGHT($CG$1,2)&gt;=0.5,CJ115=CG115),"4.RECENTES",IF(AND(CH115&lt;&gt;0,CH115/RIGHT($CH$1,2)&gt;=0.5,CJ115=CH115),"4.RECENTES",IF(AND(CI115&lt;&gt;0,CI115/RIGHT($CI$1,2)&gt;=0.5,CJ115=CI115),"4.RECENTES",IF(AND(CE115=0,CF115=0,CG115=0,CH115=0),"3.INATIVOS",IF(CJ115/RIGHT($CJ$1,2)&lt;0.5,"2.INTERMITENTES","1.ORDINÁRIOS"))))))))</f>
        <v>1.ORDINÁRIOS</v>
      </c>
      <c r="CN115" s="14" t="n">
        <f aca="false">IF(AND(CE115=1,CJ115=1,BT115&lt;&gt;""),BT115,IF(AND(CE115&lt;&gt;0,CE115/RIGHT($CE$1,1)&gt;=0.5,CJ115=CE115),MAX(BV115:CC115),IF(AND(CF115&lt;&gt;0,CF115/RIGHT($CF$1,1)&gt;=0.5,CJ115=CF115),MAX(BV115:CC115),IF(AND(CG115&lt;&gt;0,CG115/RIGHT($CG$1,2)&gt;=0.5,CJ115=CG115),MAX(BV115:CC115),IF(AND(CH115&lt;&gt;0,CH115/RIGHT($CH$1,2)&gt;=0.5,CJ115=CH115),MAX(BV115:CC115),IF(AND(CI115&lt;&gt;0,CI115/RIGHT($CI$1,2)&gt;=0.5,CJ115=CI115),MAX(BV115:CC115),IF(AND(CE115=0,CF115=0,CG115=0,CH115=0),0,IF(CJ115/RIGHT($CJ$1,2)&lt;0.5,ROUND(BU115/RIGHT($CJ$1,2),0),MAX(BV115:CC115)))))))))</f>
        <v>630</v>
      </c>
      <c r="CO115" s="14" t="n">
        <f aca="false">CN115*3</f>
        <v>1890</v>
      </c>
      <c r="CP115" s="15" t="n">
        <v>1440</v>
      </c>
      <c r="CQ115" s="16" t="n">
        <f aca="false">IF((CO115-CP115)&lt;0,0,(CO115-CP115))</f>
        <v>450</v>
      </c>
      <c r="CR115" s="7"/>
    </row>
    <row r="116" customFormat="false" ht="12.75" hidden="false" customHeight="true" outlineLevel="0" collapsed="false">
      <c r="A116" s="7" t="s">
        <v>95</v>
      </c>
      <c r="B116" s="7" t="s">
        <v>210</v>
      </c>
      <c r="C116" s="8" t="n">
        <v>2000023</v>
      </c>
      <c r="D116" s="9" t="n">
        <v>20</v>
      </c>
      <c r="E116" s="9" t="n">
        <v>20</v>
      </c>
      <c r="F116" s="9"/>
      <c r="G116" s="9" t="n">
        <v>60</v>
      </c>
      <c r="H116" s="9"/>
      <c r="I116" s="9" t="n">
        <v>120</v>
      </c>
      <c r="J116" s="9" t="n">
        <v>140</v>
      </c>
      <c r="K116" s="9" t="n">
        <v>40</v>
      </c>
      <c r="L116" s="9" t="n">
        <v>80</v>
      </c>
      <c r="M116" s="9" t="n">
        <v>60</v>
      </c>
      <c r="N116" s="9" t="n">
        <v>40</v>
      </c>
      <c r="O116" s="9" t="n">
        <v>60</v>
      </c>
      <c r="P116" s="9" t="n">
        <v>100</v>
      </c>
      <c r="Q116" s="9" t="n">
        <v>40</v>
      </c>
      <c r="R116" s="9" t="n">
        <v>20</v>
      </c>
      <c r="S116" s="9" t="n">
        <v>80</v>
      </c>
      <c r="T116" s="9" t="n">
        <v>80</v>
      </c>
      <c r="U116" s="9" t="n">
        <v>80</v>
      </c>
      <c r="V116" s="9"/>
      <c r="W116" s="9" t="n">
        <v>60</v>
      </c>
      <c r="X116" s="9" t="n">
        <v>260</v>
      </c>
      <c r="Y116" s="9" t="n">
        <v>20</v>
      </c>
      <c r="Z116" s="9" t="n">
        <v>60</v>
      </c>
      <c r="AA116" s="9" t="n">
        <v>180</v>
      </c>
      <c r="AB116" s="9" t="n">
        <v>80</v>
      </c>
      <c r="AC116" s="9" t="n">
        <v>100</v>
      </c>
      <c r="AD116" s="9" t="n">
        <v>40</v>
      </c>
      <c r="AE116" s="9" t="n">
        <v>180</v>
      </c>
      <c r="AF116" s="9"/>
      <c r="AG116" s="9" t="n">
        <v>20</v>
      </c>
      <c r="AH116" s="9" t="n">
        <v>20</v>
      </c>
      <c r="AI116" s="9" t="n">
        <v>40</v>
      </c>
      <c r="AJ116" s="9" t="n">
        <v>60</v>
      </c>
      <c r="AK116" s="9" t="n">
        <v>20</v>
      </c>
      <c r="AL116" s="9" t="n">
        <v>60</v>
      </c>
      <c r="AM116" s="9" t="n">
        <v>20</v>
      </c>
      <c r="AN116" s="9"/>
      <c r="AO116" s="9" t="n">
        <v>20</v>
      </c>
      <c r="AP116" s="9" t="n">
        <v>60</v>
      </c>
      <c r="AQ116" s="9"/>
      <c r="AR116" s="9"/>
      <c r="AS116" s="9" t="n">
        <v>20</v>
      </c>
      <c r="AT116" s="9" t="n">
        <v>40</v>
      </c>
      <c r="AU116" s="9"/>
      <c r="AV116" s="9" t="n">
        <v>80</v>
      </c>
      <c r="AW116" s="9" t="n">
        <v>20</v>
      </c>
      <c r="AX116" s="9" t="n">
        <v>100</v>
      </c>
      <c r="AY116" s="9" t="n">
        <v>20</v>
      </c>
      <c r="AZ116" s="9" t="n">
        <v>120</v>
      </c>
      <c r="BA116" s="9" t="n">
        <v>40</v>
      </c>
      <c r="BB116" s="9" t="n">
        <v>20</v>
      </c>
      <c r="BC116" s="9" t="n">
        <v>90</v>
      </c>
      <c r="BD116" s="9" t="n">
        <v>140</v>
      </c>
      <c r="BE116" s="9" t="n">
        <v>20</v>
      </c>
      <c r="BF116" s="9" t="n">
        <v>130</v>
      </c>
      <c r="BG116" s="9" t="n">
        <v>20</v>
      </c>
      <c r="BH116" s="9" t="n">
        <v>20</v>
      </c>
      <c r="BI116" s="9" t="n">
        <v>40</v>
      </c>
      <c r="BJ116" s="9"/>
      <c r="BK116" s="9" t="n">
        <v>20</v>
      </c>
      <c r="BL116" s="9" t="n">
        <v>100</v>
      </c>
      <c r="BM116" s="9"/>
      <c r="BN116" s="9" t="n">
        <v>20</v>
      </c>
      <c r="BO116" s="9"/>
      <c r="BP116" s="9" t="n">
        <v>20</v>
      </c>
      <c r="BQ116" s="9" t="n">
        <v>40</v>
      </c>
      <c r="BR116" s="9" t="n">
        <v>60</v>
      </c>
      <c r="BS116" s="9"/>
      <c r="BT116" s="9" t="n">
        <v>40</v>
      </c>
      <c r="BU116" s="10" t="n">
        <v>3560</v>
      </c>
      <c r="BV116" s="11" t="n">
        <f aca="false">IF(ISERROR(ROUND(MEDIAN(BQ116:BT116),0)),0,ROUND(MEDIAN(BQ116:BT116),0))</f>
        <v>40</v>
      </c>
      <c r="BW116" s="11" t="n">
        <f aca="false">IF(ISERROR(ROUND(MEDIAN(BM116:BT116),0)),0,ROUND(MEDIAN(BM116:BT116),0))</f>
        <v>40</v>
      </c>
      <c r="BX116" s="11" t="n">
        <f aca="false">IF(ISERROR(ROUND(MEDIAN(BI116:BT116),0)),0,ROUND(MEDIAN(BI116:BT116),0))</f>
        <v>40</v>
      </c>
      <c r="BY116" s="11" t="n">
        <f aca="false">IF(ISERROR(ROUND(MEDIAN(BE116:BT116),0)),0,ROUND(MEDIAN(BE116:BT116),0))</f>
        <v>30</v>
      </c>
      <c r="BZ116" s="11" t="n">
        <f aca="false">IF(ISERROR(ROUND(MEDIAN(AU116:BT116),0)),0,ROUND(MEDIAN(AU116:BT116),0))</f>
        <v>40</v>
      </c>
      <c r="CA116" s="12" t="n">
        <f aca="false">IF(ISERROR(ROUND(MEDIAN(U116:BT116),0)),0,ROUND(MEDIAN(U116:BT116),0))</f>
        <v>40</v>
      </c>
      <c r="CB116" s="12" t="n">
        <f aca="false">IF(ISERROR(ROUND(MEDIAN(BT116),0)),0,ROUND(MEDIAN(BT116),0))</f>
        <v>40</v>
      </c>
      <c r="CC116" s="12" t="n">
        <f aca="false">IF(ISERROR(ROUND(MEDIAN(D116:BT116),0)),0,ROUND(MEDIAN(D116:BT116),0))</f>
        <v>40</v>
      </c>
      <c r="CD116" s="12" t="n">
        <f aca="false">MAX(D116:BT116)</f>
        <v>260</v>
      </c>
      <c r="CE116" s="7" t="n">
        <f aca="false">COUNTA(BQ116:BT116)</f>
        <v>3</v>
      </c>
      <c r="CF116" s="7" t="n">
        <f aca="false">COUNTA(BM116:BT116)</f>
        <v>5</v>
      </c>
      <c r="CG116" s="7" t="n">
        <f aca="false">COUNTA(BI116:BT116)</f>
        <v>8</v>
      </c>
      <c r="CH116" s="7" t="n">
        <f aca="false">COUNTA(BE116:BT116)</f>
        <v>12</v>
      </c>
      <c r="CI116" s="7" t="n">
        <f aca="false">COUNTA(AU116:BT116)</f>
        <v>21</v>
      </c>
      <c r="CJ116" s="7" t="n">
        <f aca="false">COUNTA(U116:BT116)</f>
        <v>42</v>
      </c>
      <c r="CK116" s="7" t="n">
        <f aca="false">COUNTA(BT116)</f>
        <v>1</v>
      </c>
      <c r="CL116" s="7" t="n">
        <f aca="false">COUNTA(D116:BT116)</f>
        <v>57</v>
      </c>
      <c r="CM116" s="13" t="str">
        <f aca="false">IF(AND(CE116=1,CJ116=1,BT116&lt;&gt;""),"5.ENTRANTES",IF(AND(CE116&lt;&gt;0,CE116/RIGHT($CE$1,1)&gt;=0.5,CJ116=CE116),"4.RECENTES",IF(AND(CF116&lt;&gt;0,CF116/RIGHT($CF$1,1)&gt;=0.5,CJ116=CF116),"4.RECENTES",IF(AND(CG116&lt;&gt;0,CG116/RIGHT($CG$1,2)&gt;=0.5,CJ116=CG116),"4.RECENTES",IF(AND(CH116&lt;&gt;0,CH116/RIGHT($CH$1,2)&gt;=0.5,CJ116=CH116),"4.RECENTES",IF(AND(CI116&lt;&gt;0,CI116/RIGHT($CI$1,2)&gt;=0.5,CJ116=CI116),"4.RECENTES",IF(AND(CE116=0,CF116=0,CG116=0,CH116=0),"3.INATIVOS",IF(CJ116/RIGHT($CJ$1,2)&lt;0.5,"2.INTERMITENTES","1.ORDINÁRIOS"))))))))</f>
        <v>1.ORDINÁRIOS</v>
      </c>
      <c r="CN116" s="14" t="n">
        <f aca="false">IF(AND(CE116=1,CJ116=1,BT116&lt;&gt;""),BT116,IF(AND(CE116&lt;&gt;0,CE116/RIGHT($CE$1,1)&gt;=0.5,CJ116=CE116),MAX(BV116:CC116),IF(AND(CF116&lt;&gt;0,CF116/RIGHT($CF$1,1)&gt;=0.5,CJ116=CF116),MAX(BV116:CC116),IF(AND(CG116&lt;&gt;0,CG116/RIGHT($CG$1,2)&gt;=0.5,CJ116=CG116),MAX(BV116:CC116),IF(AND(CH116&lt;&gt;0,CH116/RIGHT($CH$1,2)&gt;=0.5,CJ116=CH116),MAX(BV116:CC116),IF(AND(CI116&lt;&gt;0,CI116/RIGHT($CI$1,2)&gt;=0.5,CJ116=CI116),MAX(BV116:CC116),IF(AND(CE116=0,CF116=0,CG116=0,CH116=0),0,IF(CJ116/RIGHT($CJ$1,2)&lt;0.5,ROUND(BU116/RIGHT($CJ$1,2),0),MAX(BV116:CC116)))))))))</f>
        <v>40</v>
      </c>
      <c r="CO116" s="14" t="n">
        <f aca="false">CN116*3</f>
        <v>120</v>
      </c>
      <c r="CP116" s="15" t="n">
        <v>240</v>
      </c>
      <c r="CQ116" s="16" t="n">
        <f aca="false">IF((CO116-CP116)&lt;0,0,(CO116-CP116))</f>
        <v>0</v>
      </c>
      <c r="CR116" s="7"/>
    </row>
    <row r="117" customFormat="false" ht="12.75" hidden="false" customHeight="true" outlineLevel="0" collapsed="false">
      <c r="A117" s="7" t="s">
        <v>95</v>
      </c>
      <c r="B117" s="7" t="s">
        <v>211</v>
      </c>
      <c r="C117" s="8" t="n">
        <v>8001007</v>
      </c>
      <c r="D117" s="9"/>
      <c r="E117" s="9" t="n">
        <v>60</v>
      </c>
      <c r="F117" s="9"/>
      <c r="G117" s="9" t="n">
        <v>30</v>
      </c>
      <c r="H117" s="9"/>
      <c r="I117" s="9" t="n">
        <v>30</v>
      </c>
      <c r="J117" s="9"/>
      <c r="K117" s="9"/>
      <c r="L117" s="9" t="n">
        <v>60</v>
      </c>
      <c r="M117" s="9"/>
      <c r="N117" s="9"/>
      <c r="O117" s="9"/>
      <c r="P117" s="9" t="n">
        <v>30</v>
      </c>
      <c r="Q117" s="9"/>
      <c r="R117" s="9" t="n">
        <v>30</v>
      </c>
      <c r="S117" s="9"/>
      <c r="T117" s="9"/>
      <c r="U117" s="9" t="n">
        <v>30</v>
      </c>
      <c r="V117" s="9" t="n">
        <v>60</v>
      </c>
      <c r="W117" s="9"/>
      <c r="X117" s="9"/>
      <c r="Y117" s="9"/>
      <c r="Z117" s="9" t="n">
        <v>30</v>
      </c>
      <c r="AA117" s="9" t="n">
        <v>60</v>
      </c>
      <c r="AB117" s="9"/>
      <c r="AC117" s="9"/>
      <c r="AD117" s="9" t="n">
        <v>30</v>
      </c>
      <c r="AE117" s="9" t="n">
        <v>60</v>
      </c>
      <c r="AF117" s="9"/>
      <c r="AG117" s="9"/>
      <c r="AH117" s="9" t="n">
        <v>30</v>
      </c>
      <c r="AI117" s="9"/>
      <c r="AJ117" s="9"/>
      <c r="AK117" s="9"/>
      <c r="AL117" s="9"/>
      <c r="AM117" s="9"/>
      <c r="AN117" s="9" t="n">
        <v>60</v>
      </c>
      <c r="AO117" s="9" t="n">
        <v>30</v>
      </c>
      <c r="AP117" s="9"/>
      <c r="AQ117" s="9"/>
      <c r="AR117" s="9"/>
      <c r="AS117" s="9"/>
      <c r="AT117" s="9" t="n">
        <v>90</v>
      </c>
      <c r="AU117" s="9"/>
      <c r="AV117" s="9"/>
      <c r="AW117" s="9"/>
      <c r="AX117" s="9"/>
      <c r="AY117" s="9"/>
      <c r="AZ117" s="9"/>
      <c r="BA117" s="9"/>
      <c r="BB117" s="9" t="n">
        <v>60</v>
      </c>
      <c r="BC117" s="9" t="n">
        <v>30</v>
      </c>
      <c r="BD117" s="9"/>
      <c r="BE117" s="9"/>
      <c r="BF117" s="9" t="n">
        <v>60</v>
      </c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10" t="n">
        <v>870</v>
      </c>
      <c r="BV117" s="11" t="n">
        <f aca="false">IF(ISERROR(ROUND(MEDIAN(BQ117:BT117),0)),0,ROUND(MEDIAN(BQ117:BT117),0))</f>
        <v>0</v>
      </c>
      <c r="BW117" s="11" t="n">
        <f aca="false">IF(ISERROR(ROUND(MEDIAN(BM117:BT117),0)),0,ROUND(MEDIAN(BM117:BT117),0))</f>
        <v>0</v>
      </c>
      <c r="BX117" s="11" t="n">
        <f aca="false">IF(ISERROR(ROUND(MEDIAN(BI117:BT117),0)),0,ROUND(MEDIAN(BI117:BT117),0))</f>
        <v>0</v>
      </c>
      <c r="BY117" s="11" t="n">
        <f aca="false">IF(ISERROR(ROUND(MEDIAN(BE117:BT117),0)),0,ROUND(MEDIAN(BE117:BT117),0))</f>
        <v>60</v>
      </c>
      <c r="BZ117" s="11" t="n">
        <f aca="false">IF(ISERROR(ROUND(MEDIAN(AU117:BT117),0)),0,ROUND(MEDIAN(AU117:BT117),0))</f>
        <v>60</v>
      </c>
      <c r="CA117" s="12" t="n">
        <f aca="false">IF(ISERROR(ROUND(MEDIAN(U117:BT117),0)),0,ROUND(MEDIAN(U117:BT117),0))</f>
        <v>60</v>
      </c>
      <c r="CB117" s="12" t="n">
        <f aca="false">IF(ISERROR(ROUND(MEDIAN(BT117),0)),0,ROUND(MEDIAN(BT117),0))</f>
        <v>0</v>
      </c>
      <c r="CC117" s="12" t="n">
        <f aca="false">IF(ISERROR(ROUND(MEDIAN(D117:BT117),0)),0,ROUND(MEDIAN(D117:BT117),0))</f>
        <v>30</v>
      </c>
      <c r="CD117" s="12" t="n">
        <f aca="false">MAX(D117:BT117)</f>
        <v>90</v>
      </c>
      <c r="CE117" s="7" t="n">
        <f aca="false">COUNTA(BQ117:BT117)</f>
        <v>0</v>
      </c>
      <c r="CF117" s="7" t="n">
        <f aca="false">COUNTA(BM117:BT117)</f>
        <v>0</v>
      </c>
      <c r="CG117" s="7" t="n">
        <f aca="false">COUNTA(BI117:BT117)</f>
        <v>0</v>
      </c>
      <c r="CH117" s="7" t="n">
        <f aca="false">COUNTA(BE117:BT117)</f>
        <v>1</v>
      </c>
      <c r="CI117" s="7" t="n">
        <f aca="false">COUNTA(AU117:BT117)</f>
        <v>3</v>
      </c>
      <c r="CJ117" s="7" t="n">
        <f aca="false">COUNTA(U117:BT117)</f>
        <v>13</v>
      </c>
      <c r="CK117" s="7" t="n">
        <f aca="false">COUNTA(BT117)</f>
        <v>0</v>
      </c>
      <c r="CL117" s="7" t="n">
        <f aca="false">COUNTA(D117:BT117)</f>
        <v>19</v>
      </c>
      <c r="CM117" s="17" t="str">
        <f aca="false">IF(AND(CE117=1,CJ117=1,BT117&lt;&gt;""),"5.ENTRANTES",IF(AND(CE117&lt;&gt;0,CE117/RIGHT($CE$1,1)&gt;=0.5,CJ117=CE117),"4.RECENTES",IF(AND(CF117&lt;&gt;0,CF117/RIGHT($CF$1,1)&gt;=0.5,CJ117=CF117),"4.RECENTES",IF(AND(CG117&lt;&gt;0,CG117/RIGHT($CG$1,2)&gt;=0.5,CJ117=CG117),"4.RECENTES",IF(AND(CH117&lt;&gt;0,CH117/RIGHT($CH$1,2)&gt;=0.5,CJ117=CH117),"4.RECENTES",IF(AND(CI117&lt;&gt;0,CI117/RIGHT($CI$1,2)&gt;=0.5,CJ117=CI117),"4.RECENTES",IF(AND(CE117=0,CF117=0,CG117=0,CH117=0),"3.INATIVOS",IF(CJ117/RIGHT($CJ$1,2)&lt;0.5,"2.INTERMITENTES","1.ORDINÁRIOS"))))))))</f>
        <v>2.INTERMITENTES</v>
      </c>
      <c r="CN117" s="18" t="n">
        <f aca="false">IF(AND(CE117=1,CJ117=1,BT117&lt;&gt;""),BT117,IF(AND(CE117&lt;&gt;0,CE117/RIGHT($CE$1,1)&gt;=0.5,CJ117=CE117),MAX(BV117:CC117),IF(AND(CF117&lt;&gt;0,CF117/RIGHT($CF$1,1)&gt;=0.5,CJ117=CF117),MAX(BV117:CC117),IF(AND(CG117&lt;&gt;0,CG117/RIGHT($CG$1,2)&gt;=0.5,CJ117=CG117),MAX(BV117:CC117),IF(AND(CH117&lt;&gt;0,CH117/RIGHT($CH$1,2)&gt;=0.5,CJ117=CH117),MAX(BV117:CC117),IF(AND(CI117&lt;&gt;0,CI117/RIGHT($CI$1,2)&gt;=0.5,CJ117=CI117),MAX(BV117:CC117),IF(AND(CE117=0,CF117=0,CG117=0,CH117=0),0,IF(CJ117/RIGHT($CJ$1,2)&lt;0.5,ROUND(BU117/RIGHT($CJ$1,2),0),MAX(BV117:CC117)))))))))</f>
        <v>17</v>
      </c>
      <c r="CO117" s="18" t="n">
        <f aca="false">CD117</f>
        <v>90</v>
      </c>
      <c r="CP117" s="15" t="n">
        <v>180</v>
      </c>
      <c r="CQ117" s="16" t="n">
        <f aca="false">IF((CO117-CP117)&lt;0,0,(CO117-CP117))</f>
        <v>0</v>
      </c>
      <c r="CR117" s="7"/>
    </row>
    <row r="118" customFormat="false" ht="12.75" hidden="false" customHeight="true" outlineLevel="0" collapsed="false">
      <c r="A118" s="7" t="s">
        <v>95</v>
      </c>
      <c r="B118" s="7" t="s">
        <v>212</v>
      </c>
      <c r="C118" s="8" t="n">
        <v>8001008</v>
      </c>
      <c r="D118" s="9"/>
      <c r="E118" s="9" t="n">
        <v>120</v>
      </c>
      <c r="F118" s="9" t="n">
        <v>120</v>
      </c>
      <c r="G118" s="9"/>
      <c r="H118" s="9"/>
      <c r="I118" s="9" t="n">
        <v>60</v>
      </c>
      <c r="J118" s="9"/>
      <c r="K118" s="9"/>
      <c r="L118" s="9" t="n">
        <v>210</v>
      </c>
      <c r="M118" s="9"/>
      <c r="N118" s="9"/>
      <c r="O118" s="9" t="n">
        <v>60</v>
      </c>
      <c r="P118" s="9"/>
      <c r="Q118" s="9"/>
      <c r="R118" s="9" t="n">
        <v>30</v>
      </c>
      <c r="S118" s="9"/>
      <c r="T118" s="9"/>
      <c r="U118" s="9"/>
      <c r="V118" s="9"/>
      <c r="W118" s="9"/>
      <c r="X118" s="9"/>
      <c r="Y118" s="9" t="n">
        <v>30</v>
      </c>
      <c r="Z118" s="9" t="n">
        <v>30</v>
      </c>
      <c r="AA118" s="9" t="n">
        <v>240</v>
      </c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 t="n">
        <v>60</v>
      </c>
      <c r="AO118" s="9" t="n">
        <v>90</v>
      </c>
      <c r="AP118" s="9" t="n">
        <v>60</v>
      </c>
      <c r="AQ118" s="9"/>
      <c r="AR118" s="9"/>
      <c r="AS118" s="9"/>
      <c r="AT118" s="9"/>
      <c r="AU118" s="9" t="n">
        <v>90</v>
      </c>
      <c r="AV118" s="9"/>
      <c r="AW118" s="9"/>
      <c r="AX118" s="9" t="n">
        <v>90</v>
      </c>
      <c r="AY118" s="9"/>
      <c r="AZ118" s="9" t="n">
        <v>60</v>
      </c>
      <c r="BA118" s="9"/>
      <c r="BB118" s="9" t="n">
        <v>120</v>
      </c>
      <c r="BC118" s="9" t="n">
        <v>150</v>
      </c>
      <c r="BD118" s="9"/>
      <c r="BE118" s="9" t="n">
        <v>180</v>
      </c>
      <c r="BF118" s="9" t="n">
        <v>60</v>
      </c>
      <c r="BG118" s="9" t="n">
        <v>210</v>
      </c>
      <c r="BH118" s="9" t="n">
        <v>120</v>
      </c>
      <c r="BI118" s="9" t="n">
        <v>90</v>
      </c>
      <c r="BJ118" s="9"/>
      <c r="BK118" s="9" t="n">
        <v>270</v>
      </c>
      <c r="BL118" s="9" t="n">
        <v>60</v>
      </c>
      <c r="BM118" s="9" t="n">
        <v>150</v>
      </c>
      <c r="BN118" s="9" t="n">
        <v>120</v>
      </c>
      <c r="BO118" s="9" t="n">
        <v>540</v>
      </c>
      <c r="BP118" s="9" t="n">
        <v>210</v>
      </c>
      <c r="BQ118" s="9" t="n">
        <v>150</v>
      </c>
      <c r="BR118" s="9" t="n">
        <v>180</v>
      </c>
      <c r="BS118" s="9" t="n">
        <v>270</v>
      </c>
      <c r="BT118" s="9" t="n">
        <v>30</v>
      </c>
      <c r="BU118" s="10" t="n">
        <v>4260</v>
      </c>
      <c r="BV118" s="11" t="n">
        <f aca="false">IF(ISERROR(ROUND(MEDIAN(BQ118:BT118),0)),0,ROUND(MEDIAN(BQ118:BT118),0))</f>
        <v>165</v>
      </c>
      <c r="BW118" s="11" t="n">
        <f aca="false">IF(ISERROR(ROUND(MEDIAN(BM118:BT118),0)),0,ROUND(MEDIAN(BM118:BT118),0))</f>
        <v>165</v>
      </c>
      <c r="BX118" s="11" t="n">
        <f aca="false">IF(ISERROR(ROUND(MEDIAN(BI118:BT118),0)),0,ROUND(MEDIAN(BI118:BT118),0))</f>
        <v>150</v>
      </c>
      <c r="BY118" s="11" t="n">
        <f aca="false">IF(ISERROR(ROUND(MEDIAN(BE118:BT118),0)),0,ROUND(MEDIAN(BE118:BT118),0))</f>
        <v>150</v>
      </c>
      <c r="BZ118" s="11" t="n">
        <f aca="false">IF(ISERROR(ROUND(MEDIAN(AU118:BT118),0)),0,ROUND(MEDIAN(AU118:BT118),0))</f>
        <v>135</v>
      </c>
      <c r="CA118" s="12" t="n">
        <f aca="false">IF(ISERROR(ROUND(MEDIAN(U118:BT118),0)),0,ROUND(MEDIAN(U118:BT118),0))</f>
        <v>120</v>
      </c>
      <c r="CB118" s="12" t="n">
        <f aca="false">IF(ISERROR(ROUND(MEDIAN(BT118),0)),0,ROUND(MEDIAN(BT118),0))</f>
        <v>30</v>
      </c>
      <c r="CC118" s="12" t="n">
        <f aca="false">IF(ISERROR(ROUND(MEDIAN(D118:BT118),0)),0,ROUND(MEDIAN(D118:BT118),0))</f>
        <v>120</v>
      </c>
      <c r="CD118" s="12" t="n">
        <f aca="false">MAX(D118:BT118)</f>
        <v>540</v>
      </c>
      <c r="CE118" s="7" t="n">
        <f aca="false">COUNTA(BQ118:BT118)</f>
        <v>4</v>
      </c>
      <c r="CF118" s="7" t="n">
        <f aca="false">COUNTA(BM118:BT118)</f>
        <v>8</v>
      </c>
      <c r="CG118" s="7" t="n">
        <f aca="false">COUNTA(BI118:BT118)</f>
        <v>11</v>
      </c>
      <c r="CH118" s="7" t="n">
        <f aca="false">COUNTA(BE118:BT118)</f>
        <v>15</v>
      </c>
      <c r="CI118" s="7" t="n">
        <f aca="false">COUNTA(AU118:BT118)</f>
        <v>20</v>
      </c>
      <c r="CJ118" s="7" t="n">
        <f aca="false">COUNTA(U118:BT118)</f>
        <v>26</v>
      </c>
      <c r="CK118" s="7" t="n">
        <f aca="false">COUNTA(BT118)</f>
        <v>1</v>
      </c>
      <c r="CL118" s="7" t="n">
        <f aca="false">COUNTA(D118:BT118)</f>
        <v>32</v>
      </c>
      <c r="CM118" s="13" t="str">
        <f aca="false">IF(AND(CE118=1,CJ118=1,BT118&lt;&gt;""),"5.ENTRANTES",IF(AND(CE118&lt;&gt;0,CE118/RIGHT($CE$1,1)&gt;=0.5,CJ118=CE118),"4.RECENTES",IF(AND(CF118&lt;&gt;0,CF118/RIGHT($CF$1,1)&gt;=0.5,CJ118=CF118),"4.RECENTES",IF(AND(CG118&lt;&gt;0,CG118/RIGHT($CG$1,2)&gt;=0.5,CJ118=CG118),"4.RECENTES",IF(AND(CH118&lt;&gt;0,CH118/RIGHT($CH$1,2)&gt;=0.5,CJ118=CH118),"4.RECENTES",IF(AND(CI118&lt;&gt;0,CI118/RIGHT($CI$1,2)&gt;=0.5,CJ118=CI118),"4.RECENTES",IF(AND(CE118=0,CF118=0,CG118=0,CH118=0),"3.INATIVOS",IF(CJ118/RIGHT($CJ$1,2)&lt;0.5,"2.INTERMITENTES","1.ORDINÁRIOS"))))))))</f>
        <v>1.ORDINÁRIOS</v>
      </c>
      <c r="CN118" s="14" t="n">
        <f aca="false">IF(AND(CE118=1,CJ118=1,BT118&lt;&gt;""),BT118,IF(AND(CE118&lt;&gt;0,CE118/RIGHT($CE$1,1)&gt;=0.5,CJ118=CE118),MAX(BV118:CC118),IF(AND(CF118&lt;&gt;0,CF118/RIGHT($CF$1,1)&gt;=0.5,CJ118=CF118),MAX(BV118:CC118),IF(AND(CG118&lt;&gt;0,CG118/RIGHT($CG$1,2)&gt;=0.5,CJ118=CG118),MAX(BV118:CC118),IF(AND(CH118&lt;&gt;0,CH118/RIGHT($CH$1,2)&gt;=0.5,CJ118=CH118),MAX(BV118:CC118),IF(AND(CI118&lt;&gt;0,CI118/RIGHT($CI$1,2)&gt;=0.5,CJ118=CI118),MAX(BV118:CC118),IF(AND(CE118=0,CF118=0,CG118=0,CH118=0),0,IF(CJ118/RIGHT($CJ$1,2)&lt;0.5,ROUND(BU118/RIGHT($CJ$1,2),0),MAX(BV118:CC118)))))))))</f>
        <v>165</v>
      </c>
      <c r="CO118" s="14" t="n">
        <f aca="false">CN118*3</f>
        <v>495</v>
      </c>
      <c r="CP118" s="15" t="n">
        <v>330</v>
      </c>
      <c r="CQ118" s="16" t="n">
        <f aca="false">IF((CO118-CP118)&lt;0,0,(CO118-CP118))</f>
        <v>165</v>
      </c>
      <c r="CR118" s="7"/>
    </row>
    <row r="119" customFormat="false" ht="12.75" hidden="false" customHeight="true" outlineLevel="0" collapsed="false">
      <c r="A119" s="7" t="s">
        <v>95</v>
      </c>
      <c r="B119" s="7" t="s">
        <v>213</v>
      </c>
      <c r="C119" s="8" t="n">
        <v>8001005</v>
      </c>
      <c r="D119" s="9" t="n">
        <v>120</v>
      </c>
      <c r="E119" s="9" t="n">
        <v>30</v>
      </c>
      <c r="F119" s="9" t="n">
        <v>120</v>
      </c>
      <c r="G119" s="9" t="n">
        <v>210</v>
      </c>
      <c r="H119" s="9" t="n">
        <v>150</v>
      </c>
      <c r="I119" s="9" t="n">
        <v>150</v>
      </c>
      <c r="J119" s="9" t="n">
        <v>180</v>
      </c>
      <c r="K119" s="9" t="n">
        <v>240</v>
      </c>
      <c r="L119" s="9" t="n">
        <v>240</v>
      </c>
      <c r="M119" s="9" t="n">
        <v>210</v>
      </c>
      <c r="N119" s="9" t="n">
        <v>210</v>
      </c>
      <c r="O119" s="9" t="n">
        <v>120</v>
      </c>
      <c r="P119" s="9" t="n">
        <v>120</v>
      </c>
      <c r="Q119" s="9" t="n">
        <v>60</v>
      </c>
      <c r="R119" s="9" t="n">
        <v>180</v>
      </c>
      <c r="S119" s="9" t="n">
        <v>210</v>
      </c>
      <c r="T119" s="9" t="n">
        <v>60</v>
      </c>
      <c r="U119" s="9" t="n">
        <v>60</v>
      </c>
      <c r="V119" s="9" t="n">
        <v>30</v>
      </c>
      <c r="W119" s="9" t="n">
        <v>150</v>
      </c>
      <c r="X119" s="9" t="n">
        <v>180</v>
      </c>
      <c r="Y119" s="9" t="n">
        <v>150</v>
      </c>
      <c r="Z119" s="9" t="n">
        <v>90</v>
      </c>
      <c r="AA119" s="9"/>
      <c r="AB119" s="9" t="n">
        <v>240</v>
      </c>
      <c r="AC119" s="9" t="n">
        <v>330</v>
      </c>
      <c r="AD119" s="9" t="n">
        <v>60</v>
      </c>
      <c r="AE119" s="9" t="n">
        <v>60</v>
      </c>
      <c r="AF119" s="9" t="n">
        <v>240</v>
      </c>
      <c r="AG119" s="9" t="n">
        <v>60</v>
      </c>
      <c r="AH119" s="9" t="n">
        <v>210</v>
      </c>
      <c r="AI119" s="9" t="n">
        <v>210</v>
      </c>
      <c r="AJ119" s="9" t="n">
        <v>90</v>
      </c>
      <c r="AK119" s="9" t="n">
        <v>60</v>
      </c>
      <c r="AL119" s="9" t="n">
        <v>120</v>
      </c>
      <c r="AM119" s="9" t="n">
        <v>210</v>
      </c>
      <c r="AN119" s="9" t="n">
        <v>90</v>
      </c>
      <c r="AO119" s="9" t="n">
        <v>120</v>
      </c>
      <c r="AP119" s="9" t="n">
        <v>240</v>
      </c>
      <c r="AQ119" s="9" t="n">
        <v>210</v>
      </c>
      <c r="AR119" s="9" t="n">
        <v>150</v>
      </c>
      <c r="AS119" s="9" t="n">
        <v>180</v>
      </c>
      <c r="AT119" s="9" t="n">
        <v>90</v>
      </c>
      <c r="AU119" s="9" t="n">
        <v>120</v>
      </c>
      <c r="AV119" s="9" t="n">
        <v>60</v>
      </c>
      <c r="AW119" s="9" t="n">
        <v>150</v>
      </c>
      <c r="AX119" s="9" t="n">
        <v>210</v>
      </c>
      <c r="AY119" s="9" t="n">
        <v>120</v>
      </c>
      <c r="AZ119" s="9" t="n">
        <v>30</v>
      </c>
      <c r="BA119" s="9" t="n">
        <v>30</v>
      </c>
      <c r="BB119" s="9" t="n">
        <v>210</v>
      </c>
      <c r="BC119" s="9" t="n">
        <v>120</v>
      </c>
      <c r="BD119" s="9" t="n">
        <v>30</v>
      </c>
      <c r="BE119" s="9" t="n">
        <v>60</v>
      </c>
      <c r="BF119" s="9" t="n">
        <v>60</v>
      </c>
      <c r="BG119" s="9" t="n">
        <v>180</v>
      </c>
      <c r="BH119" s="9"/>
      <c r="BI119" s="9" t="n">
        <v>180</v>
      </c>
      <c r="BJ119" s="9" t="n">
        <v>150</v>
      </c>
      <c r="BK119" s="9" t="n">
        <v>260</v>
      </c>
      <c r="BL119" s="9" t="n">
        <v>60</v>
      </c>
      <c r="BM119" s="9" t="n">
        <v>120</v>
      </c>
      <c r="BN119" s="9" t="n">
        <v>150</v>
      </c>
      <c r="BO119" s="9" t="n">
        <v>270</v>
      </c>
      <c r="BP119" s="9" t="n">
        <v>30</v>
      </c>
      <c r="BQ119" s="9" t="n">
        <v>60</v>
      </c>
      <c r="BR119" s="9"/>
      <c r="BS119" s="9" t="n">
        <v>50</v>
      </c>
      <c r="BT119" s="9" t="n">
        <v>270</v>
      </c>
      <c r="BU119" s="10" t="n">
        <v>9220</v>
      </c>
      <c r="BV119" s="11" t="n">
        <f aca="false">IF(ISERROR(ROUND(MEDIAN(BQ119:BT119),0)),0,ROUND(MEDIAN(BQ119:BT119),0))</f>
        <v>60</v>
      </c>
      <c r="BW119" s="11" t="n">
        <f aca="false">IF(ISERROR(ROUND(MEDIAN(BM119:BT119),0)),0,ROUND(MEDIAN(BM119:BT119),0))</f>
        <v>120</v>
      </c>
      <c r="BX119" s="11" t="n">
        <f aca="false">IF(ISERROR(ROUND(MEDIAN(BI119:BT119),0)),0,ROUND(MEDIAN(BI119:BT119),0))</f>
        <v>150</v>
      </c>
      <c r="BY119" s="11" t="n">
        <f aca="false">IF(ISERROR(ROUND(MEDIAN(BE119:BT119),0)),0,ROUND(MEDIAN(BE119:BT119),0))</f>
        <v>135</v>
      </c>
      <c r="BZ119" s="11" t="n">
        <f aca="false">IF(ISERROR(ROUND(MEDIAN(AU119:BT119),0)),0,ROUND(MEDIAN(AU119:BT119),0))</f>
        <v>120</v>
      </c>
      <c r="CA119" s="12" t="n">
        <f aca="false">IF(ISERROR(ROUND(MEDIAN(U119:BT119),0)),0,ROUND(MEDIAN(U119:BT119),0))</f>
        <v>120</v>
      </c>
      <c r="CB119" s="12" t="n">
        <f aca="false">IF(ISERROR(ROUND(MEDIAN(BT119),0)),0,ROUND(MEDIAN(BT119),0))</f>
        <v>270</v>
      </c>
      <c r="CC119" s="12" t="n">
        <f aca="false">IF(ISERROR(ROUND(MEDIAN(D119:BT119),0)),0,ROUND(MEDIAN(D119:BT119),0))</f>
        <v>135</v>
      </c>
      <c r="CD119" s="12" t="n">
        <f aca="false">MAX(D119:BT119)</f>
        <v>330</v>
      </c>
      <c r="CE119" s="7" t="n">
        <f aca="false">COUNTA(BQ119:BT119)</f>
        <v>3</v>
      </c>
      <c r="CF119" s="7" t="n">
        <f aca="false">COUNTA(BM119:BT119)</f>
        <v>7</v>
      </c>
      <c r="CG119" s="7" t="n">
        <f aca="false">COUNTA(BI119:BT119)</f>
        <v>11</v>
      </c>
      <c r="CH119" s="7" t="n">
        <f aca="false">COUNTA(BE119:BT119)</f>
        <v>14</v>
      </c>
      <c r="CI119" s="7" t="n">
        <f aca="false">COUNTA(AU119:BT119)</f>
        <v>24</v>
      </c>
      <c r="CJ119" s="7" t="n">
        <f aca="false">COUNTA(U119:BT119)</f>
        <v>49</v>
      </c>
      <c r="CK119" s="7" t="n">
        <f aca="false">COUNTA(BT119)</f>
        <v>1</v>
      </c>
      <c r="CL119" s="7" t="n">
        <f aca="false">COUNTA(D119:BT119)</f>
        <v>66</v>
      </c>
      <c r="CM119" s="13" t="str">
        <f aca="false">IF(AND(CE119=1,CJ119=1,BT119&lt;&gt;""),"5.ENTRANTES",IF(AND(CE119&lt;&gt;0,CE119/RIGHT($CE$1,1)&gt;=0.5,CJ119=CE119),"4.RECENTES",IF(AND(CF119&lt;&gt;0,CF119/RIGHT($CF$1,1)&gt;=0.5,CJ119=CF119),"4.RECENTES",IF(AND(CG119&lt;&gt;0,CG119/RIGHT($CG$1,2)&gt;=0.5,CJ119=CG119),"4.RECENTES",IF(AND(CH119&lt;&gt;0,CH119/RIGHT($CH$1,2)&gt;=0.5,CJ119=CH119),"4.RECENTES",IF(AND(CI119&lt;&gt;0,CI119/RIGHT($CI$1,2)&gt;=0.5,CJ119=CI119),"4.RECENTES",IF(AND(CE119=0,CF119=0,CG119=0,CH119=0),"3.INATIVOS",IF(CJ119/RIGHT($CJ$1,2)&lt;0.5,"2.INTERMITENTES","1.ORDINÁRIOS"))))))))</f>
        <v>1.ORDINÁRIOS</v>
      </c>
      <c r="CN119" s="14" t="n">
        <f aca="false">IF(AND(CE119=1,CJ119=1,BT119&lt;&gt;""),BT119,IF(AND(CE119&lt;&gt;0,CE119/RIGHT($CE$1,1)&gt;=0.5,CJ119=CE119),MAX(BV119:CC119),IF(AND(CF119&lt;&gt;0,CF119/RIGHT($CF$1,1)&gt;=0.5,CJ119=CF119),MAX(BV119:CC119),IF(AND(CG119&lt;&gt;0,CG119/RIGHT($CG$1,2)&gt;=0.5,CJ119=CG119),MAX(BV119:CC119),IF(AND(CH119&lt;&gt;0,CH119/RIGHT($CH$1,2)&gt;=0.5,CJ119=CH119),MAX(BV119:CC119),IF(AND(CI119&lt;&gt;0,CI119/RIGHT($CI$1,2)&gt;=0.5,CJ119=CI119),MAX(BV119:CC119),IF(AND(CE119=0,CF119=0,CG119=0,CH119=0),0,IF(CJ119/RIGHT($CJ$1,2)&lt;0.5,ROUND(BU119/RIGHT($CJ$1,2),0),MAX(BV119:CC119)))))))))</f>
        <v>270</v>
      </c>
      <c r="CO119" s="14" t="n">
        <f aca="false">CN119*3</f>
        <v>810</v>
      </c>
      <c r="CP119" s="15" t="n">
        <v>440</v>
      </c>
      <c r="CQ119" s="16" t="n">
        <f aca="false">IF((CO119-CP119)&lt;0,0,(CO119-CP119))</f>
        <v>370</v>
      </c>
      <c r="CR119" s="7"/>
    </row>
    <row r="120" customFormat="false" ht="12.75" hidden="false" customHeight="true" outlineLevel="0" collapsed="false">
      <c r="A120" s="7" t="s">
        <v>95</v>
      </c>
      <c r="B120" s="7" t="s">
        <v>214</v>
      </c>
      <c r="C120" s="8" t="n">
        <v>2000024</v>
      </c>
      <c r="D120" s="9"/>
      <c r="E120" s="9" t="n">
        <v>2</v>
      </c>
      <c r="F120" s="9" t="n">
        <v>1</v>
      </c>
      <c r="G120" s="9" t="n">
        <v>3</v>
      </c>
      <c r="H120" s="9"/>
      <c r="I120" s="9" t="n">
        <v>4</v>
      </c>
      <c r="J120" s="9" t="n">
        <v>1</v>
      </c>
      <c r="K120" s="9" t="n">
        <v>1</v>
      </c>
      <c r="L120" s="9" t="n">
        <v>1</v>
      </c>
      <c r="M120" s="9" t="n">
        <v>3</v>
      </c>
      <c r="N120" s="9" t="n">
        <v>7</v>
      </c>
      <c r="O120" s="9" t="n">
        <v>5</v>
      </c>
      <c r="P120" s="9" t="n">
        <v>7</v>
      </c>
      <c r="Q120" s="9" t="n">
        <v>2</v>
      </c>
      <c r="R120" s="9"/>
      <c r="S120" s="9" t="n">
        <v>4</v>
      </c>
      <c r="T120" s="9" t="n">
        <v>1</v>
      </c>
      <c r="U120" s="9" t="n">
        <v>3</v>
      </c>
      <c r="V120" s="9" t="n">
        <v>1</v>
      </c>
      <c r="W120" s="9" t="n">
        <v>2</v>
      </c>
      <c r="X120" s="9" t="n">
        <v>3</v>
      </c>
      <c r="Y120" s="9" t="n">
        <v>4</v>
      </c>
      <c r="Z120" s="9" t="n">
        <v>1</v>
      </c>
      <c r="AA120" s="9" t="n">
        <v>9</v>
      </c>
      <c r="AB120" s="9" t="n">
        <v>5</v>
      </c>
      <c r="AC120" s="9" t="n">
        <v>4</v>
      </c>
      <c r="AD120" s="9" t="n">
        <v>6</v>
      </c>
      <c r="AE120" s="9" t="n">
        <v>5</v>
      </c>
      <c r="AF120" s="9" t="n">
        <v>2</v>
      </c>
      <c r="AG120" s="9" t="n">
        <v>3</v>
      </c>
      <c r="AH120" s="9" t="n">
        <v>2</v>
      </c>
      <c r="AI120" s="9" t="n">
        <v>7</v>
      </c>
      <c r="AJ120" s="9" t="n">
        <v>1</v>
      </c>
      <c r="AK120" s="9"/>
      <c r="AL120" s="9" t="n">
        <v>5</v>
      </c>
      <c r="AM120" s="9" t="n">
        <v>2</v>
      </c>
      <c r="AN120" s="9" t="n">
        <v>2</v>
      </c>
      <c r="AO120" s="9" t="n">
        <v>5</v>
      </c>
      <c r="AP120" s="9" t="n">
        <v>2</v>
      </c>
      <c r="AQ120" s="9" t="n">
        <v>3</v>
      </c>
      <c r="AR120" s="9" t="n">
        <v>5</v>
      </c>
      <c r="AS120" s="9" t="n">
        <v>5</v>
      </c>
      <c r="AT120" s="9" t="n">
        <v>2</v>
      </c>
      <c r="AU120" s="9" t="n">
        <v>9</v>
      </c>
      <c r="AV120" s="9" t="n">
        <v>4</v>
      </c>
      <c r="AW120" s="9" t="n">
        <v>3</v>
      </c>
      <c r="AX120" s="9"/>
      <c r="AY120" s="9"/>
      <c r="AZ120" s="9" t="n">
        <v>2</v>
      </c>
      <c r="BA120" s="9" t="n">
        <v>1</v>
      </c>
      <c r="BB120" s="9" t="n">
        <v>1</v>
      </c>
      <c r="BC120" s="9" t="n">
        <v>1</v>
      </c>
      <c r="BD120" s="9" t="n">
        <v>2</v>
      </c>
      <c r="BE120" s="9" t="n">
        <v>2</v>
      </c>
      <c r="BF120" s="9"/>
      <c r="BG120" s="9" t="n">
        <v>1</v>
      </c>
      <c r="BH120" s="9" t="n">
        <v>2</v>
      </c>
      <c r="BI120" s="9"/>
      <c r="BJ120" s="9" t="n">
        <v>1</v>
      </c>
      <c r="BK120" s="9" t="n">
        <v>2</v>
      </c>
      <c r="BL120" s="9" t="n">
        <v>1</v>
      </c>
      <c r="BM120" s="9" t="n">
        <v>1</v>
      </c>
      <c r="BN120" s="9" t="n">
        <v>2</v>
      </c>
      <c r="BO120" s="9" t="n">
        <v>1</v>
      </c>
      <c r="BP120" s="9"/>
      <c r="BQ120" s="9"/>
      <c r="BR120" s="9" t="n">
        <v>2</v>
      </c>
      <c r="BS120" s="9"/>
      <c r="BT120" s="9"/>
      <c r="BU120" s="10" t="n">
        <v>169</v>
      </c>
      <c r="BV120" s="11" t="n">
        <f aca="false">IF(ISERROR(ROUND(MEDIAN(BQ120:BT120),0)),0,ROUND(MEDIAN(BQ120:BT120),0))</f>
        <v>2</v>
      </c>
      <c r="BW120" s="11" t="n">
        <f aca="false">IF(ISERROR(ROUND(MEDIAN(BM120:BT120),0)),0,ROUND(MEDIAN(BM120:BT120),0))</f>
        <v>2</v>
      </c>
      <c r="BX120" s="11" t="n">
        <f aca="false">IF(ISERROR(ROUND(MEDIAN(BI120:BT120),0)),0,ROUND(MEDIAN(BI120:BT120),0))</f>
        <v>1</v>
      </c>
      <c r="BY120" s="11" t="n">
        <f aca="false">IF(ISERROR(ROUND(MEDIAN(BE120:BT120),0)),0,ROUND(MEDIAN(BE120:BT120),0))</f>
        <v>2</v>
      </c>
      <c r="BZ120" s="11" t="n">
        <f aca="false">IF(ISERROR(ROUND(MEDIAN(AU120:BT120),0)),0,ROUND(MEDIAN(AU120:BT120),0))</f>
        <v>2</v>
      </c>
      <c r="CA120" s="12" t="n">
        <f aca="false">IF(ISERROR(ROUND(MEDIAN(U120:BT120),0)),0,ROUND(MEDIAN(U120:BT120),0))</f>
        <v>2</v>
      </c>
      <c r="CB120" s="12" t="n">
        <f aca="false">IF(ISERROR(ROUND(MEDIAN(BT120),0)),0,ROUND(MEDIAN(BT120),0))</f>
        <v>0</v>
      </c>
      <c r="CC120" s="12" t="n">
        <f aca="false">IF(ISERROR(ROUND(MEDIAN(D120:BT120),0)),0,ROUND(MEDIAN(D120:BT120),0))</f>
        <v>2</v>
      </c>
      <c r="CD120" s="12" t="n">
        <f aca="false">MAX(D120:BT120)</f>
        <v>9</v>
      </c>
      <c r="CE120" s="7" t="n">
        <f aca="false">COUNTA(BQ120:BT120)</f>
        <v>1</v>
      </c>
      <c r="CF120" s="7" t="n">
        <f aca="false">COUNTA(BM120:BT120)</f>
        <v>4</v>
      </c>
      <c r="CG120" s="7" t="n">
        <f aca="false">COUNTA(BI120:BT120)</f>
        <v>7</v>
      </c>
      <c r="CH120" s="7" t="n">
        <f aca="false">COUNTA(BE120:BT120)</f>
        <v>10</v>
      </c>
      <c r="CI120" s="7" t="n">
        <f aca="false">COUNTA(AU120:BT120)</f>
        <v>18</v>
      </c>
      <c r="CJ120" s="7" t="n">
        <f aca="false">COUNTA(U120:BT120)</f>
        <v>43</v>
      </c>
      <c r="CK120" s="7" t="n">
        <f aca="false">COUNTA(BT120)</f>
        <v>0</v>
      </c>
      <c r="CL120" s="7" t="n">
        <f aca="false">COUNTA(D120:BT120)</f>
        <v>57</v>
      </c>
      <c r="CM120" s="13" t="str">
        <f aca="false">IF(AND(CE120=1,CJ120=1,BT120&lt;&gt;""),"5.ENTRANTES",IF(AND(CE120&lt;&gt;0,CE120/RIGHT($CE$1,1)&gt;=0.5,CJ120=CE120),"4.RECENTES",IF(AND(CF120&lt;&gt;0,CF120/RIGHT($CF$1,1)&gt;=0.5,CJ120=CF120),"4.RECENTES",IF(AND(CG120&lt;&gt;0,CG120/RIGHT($CG$1,2)&gt;=0.5,CJ120=CG120),"4.RECENTES",IF(AND(CH120&lt;&gt;0,CH120/RIGHT($CH$1,2)&gt;=0.5,CJ120=CH120),"4.RECENTES",IF(AND(CI120&lt;&gt;0,CI120/RIGHT($CI$1,2)&gt;=0.5,CJ120=CI120),"4.RECENTES",IF(AND(CE120=0,CF120=0,CG120=0,CH120=0),"3.INATIVOS",IF(CJ120/RIGHT($CJ$1,2)&lt;0.5,"2.INTERMITENTES","1.ORDINÁRIOS"))))))))</f>
        <v>1.ORDINÁRIOS</v>
      </c>
      <c r="CN120" s="14" t="n">
        <f aca="false">IF(AND(CE120=1,CJ120=1,BT120&lt;&gt;""),BT120,IF(AND(CE120&lt;&gt;0,CE120/RIGHT($CE$1,1)&gt;=0.5,CJ120=CE120),MAX(BV120:CC120),IF(AND(CF120&lt;&gt;0,CF120/RIGHT($CF$1,1)&gt;=0.5,CJ120=CF120),MAX(BV120:CC120),IF(AND(CG120&lt;&gt;0,CG120/RIGHT($CG$1,2)&gt;=0.5,CJ120=CG120),MAX(BV120:CC120),IF(AND(CH120&lt;&gt;0,CH120/RIGHT($CH$1,2)&gt;=0.5,CJ120=CH120),MAX(BV120:CC120),IF(AND(CI120&lt;&gt;0,CI120/RIGHT($CI$1,2)&gt;=0.5,CJ120=CI120),MAX(BV120:CC120),IF(AND(CE120=0,CF120=0,CG120=0,CH120=0),0,IF(CJ120/RIGHT($CJ$1,2)&lt;0.5,ROUND(BU120/RIGHT($CJ$1,2),0),MAX(BV120:CC120)))))))))</f>
        <v>2</v>
      </c>
      <c r="CO120" s="14" t="n">
        <f aca="false">CN120*3</f>
        <v>6</v>
      </c>
      <c r="CP120" s="15" t="n">
        <v>5</v>
      </c>
      <c r="CQ120" s="16" t="n">
        <f aca="false">IF((CO120-CP120)&lt;0,0,(CO120-CP120))</f>
        <v>1</v>
      </c>
      <c r="CR120" s="7"/>
    </row>
    <row r="121" customFormat="false" ht="12.75" hidden="false" customHeight="true" outlineLevel="0" collapsed="false">
      <c r="A121" s="7" t="s">
        <v>95</v>
      </c>
      <c r="B121" s="7" t="s">
        <v>215</v>
      </c>
      <c r="C121" s="8" t="n">
        <v>2000025</v>
      </c>
      <c r="D121" s="9" t="n">
        <v>20</v>
      </c>
      <c r="E121" s="9" t="n">
        <v>160</v>
      </c>
      <c r="F121" s="9" t="n">
        <v>140</v>
      </c>
      <c r="G121" s="9" t="n">
        <v>120</v>
      </c>
      <c r="H121" s="9"/>
      <c r="I121" s="9" t="n">
        <v>40</v>
      </c>
      <c r="J121" s="9" t="n">
        <v>120</v>
      </c>
      <c r="K121" s="9" t="n">
        <v>180</v>
      </c>
      <c r="L121" s="9" t="n">
        <v>80</v>
      </c>
      <c r="M121" s="9" t="n">
        <v>80</v>
      </c>
      <c r="N121" s="9" t="n">
        <v>120</v>
      </c>
      <c r="O121" s="9"/>
      <c r="P121" s="9" t="n">
        <v>140</v>
      </c>
      <c r="Q121" s="9" t="n">
        <v>100</v>
      </c>
      <c r="R121" s="9"/>
      <c r="S121" s="9" t="n">
        <v>100</v>
      </c>
      <c r="T121" s="9" t="n">
        <v>80</v>
      </c>
      <c r="U121" s="9" t="n">
        <v>200</v>
      </c>
      <c r="V121" s="9" t="n">
        <v>140</v>
      </c>
      <c r="W121" s="9"/>
      <c r="X121" s="9" t="n">
        <v>80</v>
      </c>
      <c r="Y121" s="9" t="n">
        <v>120</v>
      </c>
      <c r="Z121" s="9" t="n">
        <v>82</v>
      </c>
      <c r="AA121" s="9" t="n">
        <v>280</v>
      </c>
      <c r="AB121" s="9" t="n">
        <v>60</v>
      </c>
      <c r="AC121" s="9" t="n">
        <v>80</v>
      </c>
      <c r="AD121" s="9" t="n">
        <v>280</v>
      </c>
      <c r="AE121" s="9" t="n">
        <v>100</v>
      </c>
      <c r="AF121" s="9" t="n">
        <v>40</v>
      </c>
      <c r="AG121" s="9" t="n">
        <v>140</v>
      </c>
      <c r="AH121" s="9" t="n">
        <v>84</v>
      </c>
      <c r="AI121" s="9" t="n">
        <v>176</v>
      </c>
      <c r="AJ121" s="9" t="n">
        <v>80</v>
      </c>
      <c r="AK121" s="9"/>
      <c r="AL121" s="9" t="n">
        <v>280</v>
      </c>
      <c r="AM121" s="9" t="n">
        <v>80</v>
      </c>
      <c r="AN121" s="9" t="n">
        <v>60</v>
      </c>
      <c r="AO121" s="9" t="n">
        <v>160</v>
      </c>
      <c r="AP121" s="9" t="n">
        <v>200</v>
      </c>
      <c r="AQ121" s="9" t="n">
        <v>160</v>
      </c>
      <c r="AR121" s="9" t="n">
        <v>40</v>
      </c>
      <c r="AS121" s="9" t="n">
        <v>80</v>
      </c>
      <c r="AT121" s="9"/>
      <c r="AU121" s="9" t="n">
        <v>90</v>
      </c>
      <c r="AV121" s="9" t="n">
        <v>60</v>
      </c>
      <c r="AW121" s="9" t="n">
        <v>40</v>
      </c>
      <c r="AX121" s="9" t="n">
        <v>40</v>
      </c>
      <c r="AY121" s="9"/>
      <c r="AZ121" s="9" t="n">
        <v>100</v>
      </c>
      <c r="BA121" s="9" t="n">
        <v>60</v>
      </c>
      <c r="BB121" s="9"/>
      <c r="BC121" s="9" t="n">
        <v>40</v>
      </c>
      <c r="BD121" s="9" t="n">
        <v>100</v>
      </c>
      <c r="BE121" s="9"/>
      <c r="BF121" s="9" t="n">
        <v>140</v>
      </c>
      <c r="BG121" s="9" t="n">
        <v>90</v>
      </c>
      <c r="BH121" s="9" t="n">
        <v>200</v>
      </c>
      <c r="BI121" s="9" t="n">
        <v>40</v>
      </c>
      <c r="BJ121" s="9" t="n">
        <v>80</v>
      </c>
      <c r="BK121" s="9" t="n">
        <v>80</v>
      </c>
      <c r="BL121" s="9" t="n">
        <v>60</v>
      </c>
      <c r="BM121" s="9" t="n">
        <v>20</v>
      </c>
      <c r="BN121" s="9" t="n">
        <v>70</v>
      </c>
      <c r="BO121" s="9" t="n">
        <v>60</v>
      </c>
      <c r="BP121" s="9" t="n">
        <v>180</v>
      </c>
      <c r="BQ121" s="9"/>
      <c r="BR121" s="9"/>
      <c r="BS121" s="9"/>
      <c r="BT121" s="9" t="n">
        <v>60</v>
      </c>
      <c r="BU121" s="10" t="n">
        <v>6092</v>
      </c>
      <c r="BV121" s="11" t="n">
        <f aca="false">IF(ISERROR(ROUND(MEDIAN(BQ121:BT121),0)),0,ROUND(MEDIAN(BQ121:BT121),0))</f>
        <v>60</v>
      </c>
      <c r="BW121" s="11" t="n">
        <f aca="false">IF(ISERROR(ROUND(MEDIAN(BM121:BT121),0)),0,ROUND(MEDIAN(BM121:BT121),0))</f>
        <v>60</v>
      </c>
      <c r="BX121" s="11" t="n">
        <f aca="false">IF(ISERROR(ROUND(MEDIAN(BI121:BT121),0)),0,ROUND(MEDIAN(BI121:BT121),0))</f>
        <v>60</v>
      </c>
      <c r="BY121" s="11" t="n">
        <f aca="false">IF(ISERROR(ROUND(MEDIAN(BE121:BT121),0)),0,ROUND(MEDIAN(BE121:BT121),0))</f>
        <v>75</v>
      </c>
      <c r="BZ121" s="11" t="n">
        <f aca="false">IF(ISERROR(ROUND(MEDIAN(AU121:BT121),0)),0,ROUND(MEDIAN(AU121:BT121),0))</f>
        <v>65</v>
      </c>
      <c r="CA121" s="12" t="n">
        <f aca="false">IF(ISERROR(ROUND(MEDIAN(U121:BT121),0)),0,ROUND(MEDIAN(U121:BT121),0))</f>
        <v>80</v>
      </c>
      <c r="CB121" s="12" t="n">
        <f aca="false">IF(ISERROR(ROUND(MEDIAN(BT121),0)),0,ROUND(MEDIAN(BT121),0))</f>
        <v>60</v>
      </c>
      <c r="CC121" s="12" t="n">
        <f aca="false">IF(ISERROR(ROUND(MEDIAN(D121:BT121),0)),0,ROUND(MEDIAN(D121:BT121),0))</f>
        <v>84</v>
      </c>
      <c r="CD121" s="12" t="n">
        <f aca="false">MAX(D121:BT121)</f>
        <v>280</v>
      </c>
      <c r="CE121" s="7" t="n">
        <f aca="false">COUNTA(BQ121:BT121)</f>
        <v>1</v>
      </c>
      <c r="CF121" s="7" t="n">
        <f aca="false">COUNTA(BM121:BT121)</f>
        <v>5</v>
      </c>
      <c r="CG121" s="7" t="n">
        <f aca="false">COUNTA(BI121:BT121)</f>
        <v>9</v>
      </c>
      <c r="CH121" s="7" t="n">
        <f aca="false">COUNTA(BE121:BT121)</f>
        <v>12</v>
      </c>
      <c r="CI121" s="7" t="n">
        <f aca="false">COUNTA(AU121:BT121)</f>
        <v>20</v>
      </c>
      <c r="CJ121" s="7" t="n">
        <f aca="false">COUNTA(U121:BT121)</f>
        <v>43</v>
      </c>
      <c r="CK121" s="7" t="n">
        <f aca="false">COUNTA(BT121)</f>
        <v>1</v>
      </c>
      <c r="CL121" s="7" t="n">
        <f aca="false">COUNTA(D121:BT121)</f>
        <v>57</v>
      </c>
      <c r="CM121" s="13" t="str">
        <f aca="false">IF(AND(CE121=1,CJ121=1,BT121&lt;&gt;""),"5.ENTRANTES",IF(AND(CE121&lt;&gt;0,CE121/RIGHT($CE$1,1)&gt;=0.5,CJ121=CE121),"4.RECENTES",IF(AND(CF121&lt;&gt;0,CF121/RIGHT($CF$1,1)&gt;=0.5,CJ121=CF121),"4.RECENTES",IF(AND(CG121&lt;&gt;0,CG121/RIGHT($CG$1,2)&gt;=0.5,CJ121=CG121),"4.RECENTES",IF(AND(CH121&lt;&gt;0,CH121/RIGHT($CH$1,2)&gt;=0.5,CJ121=CH121),"4.RECENTES",IF(AND(CI121&lt;&gt;0,CI121/RIGHT($CI$1,2)&gt;=0.5,CJ121=CI121),"4.RECENTES",IF(AND(CE121=0,CF121=0,CG121=0,CH121=0),"3.INATIVOS",IF(CJ121/RIGHT($CJ$1,2)&lt;0.5,"2.INTERMITENTES","1.ORDINÁRIOS"))))))))</f>
        <v>1.ORDINÁRIOS</v>
      </c>
      <c r="CN121" s="14" t="n">
        <f aca="false">IF(AND(CE121=1,CJ121=1,BT121&lt;&gt;""),BT121,IF(AND(CE121&lt;&gt;0,CE121/RIGHT($CE$1,1)&gt;=0.5,CJ121=CE121),MAX(BV121:CC121),IF(AND(CF121&lt;&gt;0,CF121/RIGHT($CF$1,1)&gt;=0.5,CJ121=CF121),MAX(BV121:CC121),IF(AND(CG121&lt;&gt;0,CG121/RIGHT($CG$1,2)&gt;=0.5,CJ121=CG121),MAX(BV121:CC121),IF(AND(CH121&lt;&gt;0,CH121/RIGHT($CH$1,2)&gt;=0.5,CJ121=CH121),MAX(BV121:CC121),IF(AND(CI121&lt;&gt;0,CI121/RIGHT($CI$1,2)&gt;=0.5,CJ121=CI121),MAX(BV121:CC121),IF(AND(CE121=0,CF121=0,CG121=0,CH121=0),0,IF(CJ121/RIGHT($CJ$1,2)&lt;0.5,ROUND(BU121/RIGHT($CJ$1,2),0),MAX(BV121:CC121)))))))))</f>
        <v>84</v>
      </c>
      <c r="CO121" s="14" t="n">
        <f aca="false">CN121*3</f>
        <v>252</v>
      </c>
      <c r="CP121" s="15" t="n">
        <v>350</v>
      </c>
      <c r="CQ121" s="16" t="n">
        <f aca="false">IF((CO121-CP121)&lt;0,0,(CO121-CP121))</f>
        <v>0</v>
      </c>
      <c r="CR121" s="7"/>
    </row>
    <row r="122" customFormat="false" ht="12.75" hidden="false" customHeight="true" outlineLevel="0" collapsed="false">
      <c r="A122" s="7" t="s">
        <v>95</v>
      </c>
      <c r="B122" s="7" t="s">
        <v>216</v>
      </c>
      <c r="C122" s="8" t="n">
        <v>2000026</v>
      </c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 t="n">
        <v>2</v>
      </c>
      <c r="AE122" s="9"/>
      <c r="AF122" s="9"/>
      <c r="AG122" s="9"/>
      <c r="AH122" s="9"/>
      <c r="AI122" s="9" t="n">
        <v>1</v>
      </c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 t="n">
        <v>2</v>
      </c>
      <c r="AV122" s="9"/>
      <c r="AW122" s="9"/>
      <c r="AX122" s="9"/>
      <c r="AY122" s="9"/>
      <c r="AZ122" s="9"/>
      <c r="BA122" s="9"/>
      <c r="BB122" s="9" t="n">
        <v>2</v>
      </c>
      <c r="BC122" s="9" t="n">
        <v>1</v>
      </c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  <c r="BP122" s="9"/>
      <c r="BQ122" s="9"/>
      <c r="BR122" s="9"/>
      <c r="BS122" s="9"/>
      <c r="BT122" s="9"/>
      <c r="BU122" s="10" t="n">
        <v>8</v>
      </c>
      <c r="BV122" s="11" t="n">
        <f aca="false">IF(ISERROR(ROUND(MEDIAN(BQ122:BT122),0)),0,ROUND(MEDIAN(BQ122:BT122),0))</f>
        <v>0</v>
      </c>
      <c r="BW122" s="11" t="n">
        <f aca="false">IF(ISERROR(ROUND(MEDIAN(BM122:BT122),0)),0,ROUND(MEDIAN(BM122:BT122),0))</f>
        <v>0</v>
      </c>
      <c r="BX122" s="11" t="n">
        <f aca="false">IF(ISERROR(ROUND(MEDIAN(BI122:BT122),0)),0,ROUND(MEDIAN(BI122:BT122),0))</f>
        <v>0</v>
      </c>
      <c r="BY122" s="11" t="n">
        <f aca="false">IF(ISERROR(ROUND(MEDIAN(BE122:BT122),0)),0,ROUND(MEDIAN(BE122:BT122),0))</f>
        <v>0</v>
      </c>
      <c r="BZ122" s="11" t="n">
        <f aca="false">IF(ISERROR(ROUND(MEDIAN(AU122:BT122),0)),0,ROUND(MEDIAN(AU122:BT122),0))</f>
        <v>2</v>
      </c>
      <c r="CA122" s="12" t="n">
        <f aca="false">IF(ISERROR(ROUND(MEDIAN(U122:BT122),0)),0,ROUND(MEDIAN(U122:BT122),0))</f>
        <v>2</v>
      </c>
      <c r="CB122" s="12" t="n">
        <f aca="false">IF(ISERROR(ROUND(MEDIAN(BT122),0)),0,ROUND(MEDIAN(BT122),0))</f>
        <v>0</v>
      </c>
      <c r="CC122" s="12" t="n">
        <f aca="false">IF(ISERROR(ROUND(MEDIAN(D122:BT122),0)),0,ROUND(MEDIAN(D122:BT122),0))</f>
        <v>2</v>
      </c>
      <c r="CD122" s="12" t="n">
        <f aca="false">MAX(D122:BT122)</f>
        <v>2</v>
      </c>
      <c r="CE122" s="7" t="n">
        <f aca="false">COUNTA(BQ122:BT122)</f>
        <v>0</v>
      </c>
      <c r="CF122" s="7" t="n">
        <f aca="false">COUNTA(BM122:BT122)</f>
        <v>0</v>
      </c>
      <c r="CG122" s="7" t="n">
        <f aca="false">COUNTA(BI122:BT122)</f>
        <v>0</v>
      </c>
      <c r="CH122" s="7" t="n">
        <f aca="false">COUNTA(BE122:BT122)</f>
        <v>0</v>
      </c>
      <c r="CI122" s="7" t="n">
        <f aca="false">COUNTA(AU122:BT122)</f>
        <v>3</v>
      </c>
      <c r="CJ122" s="7" t="n">
        <f aca="false">COUNTA(U122:BT122)</f>
        <v>5</v>
      </c>
      <c r="CK122" s="7" t="n">
        <f aca="false">COUNTA(BT122)</f>
        <v>0</v>
      </c>
      <c r="CL122" s="7" t="n">
        <f aca="false">COUNTA(D122:BT122)</f>
        <v>5</v>
      </c>
      <c r="CM122" s="19" t="str">
        <f aca="false">IF(AND(CE122=1,CJ122=1,BT122&lt;&gt;""),"5.ENTRANTES",IF(AND(CE122&lt;&gt;0,CE122/RIGHT($CE$1,1)&gt;=0.5,CJ122=CE122),"4.RECENTES",IF(AND(CF122&lt;&gt;0,CF122/RIGHT($CF$1,1)&gt;=0.5,CJ122=CF122),"4.RECENTES",IF(AND(CG122&lt;&gt;0,CG122/RIGHT($CG$1,2)&gt;=0.5,CJ122=CG122),"4.RECENTES",IF(AND(CH122&lt;&gt;0,CH122/RIGHT($CH$1,2)&gt;=0.5,CJ122=CH122),"4.RECENTES",IF(AND(CI122&lt;&gt;0,CI122/RIGHT($CI$1,2)&gt;=0.5,CJ122=CI122),"4.RECENTES",IF(AND(CE122=0,CF122=0,CG122=0,CH122=0),"3.INATIVOS",IF(CJ122/RIGHT($CJ$1,2)&lt;0.5,"2.INTERMITENTES","1.ORDINÁRIOS"))))))))</f>
        <v>3.INATIVOS</v>
      </c>
      <c r="CN122" s="20" t="n">
        <f aca="false">IF(AND(CE122=1,CJ122=1,BT122&lt;&gt;""),BT122,IF(AND(CE122&lt;&gt;0,CE122/RIGHT($CE$1,1)&gt;=0.5,CJ122=CE122),MAX(BV122:CC122),IF(AND(CF122&lt;&gt;0,CF122/RIGHT($CF$1,1)&gt;=0.5,CJ122=CF122),MAX(BV122:CC122),IF(AND(CG122&lt;&gt;0,CG122/RIGHT($CG$1,2)&gt;=0.5,CJ122=CG122),MAX(BV122:CC122),IF(AND(CH122&lt;&gt;0,CH122/RIGHT($CH$1,2)&gt;=0.5,CJ122=CH122),MAX(BV122:CC122),IF(AND(CI122&lt;&gt;0,CI122/RIGHT($CI$1,2)&gt;=0.5,CJ122=CI122),MAX(BV122:CC122),IF(AND(CE122=0,CF122=0,CG122=0,CH122=0),0,IF(CJ122/RIGHT($CJ$1,2)&lt;0.5,ROUND(BU122/RIGHT($CJ$1,2),0),MAX(BV122:CC122)))))))))</f>
        <v>0</v>
      </c>
      <c r="CO122" s="20" t="n">
        <f aca="false">CN122*3</f>
        <v>0</v>
      </c>
      <c r="CP122" s="15" t="n">
        <v>5</v>
      </c>
      <c r="CQ122" s="16" t="n">
        <f aca="false">IF((CO122-CP122)&lt;0,0,(CO122-CP122))</f>
        <v>0</v>
      </c>
      <c r="CR122" s="7"/>
    </row>
    <row r="123" customFormat="false" ht="12.75" hidden="false" customHeight="true" outlineLevel="0" collapsed="false">
      <c r="A123" s="7" t="s">
        <v>95</v>
      </c>
      <c r="B123" s="7" t="s">
        <v>217</v>
      </c>
      <c r="C123" s="8" t="n">
        <v>2000059</v>
      </c>
      <c r="D123" s="9"/>
      <c r="E123" s="9" t="n">
        <v>6</v>
      </c>
      <c r="F123" s="9" t="n">
        <v>4</v>
      </c>
      <c r="G123" s="9" t="n">
        <v>4</v>
      </c>
      <c r="H123" s="9"/>
      <c r="I123" s="9" t="n">
        <v>2</v>
      </c>
      <c r="J123" s="9" t="n">
        <v>3</v>
      </c>
      <c r="K123" s="9" t="n">
        <v>7</v>
      </c>
      <c r="L123" s="9" t="n">
        <v>3</v>
      </c>
      <c r="M123" s="9" t="n">
        <v>3</v>
      </c>
      <c r="N123" s="9" t="n">
        <v>7</v>
      </c>
      <c r="O123" s="9" t="n">
        <v>1</v>
      </c>
      <c r="P123" s="9"/>
      <c r="Q123" s="9" t="n">
        <v>2</v>
      </c>
      <c r="R123" s="9" t="n">
        <v>1</v>
      </c>
      <c r="S123" s="9" t="n">
        <v>3</v>
      </c>
      <c r="T123" s="9" t="n">
        <v>4</v>
      </c>
      <c r="U123" s="9" t="n">
        <v>8</v>
      </c>
      <c r="V123" s="9" t="n">
        <v>3</v>
      </c>
      <c r="W123" s="9" t="n">
        <v>1</v>
      </c>
      <c r="X123" s="9" t="n">
        <v>2</v>
      </c>
      <c r="Y123" s="9" t="n">
        <v>2</v>
      </c>
      <c r="Z123" s="9" t="n">
        <v>1</v>
      </c>
      <c r="AA123" s="9" t="n">
        <v>4</v>
      </c>
      <c r="AB123" s="9" t="n">
        <v>3</v>
      </c>
      <c r="AC123" s="9" t="n">
        <v>4</v>
      </c>
      <c r="AD123" s="9" t="n">
        <v>3</v>
      </c>
      <c r="AE123" s="9" t="n">
        <v>2</v>
      </c>
      <c r="AF123" s="9" t="n">
        <v>4</v>
      </c>
      <c r="AG123" s="9"/>
      <c r="AH123" s="9" t="n">
        <v>1</v>
      </c>
      <c r="AI123" s="9" t="n">
        <v>2</v>
      </c>
      <c r="AJ123" s="9" t="n">
        <v>3</v>
      </c>
      <c r="AK123" s="9" t="n">
        <v>2</v>
      </c>
      <c r="AL123" s="9"/>
      <c r="AM123" s="9" t="n">
        <v>1</v>
      </c>
      <c r="AN123" s="9" t="n">
        <v>3</v>
      </c>
      <c r="AO123" s="9" t="n">
        <v>2</v>
      </c>
      <c r="AP123" s="9" t="n">
        <v>2</v>
      </c>
      <c r="AQ123" s="9" t="n">
        <v>1</v>
      </c>
      <c r="AR123" s="9" t="n">
        <v>1</v>
      </c>
      <c r="AS123" s="9"/>
      <c r="AT123" s="9" t="n">
        <v>1</v>
      </c>
      <c r="AU123" s="9" t="n">
        <v>1</v>
      </c>
      <c r="AV123" s="9" t="n">
        <v>3</v>
      </c>
      <c r="AW123" s="9" t="n">
        <v>5</v>
      </c>
      <c r="AX123" s="9" t="n">
        <v>2</v>
      </c>
      <c r="AY123" s="9" t="n">
        <v>1</v>
      </c>
      <c r="AZ123" s="9" t="n">
        <v>3</v>
      </c>
      <c r="BA123" s="9" t="n">
        <v>1</v>
      </c>
      <c r="BB123" s="9" t="n">
        <v>1</v>
      </c>
      <c r="BC123" s="9" t="n">
        <v>1</v>
      </c>
      <c r="BD123" s="9"/>
      <c r="BE123" s="9" t="n">
        <v>1</v>
      </c>
      <c r="BF123" s="9"/>
      <c r="BG123" s="9"/>
      <c r="BH123" s="9" t="n">
        <v>1</v>
      </c>
      <c r="BI123" s="9" t="n">
        <v>1</v>
      </c>
      <c r="BJ123" s="9" t="n">
        <v>1</v>
      </c>
      <c r="BK123" s="9" t="n">
        <v>1</v>
      </c>
      <c r="BL123" s="9" t="n">
        <v>2</v>
      </c>
      <c r="BM123" s="9" t="n">
        <v>5</v>
      </c>
      <c r="BN123" s="9"/>
      <c r="BO123" s="9"/>
      <c r="BP123" s="9" t="n">
        <v>5</v>
      </c>
      <c r="BQ123" s="9" t="n">
        <v>1</v>
      </c>
      <c r="BR123" s="9" t="n">
        <v>2</v>
      </c>
      <c r="BS123" s="9"/>
      <c r="BT123" s="9" t="n">
        <v>2</v>
      </c>
      <c r="BU123" s="10" t="n">
        <v>146</v>
      </c>
      <c r="BV123" s="11" t="n">
        <f aca="false">IF(ISERROR(ROUND(MEDIAN(BQ123:BT123),0)),0,ROUND(MEDIAN(BQ123:BT123),0))</f>
        <v>2</v>
      </c>
      <c r="BW123" s="11" t="n">
        <f aca="false">IF(ISERROR(ROUND(MEDIAN(BM123:BT123),0)),0,ROUND(MEDIAN(BM123:BT123),0))</f>
        <v>2</v>
      </c>
      <c r="BX123" s="11" t="n">
        <f aca="false">IF(ISERROR(ROUND(MEDIAN(BI123:BT123),0)),0,ROUND(MEDIAN(BI123:BT123),0))</f>
        <v>2</v>
      </c>
      <c r="BY123" s="11" t="n">
        <f aca="false">IF(ISERROR(ROUND(MEDIAN(BE123:BT123),0)),0,ROUND(MEDIAN(BE123:BT123),0))</f>
        <v>1</v>
      </c>
      <c r="BZ123" s="11" t="n">
        <f aca="false">IF(ISERROR(ROUND(MEDIAN(AU123:BT123),0)),0,ROUND(MEDIAN(AU123:BT123),0))</f>
        <v>1</v>
      </c>
      <c r="CA123" s="12" t="n">
        <f aca="false">IF(ISERROR(ROUND(MEDIAN(U123:BT123),0)),0,ROUND(MEDIAN(U123:BT123),0))</f>
        <v>2</v>
      </c>
      <c r="CB123" s="12" t="n">
        <f aca="false">IF(ISERROR(ROUND(MEDIAN(BT123),0)),0,ROUND(MEDIAN(BT123),0))</f>
        <v>2</v>
      </c>
      <c r="CC123" s="12" t="n">
        <f aca="false">IF(ISERROR(ROUND(MEDIAN(D123:BT123),0)),0,ROUND(MEDIAN(D123:BT123),0))</f>
        <v>2</v>
      </c>
      <c r="CD123" s="12" t="n">
        <f aca="false">MAX(D123:BT123)</f>
        <v>8</v>
      </c>
      <c r="CE123" s="7" t="n">
        <f aca="false">COUNTA(BQ123:BT123)</f>
        <v>3</v>
      </c>
      <c r="CF123" s="7" t="n">
        <f aca="false">COUNTA(BM123:BT123)</f>
        <v>5</v>
      </c>
      <c r="CG123" s="7" t="n">
        <f aca="false">COUNTA(BI123:BT123)</f>
        <v>9</v>
      </c>
      <c r="CH123" s="7" t="n">
        <f aca="false">COUNTA(BE123:BT123)</f>
        <v>11</v>
      </c>
      <c r="CI123" s="7" t="n">
        <f aca="false">COUNTA(AU123:BT123)</f>
        <v>20</v>
      </c>
      <c r="CJ123" s="7" t="n">
        <f aca="false">COUNTA(U123:BT123)</f>
        <v>43</v>
      </c>
      <c r="CK123" s="7" t="n">
        <f aca="false">COUNTA(BT123)</f>
        <v>1</v>
      </c>
      <c r="CL123" s="7" t="n">
        <f aca="false">COUNTA(D123:BT123)</f>
        <v>57</v>
      </c>
      <c r="CM123" s="13" t="str">
        <f aca="false">IF(AND(CE123=1,CJ123=1,BT123&lt;&gt;""),"5.ENTRANTES",IF(AND(CE123&lt;&gt;0,CE123/RIGHT($CE$1,1)&gt;=0.5,CJ123=CE123),"4.RECENTES",IF(AND(CF123&lt;&gt;0,CF123/RIGHT($CF$1,1)&gt;=0.5,CJ123=CF123),"4.RECENTES",IF(AND(CG123&lt;&gt;0,CG123/RIGHT($CG$1,2)&gt;=0.5,CJ123=CG123),"4.RECENTES",IF(AND(CH123&lt;&gt;0,CH123/RIGHT($CH$1,2)&gt;=0.5,CJ123=CH123),"4.RECENTES",IF(AND(CI123&lt;&gt;0,CI123/RIGHT($CI$1,2)&gt;=0.5,CJ123=CI123),"4.RECENTES",IF(AND(CE123=0,CF123=0,CG123=0,CH123=0),"3.INATIVOS",IF(CJ123/RIGHT($CJ$1,2)&lt;0.5,"2.INTERMITENTES","1.ORDINÁRIOS"))))))))</f>
        <v>1.ORDINÁRIOS</v>
      </c>
      <c r="CN123" s="14" t="n">
        <f aca="false">IF(AND(CE123=1,CJ123=1,BT123&lt;&gt;""),BT123,IF(AND(CE123&lt;&gt;0,CE123/RIGHT($CE$1,1)&gt;=0.5,CJ123=CE123),MAX(BV123:CC123),IF(AND(CF123&lt;&gt;0,CF123/RIGHT($CF$1,1)&gt;=0.5,CJ123=CF123),MAX(BV123:CC123),IF(AND(CG123&lt;&gt;0,CG123/RIGHT($CG$1,2)&gt;=0.5,CJ123=CG123),MAX(BV123:CC123),IF(AND(CH123&lt;&gt;0,CH123/RIGHT($CH$1,2)&gt;=0.5,CJ123=CH123),MAX(BV123:CC123),IF(AND(CI123&lt;&gt;0,CI123/RIGHT($CI$1,2)&gt;=0.5,CJ123=CI123),MAX(BV123:CC123),IF(AND(CE123=0,CF123=0,CG123=0,CH123=0),0,IF(CJ123/RIGHT($CJ$1,2)&lt;0.5,ROUND(BU123/RIGHT($CJ$1,2),0),MAX(BV123:CC123)))))))))</f>
        <v>2</v>
      </c>
      <c r="CO123" s="14" t="n">
        <f aca="false">CN123*3</f>
        <v>6</v>
      </c>
      <c r="CP123" s="15" t="n">
        <v>12</v>
      </c>
      <c r="CQ123" s="16" t="n">
        <f aca="false">IF((CO123-CP123)&lt;0,0,(CO123-CP123))</f>
        <v>0</v>
      </c>
      <c r="CR123" s="7"/>
    </row>
    <row r="124" customFormat="false" ht="12.75" hidden="false" customHeight="true" outlineLevel="0" collapsed="false">
      <c r="A124" s="7" t="s">
        <v>95</v>
      </c>
      <c r="B124" s="7" t="s">
        <v>218</v>
      </c>
      <c r="C124" s="8" t="n">
        <v>2000027</v>
      </c>
      <c r="D124" s="9" t="n">
        <v>6</v>
      </c>
      <c r="E124" s="9" t="n">
        <v>32</v>
      </c>
      <c r="F124" s="9" t="n">
        <v>30</v>
      </c>
      <c r="G124" s="9" t="n">
        <v>41</v>
      </c>
      <c r="H124" s="9" t="n">
        <v>11</v>
      </c>
      <c r="I124" s="9" t="n">
        <v>24</v>
      </c>
      <c r="J124" s="9" t="n">
        <v>20</v>
      </c>
      <c r="K124" s="9" t="n">
        <v>17</v>
      </c>
      <c r="L124" s="9" t="n">
        <v>25</v>
      </c>
      <c r="M124" s="9" t="n">
        <v>27</v>
      </c>
      <c r="N124" s="9" t="n">
        <v>28</v>
      </c>
      <c r="O124" s="9" t="n">
        <v>33</v>
      </c>
      <c r="P124" s="9" t="n">
        <v>16</v>
      </c>
      <c r="Q124" s="9" t="n">
        <v>6</v>
      </c>
      <c r="R124" s="9" t="n">
        <v>33</v>
      </c>
      <c r="S124" s="9" t="n">
        <v>7</v>
      </c>
      <c r="T124" s="9" t="n">
        <v>18</v>
      </c>
      <c r="U124" s="9" t="n">
        <v>25</v>
      </c>
      <c r="V124" s="9" t="n">
        <v>21</v>
      </c>
      <c r="W124" s="9" t="n">
        <v>30</v>
      </c>
      <c r="X124" s="9" t="n">
        <v>6</v>
      </c>
      <c r="Y124" s="9" t="n">
        <v>12</v>
      </c>
      <c r="Z124" s="9" t="n">
        <v>13</v>
      </c>
      <c r="AA124" s="9" t="n">
        <v>27</v>
      </c>
      <c r="AB124" s="9" t="n">
        <v>30</v>
      </c>
      <c r="AC124" s="9" t="n">
        <v>34</v>
      </c>
      <c r="AD124" s="9" t="n">
        <v>22</v>
      </c>
      <c r="AE124" s="9" t="n">
        <v>8</v>
      </c>
      <c r="AF124" s="9" t="n">
        <v>11</v>
      </c>
      <c r="AG124" s="9" t="n">
        <v>20</v>
      </c>
      <c r="AH124" s="9" t="n">
        <v>14</v>
      </c>
      <c r="AI124" s="9" t="n">
        <v>19</v>
      </c>
      <c r="AJ124" s="9" t="n">
        <v>32</v>
      </c>
      <c r="AK124" s="9" t="n">
        <v>16</v>
      </c>
      <c r="AL124" s="9" t="n">
        <v>12</v>
      </c>
      <c r="AM124" s="9" t="n">
        <v>10</v>
      </c>
      <c r="AN124" s="9" t="n">
        <v>33</v>
      </c>
      <c r="AO124" s="9" t="n">
        <v>8</v>
      </c>
      <c r="AP124" s="9" t="n">
        <v>15</v>
      </c>
      <c r="AQ124" s="9" t="n">
        <v>16</v>
      </c>
      <c r="AR124" s="9" t="n">
        <v>14</v>
      </c>
      <c r="AS124" s="9" t="n">
        <v>16</v>
      </c>
      <c r="AT124" s="9" t="n">
        <v>16</v>
      </c>
      <c r="AU124" s="9" t="n">
        <v>11</v>
      </c>
      <c r="AV124" s="9" t="n">
        <v>8</v>
      </c>
      <c r="AW124" s="9" t="n">
        <v>8</v>
      </c>
      <c r="AX124" s="9" t="n">
        <v>20</v>
      </c>
      <c r="AY124" s="9" t="n">
        <v>9</v>
      </c>
      <c r="AZ124" s="9" t="n">
        <v>14</v>
      </c>
      <c r="BA124" s="9" t="n">
        <v>18</v>
      </c>
      <c r="BB124" s="9" t="n">
        <v>10</v>
      </c>
      <c r="BC124" s="9" t="n">
        <v>24</v>
      </c>
      <c r="BD124" s="9" t="n">
        <v>9</v>
      </c>
      <c r="BE124" s="9" t="n">
        <v>21</v>
      </c>
      <c r="BF124" s="9" t="n">
        <v>7</v>
      </c>
      <c r="BG124" s="9" t="n">
        <v>14</v>
      </c>
      <c r="BH124" s="9" t="n">
        <v>18</v>
      </c>
      <c r="BI124" s="9" t="n">
        <v>17</v>
      </c>
      <c r="BJ124" s="9" t="n">
        <v>5</v>
      </c>
      <c r="BK124" s="9" t="n">
        <v>15</v>
      </c>
      <c r="BL124" s="9" t="n">
        <v>8</v>
      </c>
      <c r="BM124" s="9" t="n">
        <v>17</v>
      </c>
      <c r="BN124" s="9" t="n">
        <v>39</v>
      </c>
      <c r="BO124" s="9" t="n">
        <v>21</v>
      </c>
      <c r="BP124" s="9" t="n">
        <v>19</v>
      </c>
      <c r="BQ124" s="9" t="n">
        <v>12</v>
      </c>
      <c r="BR124" s="9" t="n">
        <v>16</v>
      </c>
      <c r="BS124" s="9" t="n">
        <v>9</v>
      </c>
      <c r="BT124" s="9" t="n">
        <v>15</v>
      </c>
      <c r="BU124" s="10" t="n">
        <v>1238</v>
      </c>
      <c r="BV124" s="11" t="n">
        <f aca="false">IF(ISERROR(ROUND(MEDIAN(BQ124:BT124),0)),0,ROUND(MEDIAN(BQ124:BT124),0))</f>
        <v>14</v>
      </c>
      <c r="BW124" s="11" t="n">
        <f aca="false">IF(ISERROR(ROUND(MEDIAN(BM124:BT124),0)),0,ROUND(MEDIAN(BM124:BT124),0))</f>
        <v>17</v>
      </c>
      <c r="BX124" s="11" t="n">
        <f aca="false">IF(ISERROR(ROUND(MEDIAN(BI124:BT124),0)),0,ROUND(MEDIAN(BI124:BT124),0))</f>
        <v>16</v>
      </c>
      <c r="BY124" s="11" t="n">
        <f aca="false">IF(ISERROR(ROUND(MEDIAN(BE124:BT124),0)),0,ROUND(MEDIAN(BE124:BT124),0))</f>
        <v>16</v>
      </c>
      <c r="BZ124" s="11" t="n">
        <f aca="false">IF(ISERROR(ROUND(MEDIAN(AU124:BT124),0)),0,ROUND(MEDIAN(AU124:BT124),0))</f>
        <v>15</v>
      </c>
      <c r="CA124" s="12" t="n">
        <f aca="false">IF(ISERROR(ROUND(MEDIAN(U124:BT124),0)),0,ROUND(MEDIAN(U124:BT124),0))</f>
        <v>16</v>
      </c>
      <c r="CB124" s="12" t="n">
        <f aca="false">IF(ISERROR(ROUND(MEDIAN(BT124),0)),0,ROUND(MEDIAN(BT124),0))</f>
        <v>15</v>
      </c>
      <c r="CC124" s="12" t="n">
        <f aca="false">IF(ISERROR(ROUND(MEDIAN(D124:BT124),0)),0,ROUND(MEDIAN(D124:BT124),0))</f>
        <v>16</v>
      </c>
      <c r="CD124" s="12" t="n">
        <f aca="false">MAX(D124:BT124)</f>
        <v>41</v>
      </c>
      <c r="CE124" s="7" t="n">
        <f aca="false">COUNTA(BQ124:BT124)</f>
        <v>4</v>
      </c>
      <c r="CF124" s="7" t="n">
        <f aca="false">COUNTA(BM124:BT124)</f>
        <v>8</v>
      </c>
      <c r="CG124" s="7" t="n">
        <f aca="false">COUNTA(BI124:BT124)</f>
        <v>12</v>
      </c>
      <c r="CH124" s="7" t="n">
        <f aca="false">COUNTA(BE124:BT124)</f>
        <v>16</v>
      </c>
      <c r="CI124" s="7" t="n">
        <f aca="false">COUNTA(AU124:BT124)</f>
        <v>26</v>
      </c>
      <c r="CJ124" s="7" t="n">
        <f aca="false">COUNTA(U124:BT124)</f>
        <v>52</v>
      </c>
      <c r="CK124" s="7" t="n">
        <f aca="false">COUNTA(BT124)</f>
        <v>1</v>
      </c>
      <c r="CL124" s="7" t="n">
        <f aca="false">COUNTA(D124:BT124)</f>
        <v>69</v>
      </c>
      <c r="CM124" s="13" t="str">
        <f aca="false">IF(AND(CE124=1,CJ124=1,BT124&lt;&gt;""),"5.ENTRANTES",IF(AND(CE124&lt;&gt;0,CE124/RIGHT($CE$1,1)&gt;=0.5,CJ124=CE124),"4.RECENTES",IF(AND(CF124&lt;&gt;0,CF124/RIGHT($CF$1,1)&gt;=0.5,CJ124=CF124),"4.RECENTES",IF(AND(CG124&lt;&gt;0,CG124/RIGHT($CG$1,2)&gt;=0.5,CJ124=CG124),"4.RECENTES",IF(AND(CH124&lt;&gt;0,CH124/RIGHT($CH$1,2)&gt;=0.5,CJ124=CH124),"4.RECENTES",IF(AND(CI124&lt;&gt;0,CI124/RIGHT($CI$1,2)&gt;=0.5,CJ124=CI124),"4.RECENTES",IF(AND(CE124=0,CF124=0,CG124=0,CH124=0),"3.INATIVOS",IF(CJ124/RIGHT($CJ$1,2)&lt;0.5,"2.INTERMITENTES","1.ORDINÁRIOS"))))))))</f>
        <v>1.ORDINÁRIOS</v>
      </c>
      <c r="CN124" s="14" t="n">
        <f aca="false">IF(AND(CE124=1,CJ124=1,BT124&lt;&gt;""),BT124,IF(AND(CE124&lt;&gt;0,CE124/RIGHT($CE$1,1)&gt;=0.5,CJ124=CE124),MAX(BV124:CC124),IF(AND(CF124&lt;&gt;0,CF124/RIGHT($CF$1,1)&gt;=0.5,CJ124=CF124),MAX(BV124:CC124),IF(AND(CG124&lt;&gt;0,CG124/RIGHT($CG$1,2)&gt;=0.5,CJ124=CG124),MAX(BV124:CC124),IF(AND(CH124&lt;&gt;0,CH124/RIGHT($CH$1,2)&gt;=0.5,CJ124=CH124),MAX(BV124:CC124),IF(AND(CI124&lt;&gt;0,CI124/RIGHT($CI$1,2)&gt;=0.5,CJ124=CI124),MAX(BV124:CC124),IF(AND(CE124=0,CF124=0,CG124=0,CH124=0),0,IF(CJ124/RIGHT($CJ$1,2)&lt;0.5,ROUND(BU124/RIGHT($CJ$1,2),0),MAX(BV124:CC124)))))))))</f>
        <v>17</v>
      </c>
      <c r="CO124" s="14" t="n">
        <f aca="false">CN124*3</f>
        <v>51</v>
      </c>
      <c r="CP124" s="15" t="n">
        <v>42</v>
      </c>
      <c r="CQ124" s="16" t="n">
        <f aca="false">IF((CO124-CP124)&lt;0,0,(CO124-CP124))</f>
        <v>9</v>
      </c>
      <c r="CR124" s="7"/>
    </row>
    <row r="125" customFormat="false" ht="12.75" hidden="false" customHeight="true" outlineLevel="0" collapsed="false">
      <c r="A125" s="7" t="s">
        <v>95</v>
      </c>
      <c r="B125" s="7" t="s">
        <v>219</v>
      </c>
      <c r="C125" s="8" t="n">
        <v>1000008</v>
      </c>
      <c r="D125" s="9" t="n">
        <v>120</v>
      </c>
      <c r="E125" s="9" t="n">
        <v>390</v>
      </c>
      <c r="F125" s="9" t="n">
        <v>360</v>
      </c>
      <c r="G125" s="9" t="n">
        <v>480</v>
      </c>
      <c r="H125" s="9" t="n">
        <v>150</v>
      </c>
      <c r="I125" s="9" t="n">
        <v>300</v>
      </c>
      <c r="J125" s="9" t="n">
        <v>300</v>
      </c>
      <c r="K125" s="9" t="n">
        <v>210</v>
      </c>
      <c r="L125" s="9" t="n">
        <v>600</v>
      </c>
      <c r="M125" s="9" t="n">
        <v>270</v>
      </c>
      <c r="N125" s="9" t="n">
        <v>300</v>
      </c>
      <c r="O125" s="9" t="n">
        <v>180</v>
      </c>
      <c r="P125" s="9" t="n">
        <v>450</v>
      </c>
      <c r="Q125" s="9" t="n">
        <v>30</v>
      </c>
      <c r="R125" s="9" t="n">
        <v>330</v>
      </c>
      <c r="S125" s="9" t="n">
        <v>390</v>
      </c>
      <c r="T125" s="9" t="n">
        <v>450</v>
      </c>
      <c r="U125" s="9" t="n">
        <v>360</v>
      </c>
      <c r="V125" s="9" t="n">
        <v>180</v>
      </c>
      <c r="W125" s="9" t="n">
        <v>390</v>
      </c>
      <c r="X125" s="9" t="n">
        <v>300</v>
      </c>
      <c r="Y125" s="9" t="n">
        <v>510</v>
      </c>
      <c r="Z125" s="9" t="n">
        <v>180</v>
      </c>
      <c r="AA125" s="9" t="n">
        <v>300</v>
      </c>
      <c r="AB125" s="9" t="n">
        <v>300</v>
      </c>
      <c r="AC125" s="9" t="n">
        <v>390</v>
      </c>
      <c r="AD125" s="9" t="n">
        <v>270</v>
      </c>
      <c r="AE125" s="9" t="n">
        <v>600</v>
      </c>
      <c r="AF125" s="9" t="n">
        <v>180</v>
      </c>
      <c r="AG125" s="9" t="n">
        <v>300</v>
      </c>
      <c r="AH125" s="9" t="n">
        <v>330</v>
      </c>
      <c r="AI125" s="9" t="n">
        <v>180</v>
      </c>
      <c r="AJ125" s="9" t="n">
        <v>510</v>
      </c>
      <c r="AK125" s="9" t="n">
        <v>240</v>
      </c>
      <c r="AL125" s="9" t="n">
        <v>450</v>
      </c>
      <c r="AM125" s="9" t="n">
        <v>150</v>
      </c>
      <c r="AN125" s="9" t="n">
        <v>600</v>
      </c>
      <c r="AO125" s="9"/>
      <c r="AP125" s="9" t="n">
        <v>270</v>
      </c>
      <c r="AQ125" s="9" t="n">
        <v>90</v>
      </c>
      <c r="AR125" s="9" t="n">
        <v>570</v>
      </c>
      <c r="AS125" s="9" t="n">
        <v>240</v>
      </c>
      <c r="AT125" s="9" t="n">
        <v>180</v>
      </c>
      <c r="AU125" s="9" t="n">
        <v>30</v>
      </c>
      <c r="AV125" s="9" t="n">
        <v>150</v>
      </c>
      <c r="AW125" s="9" t="n">
        <v>580</v>
      </c>
      <c r="AX125" s="9" t="n">
        <v>90</v>
      </c>
      <c r="AY125" s="9" t="n">
        <v>60</v>
      </c>
      <c r="AZ125" s="9" t="n">
        <v>60</v>
      </c>
      <c r="BA125" s="9" t="n">
        <v>330</v>
      </c>
      <c r="BB125" s="9" t="n">
        <v>120</v>
      </c>
      <c r="BC125" s="9" t="n">
        <v>300</v>
      </c>
      <c r="BD125" s="9"/>
      <c r="BE125" s="9" t="n">
        <v>360</v>
      </c>
      <c r="BF125" s="9" t="n">
        <v>300</v>
      </c>
      <c r="BG125" s="9" t="n">
        <v>210</v>
      </c>
      <c r="BH125" s="9" t="n">
        <v>150</v>
      </c>
      <c r="BI125" s="9" t="n">
        <v>90</v>
      </c>
      <c r="BJ125" s="9" t="n">
        <v>360</v>
      </c>
      <c r="BK125" s="9" t="n">
        <v>120</v>
      </c>
      <c r="BL125" s="9" t="n">
        <v>210</v>
      </c>
      <c r="BM125" s="9" t="n">
        <v>120</v>
      </c>
      <c r="BN125" s="9" t="n">
        <v>270</v>
      </c>
      <c r="BO125" s="9" t="n">
        <v>120</v>
      </c>
      <c r="BP125" s="9" t="n">
        <v>210</v>
      </c>
      <c r="BQ125" s="9" t="n">
        <v>210</v>
      </c>
      <c r="BR125" s="9" t="n">
        <v>270</v>
      </c>
      <c r="BS125" s="9" t="n">
        <v>360</v>
      </c>
      <c r="BT125" s="9" t="n">
        <v>120</v>
      </c>
      <c r="BU125" s="10" t="n">
        <v>18580</v>
      </c>
      <c r="BV125" s="11" t="n">
        <f aca="false">IF(ISERROR(ROUND(MEDIAN(BQ125:BT125),0)),0,ROUND(MEDIAN(BQ125:BT125),0))</f>
        <v>240</v>
      </c>
      <c r="BW125" s="11" t="n">
        <f aca="false">IF(ISERROR(ROUND(MEDIAN(BM125:BT125),0)),0,ROUND(MEDIAN(BM125:BT125),0))</f>
        <v>210</v>
      </c>
      <c r="BX125" s="11" t="n">
        <f aca="false">IF(ISERROR(ROUND(MEDIAN(BI125:BT125),0)),0,ROUND(MEDIAN(BI125:BT125),0))</f>
        <v>210</v>
      </c>
      <c r="BY125" s="11" t="n">
        <f aca="false">IF(ISERROR(ROUND(MEDIAN(BE125:BT125),0)),0,ROUND(MEDIAN(BE125:BT125),0))</f>
        <v>210</v>
      </c>
      <c r="BZ125" s="11" t="n">
        <f aca="false">IF(ISERROR(ROUND(MEDIAN(AU125:BT125),0)),0,ROUND(MEDIAN(AU125:BT125),0))</f>
        <v>210</v>
      </c>
      <c r="CA125" s="12" t="n">
        <f aca="false">IF(ISERROR(ROUND(MEDIAN(U125:BT125),0)),0,ROUND(MEDIAN(U125:BT125),0))</f>
        <v>255</v>
      </c>
      <c r="CB125" s="12" t="n">
        <f aca="false">IF(ISERROR(ROUND(MEDIAN(BT125),0)),0,ROUND(MEDIAN(BT125),0))</f>
        <v>120</v>
      </c>
      <c r="CC125" s="12" t="n">
        <f aca="false">IF(ISERROR(ROUND(MEDIAN(D125:BT125),0)),0,ROUND(MEDIAN(D125:BT125),0))</f>
        <v>270</v>
      </c>
      <c r="CD125" s="12" t="n">
        <f aca="false">MAX(D125:BT125)</f>
        <v>600</v>
      </c>
      <c r="CE125" s="7" t="n">
        <f aca="false">COUNTA(BQ125:BT125)</f>
        <v>4</v>
      </c>
      <c r="CF125" s="7" t="n">
        <f aca="false">COUNTA(BM125:BT125)</f>
        <v>8</v>
      </c>
      <c r="CG125" s="7" t="n">
        <f aca="false">COUNTA(BI125:BT125)</f>
        <v>12</v>
      </c>
      <c r="CH125" s="7" t="n">
        <f aca="false">COUNTA(BE125:BT125)</f>
        <v>16</v>
      </c>
      <c r="CI125" s="7" t="n">
        <f aca="false">COUNTA(AU125:BT125)</f>
        <v>25</v>
      </c>
      <c r="CJ125" s="7" t="n">
        <f aca="false">COUNTA(U125:BT125)</f>
        <v>50</v>
      </c>
      <c r="CK125" s="7" t="n">
        <f aca="false">COUNTA(BT125)</f>
        <v>1</v>
      </c>
      <c r="CL125" s="7" t="n">
        <f aca="false">COUNTA(D125:BT125)</f>
        <v>67</v>
      </c>
      <c r="CM125" s="13" t="str">
        <f aca="false">IF(AND(CE125=1,CJ125=1,BT125&lt;&gt;""),"5.ENTRANTES",IF(AND(CE125&lt;&gt;0,CE125/RIGHT($CE$1,1)&gt;=0.5,CJ125=CE125),"4.RECENTES",IF(AND(CF125&lt;&gt;0,CF125/RIGHT($CF$1,1)&gt;=0.5,CJ125=CF125),"4.RECENTES",IF(AND(CG125&lt;&gt;0,CG125/RIGHT($CG$1,2)&gt;=0.5,CJ125=CG125),"4.RECENTES",IF(AND(CH125&lt;&gt;0,CH125/RIGHT($CH$1,2)&gt;=0.5,CJ125=CH125),"4.RECENTES",IF(AND(CI125&lt;&gt;0,CI125/RIGHT($CI$1,2)&gt;=0.5,CJ125=CI125),"4.RECENTES",IF(AND(CE125=0,CF125=0,CG125=0,CH125=0),"3.INATIVOS",IF(CJ125/RIGHT($CJ$1,2)&lt;0.5,"2.INTERMITENTES","1.ORDINÁRIOS"))))))))</f>
        <v>1.ORDINÁRIOS</v>
      </c>
      <c r="CN125" s="14" t="n">
        <f aca="false">IF(AND(CE125=1,CJ125=1,BT125&lt;&gt;""),BT125,IF(AND(CE125&lt;&gt;0,CE125/RIGHT($CE$1,1)&gt;=0.5,CJ125=CE125),MAX(BV125:CC125),IF(AND(CF125&lt;&gt;0,CF125/RIGHT($CF$1,1)&gt;=0.5,CJ125=CF125),MAX(BV125:CC125),IF(AND(CG125&lt;&gt;0,CG125/RIGHT($CG$1,2)&gt;=0.5,CJ125=CG125),MAX(BV125:CC125),IF(AND(CH125&lt;&gt;0,CH125/RIGHT($CH$1,2)&gt;=0.5,CJ125=CH125),MAX(BV125:CC125),IF(AND(CI125&lt;&gt;0,CI125/RIGHT($CI$1,2)&gt;=0.5,CJ125=CI125),MAX(BV125:CC125),IF(AND(CE125=0,CF125=0,CG125=0,CH125=0),0,IF(CJ125/RIGHT($CJ$1,2)&lt;0.5,ROUND(BU125/RIGHT($CJ$1,2),0),MAX(BV125:CC125)))))))))</f>
        <v>270</v>
      </c>
      <c r="CO125" s="14" t="n">
        <f aca="false">CN125*3</f>
        <v>810</v>
      </c>
      <c r="CP125" s="15" t="n">
        <v>570</v>
      </c>
      <c r="CQ125" s="16" t="n">
        <f aca="false">IF((CO125-CP125)&lt;0,0,(CO125-CP125))</f>
        <v>240</v>
      </c>
      <c r="CR125" s="7"/>
    </row>
    <row r="126" customFormat="false" ht="12.75" hidden="false" customHeight="true" outlineLevel="0" collapsed="false">
      <c r="A126" s="7" t="s">
        <v>95</v>
      </c>
      <c r="B126" s="7" t="s">
        <v>220</v>
      </c>
      <c r="C126" s="8" t="n">
        <v>2000058</v>
      </c>
      <c r="D126" s="9" t="n">
        <v>120</v>
      </c>
      <c r="E126" s="9" t="n">
        <v>546</v>
      </c>
      <c r="F126" s="9" t="n">
        <v>620</v>
      </c>
      <c r="G126" s="9"/>
      <c r="H126" s="9"/>
      <c r="I126" s="9"/>
      <c r="J126" s="9" t="n">
        <v>492</v>
      </c>
      <c r="K126" s="9" t="n">
        <v>384</v>
      </c>
      <c r="L126" s="9" t="n">
        <v>732</v>
      </c>
      <c r="M126" s="9" t="n">
        <v>714</v>
      </c>
      <c r="N126" s="9" t="n">
        <v>528</v>
      </c>
      <c r="O126" s="9" t="n">
        <v>588</v>
      </c>
      <c r="P126" s="9" t="n">
        <v>780</v>
      </c>
      <c r="Q126" s="9" t="n">
        <v>324</v>
      </c>
      <c r="R126" s="9" t="n">
        <v>408</v>
      </c>
      <c r="S126" s="9" t="n">
        <v>408</v>
      </c>
      <c r="T126" s="9" t="n">
        <v>384</v>
      </c>
      <c r="U126" s="9" t="n">
        <v>504</v>
      </c>
      <c r="V126" s="9" t="n">
        <v>708</v>
      </c>
      <c r="W126" s="9" t="n">
        <v>48</v>
      </c>
      <c r="X126" s="9" t="n">
        <v>72</v>
      </c>
      <c r="Y126" s="9" t="n">
        <v>24</v>
      </c>
      <c r="Z126" s="9" t="n">
        <v>372</v>
      </c>
      <c r="AA126" s="9" t="n">
        <v>552</v>
      </c>
      <c r="AB126" s="9" t="n">
        <v>780</v>
      </c>
      <c r="AC126" s="9" t="n">
        <v>972</v>
      </c>
      <c r="AD126" s="9" t="n">
        <v>912</v>
      </c>
      <c r="AE126" s="9" t="n">
        <v>504</v>
      </c>
      <c r="AF126" s="9" t="n">
        <v>504</v>
      </c>
      <c r="AG126" s="9" t="n">
        <v>624</v>
      </c>
      <c r="AH126" s="9" t="n">
        <v>708</v>
      </c>
      <c r="AI126" s="9" t="n">
        <v>558</v>
      </c>
      <c r="AJ126" s="9" t="n">
        <v>624</v>
      </c>
      <c r="AK126" s="9" t="n">
        <v>588</v>
      </c>
      <c r="AL126" s="9" t="n">
        <v>780</v>
      </c>
      <c r="AM126" s="9" t="n">
        <v>816</v>
      </c>
      <c r="AN126" s="9" t="n">
        <v>852</v>
      </c>
      <c r="AO126" s="9" t="n">
        <v>588</v>
      </c>
      <c r="AP126" s="9" t="n">
        <v>948</v>
      </c>
      <c r="AQ126" s="9" t="n">
        <v>1072</v>
      </c>
      <c r="AR126" s="9" t="n">
        <v>870</v>
      </c>
      <c r="AS126" s="9" t="n">
        <v>668</v>
      </c>
      <c r="AT126" s="9" t="n">
        <v>728</v>
      </c>
      <c r="AU126" s="9" t="n">
        <v>708</v>
      </c>
      <c r="AV126" s="9" t="n">
        <v>588</v>
      </c>
      <c r="AW126" s="9" t="n">
        <v>504</v>
      </c>
      <c r="AX126" s="9" t="n">
        <v>615</v>
      </c>
      <c r="AY126" s="9" t="n">
        <v>524</v>
      </c>
      <c r="AZ126" s="9" t="n">
        <v>702</v>
      </c>
      <c r="BA126" s="9" t="n">
        <v>760</v>
      </c>
      <c r="BB126" s="9" t="n">
        <v>790</v>
      </c>
      <c r="BC126" s="9" t="n">
        <v>857</v>
      </c>
      <c r="BD126" s="9" t="n">
        <v>852</v>
      </c>
      <c r="BE126" s="9" t="n">
        <v>1230</v>
      </c>
      <c r="BF126" s="9" t="n">
        <v>780</v>
      </c>
      <c r="BG126" s="9" t="n">
        <v>888</v>
      </c>
      <c r="BH126" s="9" t="n">
        <v>1042</v>
      </c>
      <c r="BI126" s="9" t="n">
        <v>804</v>
      </c>
      <c r="BJ126" s="9" t="n">
        <v>876</v>
      </c>
      <c r="BK126" s="9" t="n">
        <v>662</v>
      </c>
      <c r="BL126" s="9" t="n">
        <v>696</v>
      </c>
      <c r="BM126" s="9" t="n">
        <v>444</v>
      </c>
      <c r="BN126" s="9" t="n">
        <v>648</v>
      </c>
      <c r="BO126" s="9" t="n">
        <v>504</v>
      </c>
      <c r="BP126" s="9" t="n">
        <v>488</v>
      </c>
      <c r="BQ126" s="9" t="n">
        <v>516</v>
      </c>
      <c r="BR126" s="9" t="n">
        <v>504</v>
      </c>
      <c r="BS126" s="9" t="n">
        <v>336</v>
      </c>
      <c r="BT126" s="9" t="n">
        <v>312</v>
      </c>
      <c r="BU126" s="10" t="n">
        <v>41034</v>
      </c>
      <c r="BV126" s="11" t="n">
        <f aca="false">IF(ISERROR(ROUND(MEDIAN(BQ126:BT126),0)),0,ROUND(MEDIAN(BQ126:BT126),0))</f>
        <v>420</v>
      </c>
      <c r="BW126" s="11" t="n">
        <f aca="false">IF(ISERROR(ROUND(MEDIAN(BM126:BT126),0)),0,ROUND(MEDIAN(BM126:BT126),0))</f>
        <v>496</v>
      </c>
      <c r="BX126" s="11" t="n">
        <f aca="false">IF(ISERROR(ROUND(MEDIAN(BI126:BT126),0)),0,ROUND(MEDIAN(BI126:BT126),0))</f>
        <v>510</v>
      </c>
      <c r="BY126" s="11" t="n">
        <f aca="false">IF(ISERROR(ROUND(MEDIAN(BE126:BT126),0)),0,ROUND(MEDIAN(BE126:BT126),0))</f>
        <v>655</v>
      </c>
      <c r="BZ126" s="11" t="n">
        <f aca="false">IF(ISERROR(ROUND(MEDIAN(AU126:BT126),0)),0,ROUND(MEDIAN(AU126:BT126),0))</f>
        <v>679</v>
      </c>
      <c r="CA126" s="12" t="n">
        <f aca="false">IF(ISERROR(ROUND(MEDIAN(U126:BT126),0)),0,ROUND(MEDIAN(U126:BT126),0))</f>
        <v>665</v>
      </c>
      <c r="CB126" s="12" t="n">
        <f aca="false">IF(ISERROR(ROUND(MEDIAN(BT126),0)),0,ROUND(MEDIAN(BT126),0))</f>
        <v>312</v>
      </c>
      <c r="CC126" s="12" t="n">
        <f aca="false">IF(ISERROR(ROUND(MEDIAN(D126:BT126),0)),0,ROUND(MEDIAN(D126:BT126),0))</f>
        <v>622</v>
      </c>
      <c r="CD126" s="12" t="n">
        <f aca="false">MAX(D126:BT126)</f>
        <v>1230</v>
      </c>
      <c r="CE126" s="7" t="n">
        <f aca="false">COUNTA(BQ126:BT126)</f>
        <v>4</v>
      </c>
      <c r="CF126" s="7" t="n">
        <f aca="false">COUNTA(BM126:BT126)</f>
        <v>8</v>
      </c>
      <c r="CG126" s="7" t="n">
        <f aca="false">COUNTA(BI126:BT126)</f>
        <v>12</v>
      </c>
      <c r="CH126" s="7" t="n">
        <f aca="false">COUNTA(BE126:BT126)</f>
        <v>16</v>
      </c>
      <c r="CI126" s="7" t="n">
        <f aca="false">COUNTA(AU126:BT126)</f>
        <v>26</v>
      </c>
      <c r="CJ126" s="7" t="n">
        <f aca="false">COUNTA(U126:BT126)</f>
        <v>52</v>
      </c>
      <c r="CK126" s="7" t="n">
        <f aca="false">COUNTA(BT126)</f>
        <v>1</v>
      </c>
      <c r="CL126" s="7" t="n">
        <f aca="false">COUNTA(D126:BT126)</f>
        <v>66</v>
      </c>
      <c r="CM126" s="13" t="str">
        <f aca="false">IF(AND(CE126=1,CJ126=1,BT126&lt;&gt;""),"5.ENTRANTES",IF(AND(CE126&lt;&gt;0,CE126/RIGHT($CE$1,1)&gt;=0.5,CJ126=CE126),"4.RECENTES",IF(AND(CF126&lt;&gt;0,CF126/RIGHT($CF$1,1)&gt;=0.5,CJ126=CF126),"4.RECENTES",IF(AND(CG126&lt;&gt;0,CG126/RIGHT($CG$1,2)&gt;=0.5,CJ126=CG126),"4.RECENTES",IF(AND(CH126&lt;&gt;0,CH126/RIGHT($CH$1,2)&gt;=0.5,CJ126=CH126),"4.RECENTES",IF(AND(CI126&lt;&gt;0,CI126/RIGHT($CI$1,2)&gt;=0.5,CJ126=CI126),"4.RECENTES",IF(AND(CE126=0,CF126=0,CG126=0,CH126=0),"3.INATIVOS",IF(CJ126/RIGHT($CJ$1,2)&lt;0.5,"2.INTERMITENTES","1.ORDINÁRIOS"))))))))</f>
        <v>1.ORDINÁRIOS</v>
      </c>
      <c r="CN126" s="14" t="n">
        <f aca="false">IF(AND(CE126=1,CJ126=1,BT126&lt;&gt;""),BT126,IF(AND(CE126&lt;&gt;0,CE126/RIGHT($CE$1,1)&gt;=0.5,CJ126=CE126),MAX(BV126:CC126),IF(AND(CF126&lt;&gt;0,CF126/RIGHT($CF$1,1)&gt;=0.5,CJ126=CF126),MAX(BV126:CC126),IF(AND(CG126&lt;&gt;0,CG126/RIGHT($CG$1,2)&gt;=0.5,CJ126=CG126),MAX(BV126:CC126),IF(AND(CH126&lt;&gt;0,CH126/RIGHT($CH$1,2)&gt;=0.5,CJ126=CH126),MAX(BV126:CC126),IF(AND(CI126&lt;&gt;0,CI126/RIGHT($CI$1,2)&gt;=0.5,CJ126=CI126),MAX(BV126:CC126),IF(AND(CE126=0,CF126=0,CG126=0,CH126=0),0,IF(CJ126/RIGHT($CJ$1,2)&lt;0.5,ROUND(BU126/RIGHT($CJ$1,2),0),MAX(BV126:CC126)))))))))</f>
        <v>679</v>
      </c>
      <c r="CO126" s="14" t="n">
        <f aca="false">CN126*3</f>
        <v>2037</v>
      </c>
      <c r="CP126" s="15" t="n">
        <v>1156</v>
      </c>
      <c r="CQ126" s="16" t="n">
        <f aca="false">IF((CO126-CP126)&lt;0,0,(CO126-CP126))</f>
        <v>881</v>
      </c>
      <c r="CR126" s="7"/>
    </row>
    <row r="127" customFormat="false" ht="12.75" hidden="false" customHeight="true" outlineLevel="0" collapsed="false">
      <c r="A127" s="7" t="s">
        <v>95</v>
      </c>
      <c r="B127" s="7" t="s">
        <v>221</v>
      </c>
      <c r="C127" s="8" t="n">
        <v>2000039</v>
      </c>
      <c r="D127" s="9"/>
      <c r="E127" s="9" t="n">
        <v>3</v>
      </c>
      <c r="F127" s="9" t="n">
        <v>16</v>
      </c>
      <c r="G127" s="9" t="n">
        <v>71</v>
      </c>
      <c r="H127" s="9" t="n">
        <v>19</v>
      </c>
      <c r="I127" s="9" t="n">
        <v>89</v>
      </c>
      <c r="J127" s="9" t="n">
        <v>13</v>
      </c>
      <c r="K127" s="9"/>
      <c r="L127" s="9" t="n">
        <v>2</v>
      </c>
      <c r="M127" s="9" t="n">
        <v>7</v>
      </c>
      <c r="N127" s="9" t="n">
        <v>4</v>
      </c>
      <c r="O127" s="9" t="n">
        <v>3</v>
      </c>
      <c r="P127" s="9" t="n">
        <v>2</v>
      </c>
      <c r="Q127" s="9" t="n">
        <v>2</v>
      </c>
      <c r="R127" s="9" t="n">
        <v>2</v>
      </c>
      <c r="S127" s="9"/>
      <c r="T127" s="9"/>
      <c r="U127" s="9" t="n">
        <v>4</v>
      </c>
      <c r="V127" s="9" t="n">
        <v>7</v>
      </c>
      <c r="W127" s="9" t="n">
        <v>53</v>
      </c>
      <c r="X127" s="9" t="n">
        <v>79</v>
      </c>
      <c r="Y127" s="9" t="n">
        <v>128</v>
      </c>
      <c r="Z127" s="9" t="n">
        <v>24</v>
      </c>
      <c r="AA127" s="9" t="n">
        <v>1</v>
      </c>
      <c r="AB127" s="9" t="n">
        <v>9</v>
      </c>
      <c r="AC127" s="9" t="n">
        <v>3</v>
      </c>
      <c r="AD127" s="9" t="n">
        <v>5</v>
      </c>
      <c r="AE127" s="9" t="n">
        <v>4</v>
      </c>
      <c r="AF127" s="9"/>
      <c r="AG127" s="9" t="n">
        <v>1</v>
      </c>
      <c r="AH127" s="9" t="n">
        <v>1</v>
      </c>
      <c r="AI127" s="9"/>
      <c r="AJ127" s="9" t="n">
        <v>3</v>
      </c>
      <c r="AK127" s="9" t="n">
        <v>4</v>
      </c>
      <c r="AL127" s="9" t="n">
        <v>3</v>
      </c>
      <c r="AM127" s="9" t="n">
        <v>3</v>
      </c>
      <c r="AN127" s="9"/>
      <c r="AO127" s="9" t="n">
        <v>5</v>
      </c>
      <c r="AP127" s="9"/>
      <c r="AQ127" s="9" t="n">
        <v>12</v>
      </c>
      <c r="AR127" s="9" t="n">
        <v>7</v>
      </c>
      <c r="AS127" s="9"/>
      <c r="AT127" s="9" t="n">
        <v>2</v>
      </c>
      <c r="AU127" s="9" t="n">
        <v>2</v>
      </c>
      <c r="AV127" s="9" t="n">
        <v>4</v>
      </c>
      <c r="AW127" s="9"/>
      <c r="AX127" s="9" t="n">
        <v>5</v>
      </c>
      <c r="AY127" s="9"/>
      <c r="AZ127" s="9" t="n">
        <v>3</v>
      </c>
      <c r="BA127" s="9"/>
      <c r="BB127" s="9" t="n">
        <v>2</v>
      </c>
      <c r="BC127" s="9" t="n">
        <v>5</v>
      </c>
      <c r="BD127" s="9" t="n">
        <v>2</v>
      </c>
      <c r="BE127" s="9" t="n">
        <v>2</v>
      </c>
      <c r="BF127" s="9" t="n">
        <v>3</v>
      </c>
      <c r="BG127" s="9" t="n">
        <v>2</v>
      </c>
      <c r="BH127" s="9" t="n">
        <v>4</v>
      </c>
      <c r="BI127" s="9" t="n">
        <v>3</v>
      </c>
      <c r="BJ127" s="9" t="n">
        <v>4</v>
      </c>
      <c r="BK127" s="9" t="n">
        <v>2</v>
      </c>
      <c r="BL127" s="9" t="n">
        <v>2</v>
      </c>
      <c r="BM127" s="9" t="n">
        <v>1</v>
      </c>
      <c r="BN127" s="9"/>
      <c r="BO127" s="9" t="n">
        <v>2</v>
      </c>
      <c r="BP127" s="9" t="n">
        <v>1</v>
      </c>
      <c r="BQ127" s="9" t="n">
        <v>2</v>
      </c>
      <c r="BR127" s="9"/>
      <c r="BS127" s="9"/>
      <c r="BT127" s="9" t="n">
        <v>2</v>
      </c>
      <c r="BU127" s="10" t="n">
        <v>644</v>
      </c>
      <c r="BV127" s="11" t="n">
        <f aca="false">IF(ISERROR(ROUND(MEDIAN(BQ127:BT127),0)),0,ROUND(MEDIAN(BQ127:BT127),0))</f>
        <v>2</v>
      </c>
      <c r="BW127" s="11" t="n">
        <f aca="false">IF(ISERROR(ROUND(MEDIAN(BM127:BT127),0)),0,ROUND(MEDIAN(BM127:BT127),0))</f>
        <v>2</v>
      </c>
      <c r="BX127" s="11" t="n">
        <f aca="false">IF(ISERROR(ROUND(MEDIAN(BI127:BT127),0)),0,ROUND(MEDIAN(BI127:BT127),0))</f>
        <v>2</v>
      </c>
      <c r="BY127" s="11" t="n">
        <f aca="false">IF(ISERROR(ROUND(MEDIAN(BE127:BT127),0)),0,ROUND(MEDIAN(BE127:BT127),0))</f>
        <v>2</v>
      </c>
      <c r="BZ127" s="11" t="n">
        <f aca="false">IF(ISERROR(ROUND(MEDIAN(AU127:BT127),0)),0,ROUND(MEDIAN(AU127:BT127),0))</f>
        <v>2</v>
      </c>
      <c r="CA127" s="12" t="n">
        <f aca="false">IF(ISERROR(ROUND(MEDIAN(U127:BT127),0)),0,ROUND(MEDIAN(U127:BT127),0))</f>
        <v>3</v>
      </c>
      <c r="CB127" s="12" t="n">
        <f aca="false">IF(ISERROR(ROUND(MEDIAN(BT127),0)),0,ROUND(MEDIAN(BT127),0))</f>
        <v>2</v>
      </c>
      <c r="CC127" s="12" t="n">
        <f aca="false">IF(ISERROR(ROUND(MEDIAN(D127:BT127),0)),0,ROUND(MEDIAN(D127:BT127),0))</f>
        <v>3</v>
      </c>
      <c r="CD127" s="12" t="n">
        <f aca="false">MAX(D127:BT127)</f>
        <v>128</v>
      </c>
      <c r="CE127" s="7" t="n">
        <f aca="false">COUNTA(BQ127:BT127)</f>
        <v>2</v>
      </c>
      <c r="CF127" s="7" t="n">
        <f aca="false">COUNTA(BM127:BT127)</f>
        <v>5</v>
      </c>
      <c r="CG127" s="7" t="n">
        <f aca="false">COUNTA(BI127:BT127)</f>
        <v>9</v>
      </c>
      <c r="CH127" s="7" t="n">
        <f aca="false">COUNTA(BE127:BT127)</f>
        <v>13</v>
      </c>
      <c r="CI127" s="7" t="n">
        <f aca="false">COUNTA(AU127:BT127)</f>
        <v>20</v>
      </c>
      <c r="CJ127" s="7" t="n">
        <f aca="false">COUNTA(U127:BT127)</f>
        <v>41</v>
      </c>
      <c r="CK127" s="7" t="n">
        <f aca="false">COUNTA(BT127)</f>
        <v>1</v>
      </c>
      <c r="CL127" s="7" t="n">
        <f aca="false">COUNTA(D127:BT127)</f>
        <v>54</v>
      </c>
      <c r="CM127" s="13" t="str">
        <f aca="false">IF(AND(CE127=1,CJ127=1,BT127&lt;&gt;""),"5.ENTRANTES",IF(AND(CE127&lt;&gt;0,CE127/RIGHT($CE$1,1)&gt;=0.5,CJ127=CE127),"4.RECENTES",IF(AND(CF127&lt;&gt;0,CF127/RIGHT($CF$1,1)&gt;=0.5,CJ127=CF127),"4.RECENTES",IF(AND(CG127&lt;&gt;0,CG127/RIGHT($CG$1,2)&gt;=0.5,CJ127=CG127),"4.RECENTES",IF(AND(CH127&lt;&gt;0,CH127/RIGHT($CH$1,2)&gt;=0.5,CJ127=CH127),"4.RECENTES",IF(AND(CI127&lt;&gt;0,CI127/RIGHT($CI$1,2)&gt;=0.5,CJ127=CI127),"4.RECENTES",IF(AND(CE127=0,CF127=0,CG127=0,CH127=0),"3.INATIVOS",IF(CJ127/RIGHT($CJ$1,2)&lt;0.5,"2.INTERMITENTES","1.ORDINÁRIOS"))))))))</f>
        <v>1.ORDINÁRIOS</v>
      </c>
      <c r="CN127" s="14" t="n">
        <f aca="false">IF(AND(CE127=1,CJ127=1,BT127&lt;&gt;""),BT127,IF(AND(CE127&lt;&gt;0,CE127/RIGHT($CE$1,1)&gt;=0.5,CJ127=CE127),MAX(BV127:CC127),IF(AND(CF127&lt;&gt;0,CF127/RIGHT($CF$1,1)&gt;=0.5,CJ127=CF127),MAX(BV127:CC127),IF(AND(CG127&lt;&gt;0,CG127/RIGHT($CG$1,2)&gt;=0.5,CJ127=CG127),MAX(BV127:CC127),IF(AND(CH127&lt;&gt;0,CH127/RIGHT($CH$1,2)&gt;=0.5,CJ127=CH127),MAX(BV127:CC127),IF(AND(CI127&lt;&gt;0,CI127/RIGHT($CI$1,2)&gt;=0.5,CJ127=CI127),MAX(BV127:CC127),IF(AND(CE127=0,CF127=0,CG127=0,CH127=0),0,IF(CJ127/RIGHT($CJ$1,2)&lt;0.5,ROUND(BU127/RIGHT($CJ$1,2),0),MAX(BV127:CC127)))))))))</f>
        <v>3</v>
      </c>
      <c r="CO127" s="14" t="n">
        <f aca="false">CN127*3</f>
        <v>9</v>
      </c>
      <c r="CP127" s="15" t="n">
        <v>10</v>
      </c>
      <c r="CQ127" s="16" t="n">
        <f aca="false">IF((CO127-CP127)&lt;0,0,(CO127-CP127))</f>
        <v>0</v>
      </c>
      <c r="CR127" s="7"/>
    </row>
    <row r="128" customFormat="false" ht="12.75" hidden="false" customHeight="true" outlineLevel="0" collapsed="false">
      <c r="A128" s="7" t="s">
        <v>95</v>
      </c>
      <c r="B128" s="7" t="s">
        <v>222</v>
      </c>
      <c r="C128" s="8" t="n">
        <v>8001002</v>
      </c>
      <c r="D128" s="9" t="n">
        <v>30</v>
      </c>
      <c r="E128" s="9" t="n">
        <v>120</v>
      </c>
      <c r="F128" s="9" t="n">
        <v>90</v>
      </c>
      <c r="G128" s="9" t="n">
        <v>60</v>
      </c>
      <c r="H128" s="9" t="n">
        <v>120</v>
      </c>
      <c r="I128" s="9" t="n">
        <v>120</v>
      </c>
      <c r="J128" s="9" t="n">
        <v>30</v>
      </c>
      <c r="K128" s="9" t="n">
        <v>60</v>
      </c>
      <c r="L128" s="9" t="n">
        <v>60</v>
      </c>
      <c r="M128" s="9" t="n">
        <v>210</v>
      </c>
      <c r="N128" s="9" t="n">
        <v>240</v>
      </c>
      <c r="O128" s="9" t="n">
        <v>90</v>
      </c>
      <c r="P128" s="9" t="n">
        <v>120</v>
      </c>
      <c r="Q128" s="9" t="n">
        <v>60</v>
      </c>
      <c r="R128" s="9" t="n">
        <v>180</v>
      </c>
      <c r="S128" s="9" t="n">
        <v>90</v>
      </c>
      <c r="T128" s="9" t="n">
        <v>210</v>
      </c>
      <c r="U128" s="9"/>
      <c r="V128" s="9" t="n">
        <v>180</v>
      </c>
      <c r="W128" s="9" t="n">
        <v>120</v>
      </c>
      <c r="X128" s="9" t="n">
        <v>210</v>
      </c>
      <c r="Y128" s="9" t="n">
        <v>60</v>
      </c>
      <c r="Z128" s="9" t="n">
        <v>60</v>
      </c>
      <c r="AA128" s="9" t="n">
        <v>150</v>
      </c>
      <c r="AB128" s="9" t="n">
        <v>210</v>
      </c>
      <c r="AC128" s="9" t="n">
        <v>120</v>
      </c>
      <c r="AD128" s="9"/>
      <c r="AE128" s="9" t="n">
        <v>180</v>
      </c>
      <c r="AF128" s="9" t="n">
        <v>90</v>
      </c>
      <c r="AG128" s="9" t="n">
        <v>180</v>
      </c>
      <c r="AH128" s="9"/>
      <c r="AI128" s="9" t="n">
        <v>120</v>
      </c>
      <c r="AJ128" s="9" t="n">
        <v>90</v>
      </c>
      <c r="AK128" s="9" t="n">
        <v>180</v>
      </c>
      <c r="AL128" s="9" t="n">
        <v>60</v>
      </c>
      <c r="AM128" s="9" t="n">
        <v>90</v>
      </c>
      <c r="AN128" s="9" t="n">
        <v>210</v>
      </c>
      <c r="AO128" s="9" t="n">
        <v>60</v>
      </c>
      <c r="AP128" s="9" t="n">
        <v>150</v>
      </c>
      <c r="AQ128" s="9"/>
      <c r="AR128" s="9" t="n">
        <v>270</v>
      </c>
      <c r="AS128" s="9" t="n">
        <v>150</v>
      </c>
      <c r="AT128" s="9" t="n">
        <v>30</v>
      </c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  <c r="BP128" s="9"/>
      <c r="BQ128" s="9"/>
      <c r="BR128" s="9"/>
      <c r="BS128" s="9"/>
      <c r="BT128" s="9"/>
      <c r="BU128" s="10" t="n">
        <v>4860</v>
      </c>
      <c r="BV128" s="11" t="n">
        <f aca="false">IF(ISERROR(ROUND(MEDIAN(BQ128:BT128),0)),0,ROUND(MEDIAN(BQ128:BT128),0))</f>
        <v>0</v>
      </c>
      <c r="BW128" s="11" t="n">
        <f aca="false">IF(ISERROR(ROUND(MEDIAN(BM128:BT128),0)),0,ROUND(MEDIAN(BM128:BT128),0))</f>
        <v>0</v>
      </c>
      <c r="BX128" s="11" t="n">
        <f aca="false">IF(ISERROR(ROUND(MEDIAN(BI128:BT128),0)),0,ROUND(MEDIAN(BI128:BT128),0))</f>
        <v>0</v>
      </c>
      <c r="BY128" s="11" t="n">
        <f aca="false">IF(ISERROR(ROUND(MEDIAN(BE128:BT128),0)),0,ROUND(MEDIAN(BE128:BT128),0))</f>
        <v>0</v>
      </c>
      <c r="BZ128" s="11" t="n">
        <f aca="false">IF(ISERROR(ROUND(MEDIAN(AU128:BT128),0)),0,ROUND(MEDIAN(AU128:BT128),0))</f>
        <v>0</v>
      </c>
      <c r="CA128" s="12" t="n">
        <f aca="false">IF(ISERROR(ROUND(MEDIAN(U128:BT128),0)),0,ROUND(MEDIAN(U128:BT128),0))</f>
        <v>135</v>
      </c>
      <c r="CB128" s="12" t="n">
        <f aca="false">IF(ISERROR(ROUND(MEDIAN(BT128),0)),0,ROUND(MEDIAN(BT128),0))</f>
        <v>0</v>
      </c>
      <c r="CC128" s="12" t="n">
        <f aca="false">IF(ISERROR(ROUND(MEDIAN(D128:BT128),0)),0,ROUND(MEDIAN(D128:BT128),0))</f>
        <v>120</v>
      </c>
      <c r="CD128" s="12" t="n">
        <f aca="false">MAX(D128:BT128)</f>
        <v>270</v>
      </c>
      <c r="CE128" s="7" t="n">
        <f aca="false">COUNTA(BQ128:BT128)</f>
        <v>0</v>
      </c>
      <c r="CF128" s="7" t="n">
        <f aca="false">COUNTA(BM128:BT128)</f>
        <v>0</v>
      </c>
      <c r="CG128" s="7" t="n">
        <f aca="false">COUNTA(BI128:BT128)</f>
        <v>0</v>
      </c>
      <c r="CH128" s="7" t="n">
        <f aca="false">COUNTA(BE128:BT128)</f>
        <v>0</v>
      </c>
      <c r="CI128" s="7" t="n">
        <f aca="false">COUNTA(AU128:BT128)</f>
        <v>0</v>
      </c>
      <c r="CJ128" s="7" t="n">
        <f aca="false">COUNTA(U128:BT128)</f>
        <v>22</v>
      </c>
      <c r="CK128" s="7" t="n">
        <f aca="false">COUNTA(BT128)</f>
        <v>0</v>
      </c>
      <c r="CL128" s="7" t="n">
        <f aca="false">COUNTA(D128:BT128)</f>
        <v>39</v>
      </c>
      <c r="CM128" s="19" t="str">
        <f aca="false">IF(AND(CE128=1,CJ128=1,BT128&lt;&gt;""),"5.ENTRANTES",IF(AND(CE128&lt;&gt;0,CE128/RIGHT($CE$1,1)&gt;=0.5,CJ128=CE128),"4.RECENTES",IF(AND(CF128&lt;&gt;0,CF128/RIGHT($CF$1,1)&gt;=0.5,CJ128=CF128),"4.RECENTES",IF(AND(CG128&lt;&gt;0,CG128/RIGHT($CG$1,2)&gt;=0.5,CJ128=CG128),"4.RECENTES",IF(AND(CH128&lt;&gt;0,CH128/RIGHT($CH$1,2)&gt;=0.5,CJ128=CH128),"4.RECENTES",IF(AND(CI128&lt;&gt;0,CI128/RIGHT($CI$1,2)&gt;=0.5,CJ128=CI128),"4.RECENTES",IF(AND(CE128=0,CF128=0,CG128=0,CH128=0),"3.INATIVOS",IF(CJ128/RIGHT($CJ$1,2)&lt;0.5,"2.INTERMITENTES","1.ORDINÁRIOS"))))))))</f>
        <v>3.INATIVOS</v>
      </c>
      <c r="CN128" s="20" t="n">
        <f aca="false">IF(AND(CE128=1,CJ128=1,BT128&lt;&gt;""),BT128,IF(AND(CE128&lt;&gt;0,CE128/RIGHT($CE$1,1)&gt;=0.5,CJ128=CE128),MAX(BV128:CC128),IF(AND(CF128&lt;&gt;0,CF128/RIGHT($CF$1,1)&gt;=0.5,CJ128=CF128),MAX(BV128:CC128),IF(AND(CG128&lt;&gt;0,CG128/RIGHT($CG$1,2)&gt;=0.5,CJ128=CG128),MAX(BV128:CC128),IF(AND(CH128&lt;&gt;0,CH128/RIGHT($CH$1,2)&gt;=0.5,CJ128=CH128),MAX(BV128:CC128),IF(AND(CI128&lt;&gt;0,CI128/RIGHT($CI$1,2)&gt;=0.5,CJ128=CI128),MAX(BV128:CC128),IF(AND(CE128=0,CF128=0,CG128=0,CH128=0),0,IF(CJ128/RIGHT($CJ$1,2)&lt;0.5,ROUND(BU128/RIGHT($CJ$1,2),0),MAX(BV128:CC128)))))))))</f>
        <v>0</v>
      </c>
      <c r="CO128" s="20" t="n">
        <f aca="false">CN128*3</f>
        <v>0</v>
      </c>
      <c r="CP128" s="15" t="n">
        <v>0</v>
      </c>
      <c r="CQ128" s="16" t="n">
        <f aca="false">IF((CO128-CP128)&lt;0,0,(CO128-CP128))</f>
        <v>0</v>
      </c>
      <c r="CR128" s="7"/>
    </row>
    <row r="129" customFormat="false" ht="12.75" hidden="false" customHeight="true" outlineLevel="0" collapsed="false">
      <c r="A129" s="7" t="s">
        <v>95</v>
      </c>
      <c r="B129" s="7" t="s">
        <v>223</v>
      </c>
      <c r="C129" s="8" t="n">
        <v>21001058</v>
      </c>
      <c r="D129" s="9"/>
      <c r="E129" s="9" t="n">
        <v>5</v>
      </c>
      <c r="F129" s="9"/>
      <c r="G129" s="9"/>
      <c r="H129" s="9"/>
      <c r="I129" s="9" t="n">
        <v>1</v>
      </c>
      <c r="J129" s="9" t="n">
        <v>2</v>
      </c>
      <c r="K129" s="9" t="n">
        <v>5</v>
      </c>
      <c r="L129" s="9" t="n">
        <v>3</v>
      </c>
      <c r="M129" s="9"/>
      <c r="N129" s="9" t="n">
        <v>4</v>
      </c>
      <c r="O129" s="9" t="n">
        <v>1</v>
      </c>
      <c r="P129" s="9" t="n">
        <v>2</v>
      </c>
      <c r="Q129" s="9"/>
      <c r="R129" s="9"/>
      <c r="S129" s="9"/>
      <c r="T129" s="9"/>
      <c r="U129" s="9"/>
      <c r="V129" s="9"/>
      <c r="W129" s="9" t="n">
        <v>1</v>
      </c>
      <c r="X129" s="9" t="n">
        <v>1</v>
      </c>
      <c r="Y129" s="9" t="n">
        <v>2</v>
      </c>
      <c r="Z129" s="9" t="n">
        <v>1</v>
      </c>
      <c r="AA129" s="9" t="n">
        <v>1</v>
      </c>
      <c r="AB129" s="9" t="n">
        <v>4</v>
      </c>
      <c r="AC129" s="9" t="n">
        <v>4</v>
      </c>
      <c r="AD129" s="9" t="n">
        <v>9</v>
      </c>
      <c r="AE129" s="9"/>
      <c r="AF129" s="9"/>
      <c r="AG129" s="9" t="n">
        <v>1</v>
      </c>
      <c r="AH129" s="9" t="n">
        <v>4</v>
      </c>
      <c r="AI129" s="9" t="n">
        <v>2</v>
      </c>
      <c r="AJ129" s="9" t="n">
        <v>6</v>
      </c>
      <c r="AK129" s="9" t="n">
        <v>1</v>
      </c>
      <c r="AL129" s="9" t="n">
        <v>2</v>
      </c>
      <c r="AM129" s="9"/>
      <c r="AN129" s="9"/>
      <c r="AO129" s="9"/>
      <c r="AP129" s="9"/>
      <c r="AQ129" s="9" t="n">
        <v>2</v>
      </c>
      <c r="AR129" s="9" t="n">
        <v>5</v>
      </c>
      <c r="AS129" s="9"/>
      <c r="AT129" s="9"/>
      <c r="AU129" s="9"/>
      <c r="AV129" s="9" t="n">
        <v>1</v>
      </c>
      <c r="AW129" s="9"/>
      <c r="AX129" s="9" t="n">
        <v>3</v>
      </c>
      <c r="AY129" s="9"/>
      <c r="AZ129" s="9"/>
      <c r="BA129" s="9"/>
      <c r="BB129" s="9"/>
      <c r="BC129" s="9"/>
      <c r="BD129" s="9"/>
      <c r="BE129" s="9" t="n">
        <v>6</v>
      </c>
      <c r="BF129" s="9"/>
      <c r="BG129" s="9"/>
      <c r="BH129" s="9"/>
      <c r="BI129" s="9" t="n">
        <v>2</v>
      </c>
      <c r="BJ129" s="9"/>
      <c r="BK129" s="9"/>
      <c r="BL129" s="9"/>
      <c r="BM129" s="9" t="n">
        <v>1</v>
      </c>
      <c r="BN129" s="9" t="n">
        <v>4</v>
      </c>
      <c r="BO129" s="9"/>
      <c r="BP129" s="9" t="n">
        <v>2</v>
      </c>
      <c r="BQ129" s="9" t="n">
        <v>2</v>
      </c>
      <c r="BR129" s="9"/>
      <c r="BS129" s="9"/>
      <c r="BT129" s="9" t="n">
        <v>2</v>
      </c>
      <c r="BU129" s="10" t="n">
        <v>92</v>
      </c>
      <c r="BV129" s="11" t="n">
        <f aca="false">IF(ISERROR(ROUND(MEDIAN(BQ129:BT129),0)),0,ROUND(MEDIAN(BQ129:BT129),0))</f>
        <v>2</v>
      </c>
      <c r="BW129" s="11" t="n">
        <f aca="false">IF(ISERROR(ROUND(MEDIAN(BM129:BT129),0)),0,ROUND(MEDIAN(BM129:BT129),0))</f>
        <v>2</v>
      </c>
      <c r="BX129" s="11" t="n">
        <f aca="false">IF(ISERROR(ROUND(MEDIAN(BI129:BT129),0)),0,ROUND(MEDIAN(BI129:BT129),0))</f>
        <v>2</v>
      </c>
      <c r="BY129" s="11" t="n">
        <f aca="false">IF(ISERROR(ROUND(MEDIAN(BE129:BT129),0)),0,ROUND(MEDIAN(BE129:BT129),0))</f>
        <v>2</v>
      </c>
      <c r="BZ129" s="11" t="n">
        <f aca="false">IF(ISERROR(ROUND(MEDIAN(AU129:BT129),0)),0,ROUND(MEDIAN(AU129:BT129),0))</f>
        <v>2</v>
      </c>
      <c r="CA129" s="12" t="n">
        <f aca="false">IF(ISERROR(ROUND(MEDIAN(U129:BT129),0)),0,ROUND(MEDIAN(U129:BT129),0))</f>
        <v>2</v>
      </c>
      <c r="CB129" s="12" t="n">
        <f aca="false">IF(ISERROR(ROUND(MEDIAN(BT129),0)),0,ROUND(MEDIAN(BT129),0))</f>
        <v>2</v>
      </c>
      <c r="CC129" s="12" t="n">
        <f aca="false">IF(ISERROR(ROUND(MEDIAN(D129:BT129),0)),0,ROUND(MEDIAN(D129:BT129),0))</f>
        <v>2</v>
      </c>
      <c r="CD129" s="12" t="n">
        <f aca="false">MAX(D129:BT129)</f>
        <v>9</v>
      </c>
      <c r="CE129" s="7" t="n">
        <f aca="false">COUNTA(BQ129:BT129)</f>
        <v>2</v>
      </c>
      <c r="CF129" s="7" t="n">
        <f aca="false">COUNTA(BM129:BT129)</f>
        <v>5</v>
      </c>
      <c r="CG129" s="7" t="n">
        <f aca="false">COUNTA(BI129:BT129)</f>
        <v>6</v>
      </c>
      <c r="CH129" s="7" t="n">
        <f aca="false">COUNTA(BE129:BT129)</f>
        <v>7</v>
      </c>
      <c r="CI129" s="7" t="n">
        <f aca="false">COUNTA(AU129:BT129)</f>
        <v>9</v>
      </c>
      <c r="CJ129" s="7" t="n">
        <f aca="false">COUNTA(U129:BT129)</f>
        <v>25</v>
      </c>
      <c r="CK129" s="7" t="n">
        <f aca="false">COUNTA(BT129)</f>
        <v>1</v>
      </c>
      <c r="CL129" s="7" t="n">
        <f aca="false">COUNTA(D129:BT129)</f>
        <v>33</v>
      </c>
      <c r="CM129" s="17" t="str">
        <f aca="false">IF(AND(CE129=1,CJ129=1,BT129&lt;&gt;""),"5.ENTRANTES",IF(AND(CE129&lt;&gt;0,CE129/RIGHT($CE$1,1)&gt;=0.5,CJ129=CE129),"4.RECENTES",IF(AND(CF129&lt;&gt;0,CF129/RIGHT($CF$1,1)&gt;=0.5,CJ129=CF129),"4.RECENTES",IF(AND(CG129&lt;&gt;0,CG129/RIGHT($CG$1,2)&gt;=0.5,CJ129=CG129),"4.RECENTES",IF(AND(CH129&lt;&gt;0,CH129/RIGHT($CH$1,2)&gt;=0.5,CJ129=CH129),"4.RECENTES",IF(AND(CI129&lt;&gt;0,CI129/RIGHT($CI$1,2)&gt;=0.5,CJ129=CI129),"4.RECENTES",IF(AND(CE129=0,CF129=0,CG129=0,CH129=0),"3.INATIVOS",IF(CJ129/RIGHT($CJ$1,2)&lt;0.5,"2.INTERMITENTES","1.ORDINÁRIOS"))))))))</f>
        <v>2.INTERMITENTES</v>
      </c>
      <c r="CN129" s="18" t="n">
        <f aca="false">IF(AND(CE129=1,CJ129=1,BT129&lt;&gt;""),BT129,IF(AND(CE129&lt;&gt;0,CE129/RIGHT($CE$1,1)&gt;=0.5,CJ129=CE129),MAX(BV129:CC129),IF(AND(CF129&lt;&gt;0,CF129/RIGHT($CF$1,1)&gt;=0.5,CJ129=CF129),MAX(BV129:CC129),IF(AND(CG129&lt;&gt;0,CG129/RIGHT($CG$1,2)&gt;=0.5,CJ129=CG129),MAX(BV129:CC129),IF(AND(CH129&lt;&gt;0,CH129/RIGHT($CH$1,2)&gt;=0.5,CJ129=CH129),MAX(BV129:CC129),IF(AND(CI129&lt;&gt;0,CI129/RIGHT($CI$1,2)&gt;=0.5,CJ129=CI129),MAX(BV129:CC129),IF(AND(CE129=0,CF129=0,CG129=0,CH129=0),0,IF(CJ129/RIGHT($CJ$1,2)&lt;0.5,ROUND(BU129/RIGHT($CJ$1,2),0),MAX(BV129:CC129)))))))))</f>
        <v>2</v>
      </c>
      <c r="CO129" s="18" t="n">
        <f aca="false">CD129</f>
        <v>9</v>
      </c>
      <c r="CP129" s="15" t="n">
        <v>6</v>
      </c>
      <c r="CQ129" s="16" t="n">
        <f aca="false">IF((CO129-CP129)&lt;0,0,(CO129-CP129))</f>
        <v>3</v>
      </c>
      <c r="CR129" s="7"/>
    </row>
    <row r="130" customFormat="false" ht="12.75" hidden="false" customHeight="true" outlineLevel="0" collapsed="false">
      <c r="A130" s="7" t="s">
        <v>95</v>
      </c>
      <c r="B130" s="7" t="s">
        <v>224</v>
      </c>
      <c r="C130" s="8" t="n">
        <v>2000028</v>
      </c>
      <c r="D130" s="9"/>
      <c r="E130" s="9" t="n">
        <v>7</v>
      </c>
      <c r="F130" s="9" t="n">
        <v>8</v>
      </c>
      <c r="G130" s="9" t="n">
        <v>2</v>
      </c>
      <c r="H130" s="9"/>
      <c r="I130" s="9" t="n">
        <v>7</v>
      </c>
      <c r="J130" s="9" t="n">
        <v>8</v>
      </c>
      <c r="K130" s="9" t="n">
        <v>1</v>
      </c>
      <c r="L130" s="9" t="n">
        <v>6</v>
      </c>
      <c r="M130" s="9" t="n">
        <v>1</v>
      </c>
      <c r="N130" s="9" t="n">
        <v>7</v>
      </c>
      <c r="O130" s="9" t="n">
        <v>3</v>
      </c>
      <c r="P130" s="9" t="n">
        <v>2</v>
      </c>
      <c r="Q130" s="9" t="n">
        <v>4</v>
      </c>
      <c r="R130" s="9" t="n">
        <v>4</v>
      </c>
      <c r="S130" s="9" t="n">
        <v>4</v>
      </c>
      <c r="T130" s="9" t="n">
        <v>2</v>
      </c>
      <c r="U130" s="9" t="n">
        <v>4</v>
      </c>
      <c r="V130" s="9" t="n">
        <v>3</v>
      </c>
      <c r="W130" s="9" t="n">
        <v>1</v>
      </c>
      <c r="X130" s="9" t="n">
        <v>2</v>
      </c>
      <c r="Y130" s="9" t="n">
        <v>1</v>
      </c>
      <c r="Z130" s="9" t="n">
        <v>2</v>
      </c>
      <c r="AA130" s="9" t="n">
        <v>4</v>
      </c>
      <c r="AB130" s="9" t="n">
        <v>6</v>
      </c>
      <c r="AC130" s="9" t="n">
        <v>1</v>
      </c>
      <c r="AD130" s="9" t="n">
        <v>5</v>
      </c>
      <c r="AE130" s="9" t="n">
        <v>2</v>
      </c>
      <c r="AF130" s="9" t="n">
        <v>1</v>
      </c>
      <c r="AG130" s="9" t="n">
        <v>18</v>
      </c>
      <c r="AH130" s="9" t="n">
        <v>10</v>
      </c>
      <c r="AI130" s="9" t="n">
        <v>9</v>
      </c>
      <c r="AJ130" s="9" t="n">
        <v>8</v>
      </c>
      <c r="AK130" s="9" t="n">
        <v>2</v>
      </c>
      <c r="AL130" s="9" t="n">
        <v>4</v>
      </c>
      <c r="AM130" s="9" t="n">
        <v>7</v>
      </c>
      <c r="AN130" s="9" t="n">
        <v>2</v>
      </c>
      <c r="AO130" s="9" t="n">
        <v>2</v>
      </c>
      <c r="AP130" s="9" t="n">
        <v>7</v>
      </c>
      <c r="AQ130" s="9" t="n">
        <v>1</v>
      </c>
      <c r="AR130" s="9" t="n">
        <v>8</v>
      </c>
      <c r="AS130" s="9" t="n">
        <v>3</v>
      </c>
      <c r="AT130" s="9" t="n">
        <v>2</v>
      </c>
      <c r="AU130" s="9"/>
      <c r="AV130" s="9" t="n">
        <v>2</v>
      </c>
      <c r="AW130" s="9" t="n">
        <v>1</v>
      </c>
      <c r="AX130" s="9" t="n">
        <v>11</v>
      </c>
      <c r="AY130" s="9" t="n">
        <v>1</v>
      </c>
      <c r="AZ130" s="9" t="n">
        <v>7</v>
      </c>
      <c r="BA130" s="9" t="n">
        <v>4</v>
      </c>
      <c r="BB130" s="9" t="n">
        <v>2</v>
      </c>
      <c r="BC130" s="9" t="n">
        <v>7</v>
      </c>
      <c r="BD130" s="9" t="n">
        <v>1</v>
      </c>
      <c r="BE130" s="9"/>
      <c r="BF130" s="9" t="n">
        <v>7</v>
      </c>
      <c r="BG130" s="9" t="n">
        <v>2</v>
      </c>
      <c r="BH130" s="9" t="n">
        <v>7</v>
      </c>
      <c r="BI130" s="9" t="n">
        <v>4</v>
      </c>
      <c r="BJ130" s="9" t="n">
        <v>5</v>
      </c>
      <c r="BK130" s="9" t="n">
        <v>2</v>
      </c>
      <c r="BL130" s="9" t="n">
        <v>5</v>
      </c>
      <c r="BM130" s="9" t="n">
        <v>3</v>
      </c>
      <c r="BN130" s="9" t="n">
        <v>3</v>
      </c>
      <c r="BO130" s="9" t="n">
        <v>3</v>
      </c>
      <c r="BP130" s="9" t="n">
        <v>2</v>
      </c>
      <c r="BQ130" s="9"/>
      <c r="BR130" s="9" t="n">
        <v>2</v>
      </c>
      <c r="BS130" s="9" t="n">
        <v>3</v>
      </c>
      <c r="BT130" s="9" t="n">
        <v>3</v>
      </c>
      <c r="BU130" s="10" t="n">
        <v>268</v>
      </c>
      <c r="BV130" s="11" t="n">
        <f aca="false">IF(ISERROR(ROUND(MEDIAN(BQ130:BT130),0)),0,ROUND(MEDIAN(BQ130:BT130),0))</f>
        <v>3</v>
      </c>
      <c r="BW130" s="11" t="n">
        <f aca="false">IF(ISERROR(ROUND(MEDIAN(BM130:BT130),0)),0,ROUND(MEDIAN(BM130:BT130),0))</f>
        <v>3</v>
      </c>
      <c r="BX130" s="11" t="n">
        <f aca="false">IF(ISERROR(ROUND(MEDIAN(BI130:BT130),0)),0,ROUND(MEDIAN(BI130:BT130),0))</f>
        <v>3</v>
      </c>
      <c r="BY130" s="11" t="n">
        <f aca="false">IF(ISERROR(ROUND(MEDIAN(BE130:BT130),0)),0,ROUND(MEDIAN(BE130:BT130),0))</f>
        <v>3</v>
      </c>
      <c r="BZ130" s="11" t="n">
        <f aca="false">IF(ISERROR(ROUND(MEDIAN(AU130:BT130),0)),0,ROUND(MEDIAN(AU130:BT130),0))</f>
        <v>3</v>
      </c>
      <c r="CA130" s="12" t="n">
        <f aca="false">IF(ISERROR(ROUND(MEDIAN(U130:BT130),0)),0,ROUND(MEDIAN(U130:BT130),0))</f>
        <v>3</v>
      </c>
      <c r="CB130" s="12" t="n">
        <f aca="false">IF(ISERROR(ROUND(MEDIAN(BT130),0)),0,ROUND(MEDIAN(BT130),0))</f>
        <v>3</v>
      </c>
      <c r="CC130" s="12" t="n">
        <f aca="false">IF(ISERROR(ROUND(MEDIAN(D130:BT130),0)),0,ROUND(MEDIAN(D130:BT130),0))</f>
        <v>3</v>
      </c>
      <c r="CD130" s="12" t="n">
        <f aca="false">MAX(D130:BT130)</f>
        <v>18</v>
      </c>
      <c r="CE130" s="7" t="n">
        <f aca="false">COUNTA(BQ130:BT130)</f>
        <v>3</v>
      </c>
      <c r="CF130" s="7" t="n">
        <f aca="false">COUNTA(BM130:BT130)</f>
        <v>7</v>
      </c>
      <c r="CG130" s="7" t="n">
        <f aca="false">COUNTA(BI130:BT130)</f>
        <v>11</v>
      </c>
      <c r="CH130" s="7" t="n">
        <f aca="false">COUNTA(BE130:BT130)</f>
        <v>14</v>
      </c>
      <c r="CI130" s="7" t="n">
        <f aca="false">COUNTA(AU130:BT130)</f>
        <v>23</v>
      </c>
      <c r="CJ130" s="7" t="n">
        <f aca="false">COUNTA(U130:BT130)</f>
        <v>49</v>
      </c>
      <c r="CK130" s="7" t="n">
        <f aca="false">COUNTA(BT130)</f>
        <v>1</v>
      </c>
      <c r="CL130" s="7" t="n">
        <f aca="false">COUNTA(D130:BT130)</f>
        <v>64</v>
      </c>
      <c r="CM130" s="13" t="str">
        <f aca="false">IF(AND(CE130=1,CJ130=1,BT130&lt;&gt;""),"5.ENTRANTES",IF(AND(CE130&lt;&gt;0,CE130/RIGHT($CE$1,1)&gt;=0.5,CJ130=CE130),"4.RECENTES",IF(AND(CF130&lt;&gt;0,CF130/RIGHT($CF$1,1)&gt;=0.5,CJ130=CF130),"4.RECENTES",IF(AND(CG130&lt;&gt;0,CG130/RIGHT($CG$1,2)&gt;=0.5,CJ130=CG130),"4.RECENTES",IF(AND(CH130&lt;&gt;0,CH130/RIGHT($CH$1,2)&gt;=0.5,CJ130=CH130),"4.RECENTES",IF(AND(CI130&lt;&gt;0,CI130/RIGHT($CI$1,2)&gt;=0.5,CJ130=CI130),"4.RECENTES",IF(AND(CE130=0,CF130=0,CG130=0,CH130=0),"3.INATIVOS",IF(CJ130/RIGHT($CJ$1,2)&lt;0.5,"2.INTERMITENTES","1.ORDINÁRIOS"))))))))</f>
        <v>1.ORDINÁRIOS</v>
      </c>
      <c r="CN130" s="14" t="n">
        <f aca="false">IF(AND(CE130=1,CJ130=1,BT130&lt;&gt;""),BT130,IF(AND(CE130&lt;&gt;0,CE130/RIGHT($CE$1,1)&gt;=0.5,CJ130=CE130),MAX(BV130:CC130),IF(AND(CF130&lt;&gt;0,CF130/RIGHT($CF$1,1)&gt;=0.5,CJ130=CF130),MAX(BV130:CC130),IF(AND(CG130&lt;&gt;0,CG130/RIGHT($CG$1,2)&gt;=0.5,CJ130=CG130),MAX(BV130:CC130),IF(AND(CH130&lt;&gt;0,CH130/RIGHT($CH$1,2)&gt;=0.5,CJ130=CH130),MAX(BV130:CC130),IF(AND(CI130&lt;&gt;0,CI130/RIGHT($CI$1,2)&gt;=0.5,CJ130=CI130),MAX(BV130:CC130),IF(AND(CE130=0,CF130=0,CG130=0,CH130=0),0,IF(CJ130/RIGHT($CJ$1,2)&lt;0.5,ROUND(BU130/RIGHT($CJ$1,2),0),MAX(BV130:CC130)))))))))</f>
        <v>3</v>
      </c>
      <c r="CO130" s="14" t="n">
        <f aca="false">CN130*3</f>
        <v>9</v>
      </c>
      <c r="CP130" s="15" t="n">
        <v>7</v>
      </c>
      <c r="CQ130" s="16" t="n">
        <f aca="false">IF((CO130-CP130)&lt;0,0,(CO130-CP130))</f>
        <v>2</v>
      </c>
      <c r="CR130" s="7"/>
    </row>
    <row r="131" customFormat="false" ht="12.75" hidden="false" customHeight="true" outlineLevel="0" collapsed="false">
      <c r="A131" s="7" t="s">
        <v>95</v>
      </c>
      <c r="B131" s="7" t="s">
        <v>225</v>
      </c>
      <c r="C131" s="8" t="n">
        <v>2000073</v>
      </c>
      <c r="D131" s="9"/>
      <c r="E131" s="9" t="n">
        <v>165</v>
      </c>
      <c r="F131" s="9" t="n">
        <v>231</v>
      </c>
      <c r="G131" s="9" t="n">
        <v>273</v>
      </c>
      <c r="H131" s="9" t="n">
        <v>238</v>
      </c>
      <c r="I131" s="9" t="n">
        <v>455</v>
      </c>
      <c r="J131" s="9" t="n">
        <v>77</v>
      </c>
      <c r="K131" s="9" t="n">
        <v>196</v>
      </c>
      <c r="L131" s="9" t="n">
        <v>469</v>
      </c>
      <c r="M131" s="9" t="n">
        <v>196</v>
      </c>
      <c r="N131" s="9" t="n">
        <v>448</v>
      </c>
      <c r="O131" s="9" t="n">
        <v>581</v>
      </c>
      <c r="P131" s="9" t="n">
        <v>336</v>
      </c>
      <c r="Q131" s="9" t="n">
        <v>266</v>
      </c>
      <c r="R131" s="9" t="n">
        <v>315</v>
      </c>
      <c r="S131" s="9" t="n">
        <v>357</v>
      </c>
      <c r="T131" s="9" t="n">
        <v>224</v>
      </c>
      <c r="U131" s="9" t="n">
        <v>266</v>
      </c>
      <c r="V131" s="9" t="n">
        <v>294</v>
      </c>
      <c r="W131" s="9" t="n">
        <v>238</v>
      </c>
      <c r="X131" s="9" t="n">
        <v>203</v>
      </c>
      <c r="Y131" s="9" t="n">
        <v>224</v>
      </c>
      <c r="Z131" s="9" t="n">
        <v>249</v>
      </c>
      <c r="AA131" s="9" t="n">
        <v>322</v>
      </c>
      <c r="AB131" s="9" t="n">
        <v>392</v>
      </c>
      <c r="AC131" s="9" t="n">
        <v>252</v>
      </c>
      <c r="AD131" s="9" t="n">
        <v>343</v>
      </c>
      <c r="AE131" s="9" t="n">
        <v>238</v>
      </c>
      <c r="AF131" s="9" t="n">
        <v>266</v>
      </c>
      <c r="AG131" s="9" t="n">
        <v>196</v>
      </c>
      <c r="AH131" s="9" t="n">
        <v>336</v>
      </c>
      <c r="AI131" s="9" t="n">
        <v>308</v>
      </c>
      <c r="AJ131" s="9" t="n">
        <v>189</v>
      </c>
      <c r="AK131" s="9" t="n">
        <v>280</v>
      </c>
      <c r="AL131" s="9" t="n">
        <v>294</v>
      </c>
      <c r="AM131" s="9" t="n">
        <v>210</v>
      </c>
      <c r="AN131" s="9" t="n">
        <v>378</v>
      </c>
      <c r="AO131" s="9" t="n">
        <v>224</v>
      </c>
      <c r="AP131" s="9" t="n">
        <v>245</v>
      </c>
      <c r="AQ131" s="9" t="n">
        <v>366</v>
      </c>
      <c r="AR131" s="9" t="n">
        <v>210</v>
      </c>
      <c r="AS131" s="9" t="n">
        <v>56</v>
      </c>
      <c r="AT131" s="9" t="n">
        <v>119</v>
      </c>
      <c r="AU131" s="9" t="n">
        <v>175</v>
      </c>
      <c r="AV131" s="9" t="n">
        <v>98</v>
      </c>
      <c r="AW131" s="9" t="n">
        <v>266</v>
      </c>
      <c r="AX131" s="9" t="n">
        <v>154</v>
      </c>
      <c r="AY131" s="9" t="n">
        <v>172</v>
      </c>
      <c r="AZ131" s="9" t="n">
        <v>336</v>
      </c>
      <c r="BA131" s="9" t="n">
        <v>140</v>
      </c>
      <c r="BB131" s="9" t="n">
        <v>140</v>
      </c>
      <c r="BC131" s="9" t="n">
        <v>266</v>
      </c>
      <c r="BD131" s="9" t="n">
        <v>301</v>
      </c>
      <c r="BE131" s="9" t="n">
        <v>140</v>
      </c>
      <c r="BF131" s="9" t="n">
        <v>112</v>
      </c>
      <c r="BG131" s="9" t="n">
        <v>168</v>
      </c>
      <c r="BH131" s="9" t="n">
        <v>350</v>
      </c>
      <c r="BI131" s="9" t="n">
        <v>413</v>
      </c>
      <c r="BJ131" s="9" t="n">
        <v>336</v>
      </c>
      <c r="BK131" s="9" t="n">
        <v>182</v>
      </c>
      <c r="BL131" s="9" t="n">
        <v>224</v>
      </c>
      <c r="BM131" s="9" t="n">
        <v>252</v>
      </c>
      <c r="BN131" s="9" t="n">
        <v>189</v>
      </c>
      <c r="BO131" s="9" t="n">
        <v>308</v>
      </c>
      <c r="BP131" s="9" t="n">
        <v>168</v>
      </c>
      <c r="BQ131" s="9" t="n">
        <v>245</v>
      </c>
      <c r="BR131" s="9" t="n">
        <v>168</v>
      </c>
      <c r="BS131" s="9" t="n">
        <v>77</v>
      </c>
      <c r="BT131" s="9" t="n">
        <v>112</v>
      </c>
      <c r="BU131" s="10" t="n">
        <v>17017</v>
      </c>
      <c r="BV131" s="11" t="n">
        <f aca="false">IF(ISERROR(ROUND(MEDIAN(BQ131:BT131),0)),0,ROUND(MEDIAN(BQ131:BT131),0))</f>
        <v>140</v>
      </c>
      <c r="BW131" s="11" t="n">
        <f aca="false">IF(ISERROR(ROUND(MEDIAN(BM131:BT131),0)),0,ROUND(MEDIAN(BM131:BT131),0))</f>
        <v>179</v>
      </c>
      <c r="BX131" s="11" t="n">
        <f aca="false">IF(ISERROR(ROUND(MEDIAN(BI131:BT131),0)),0,ROUND(MEDIAN(BI131:BT131),0))</f>
        <v>207</v>
      </c>
      <c r="BY131" s="11" t="n">
        <f aca="false">IF(ISERROR(ROUND(MEDIAN(BE131:BT131),0)),0,ROUND(MEDIAN(BE131:BT131),0))</f>
        <v>186</v>
      </c>
      <c r="BZ131" s="11" t="n">
        <f aca="false">IF(ISERROR(ROUND(MEDIAN(AU131:BT131),0)),0,ROUND(MEDIAN(AU131:BT131),0))</f>
        <v>179</v>
      </c>
      <c r="CA131" s="12" t="n">
        <f aca="false">IF(ISERROR(ROUND(MEDIAN(U131:BT131),0)),0,ROUND(MEDIAN(U131:BT131),0))</f>
        <v>238</v>
      </c>
      <c r="CB131" s="12" t="n">
        <f aca="false">IF(ISERROR(ROUND(MEDIAN(BT131),0)),0,ROUND(MEDIAN(BT131),0))</f>
        <v>112</v>
      </c>
      <c r="CC131" s="12" t="n">
        <f aca="false">IF(ISERROR(ROUND(MEDIAN(D131:BT131),0)),0,ROUND(MEDIAN(D131:BT131),0))</f>
        <v>242</v>
      </c>
      <c r="CD131" s="12" t="n">
        <f aca="false">MAX(D131:BT131)</f>
        <v>581</v>
      </c>
      <c r="CE131" s="7" t="n">
        <f aca="false">COUNTA(BQ131:BT131)</f>
        <v>4</v>
      </c>
      <c r="CF131" s="7" t="n">
        <f aca="false">COUNTA(BM131:BT131)</f>
        <v>8</v>
      </c>
      <c r="CG131" s="7" t="n">
        <f aca="false">COUNTA(BI131:BT131)</f>
        <v>12</v>
      </c>
      <c r="CH131" s="7" t="n">
        <f aca="false">COUNTA(BE131:BT131)</f>
        <v>16</v>
      </c>
      <c r="CI131" s="7" t="n">
        <f aca="false">COUNTA(AU131:BT131)</f>
        <v>26</v>
      </c>
      <c r="CJ131" s="7" t="n">
        <f aca="false">COUNTA(U131:BT131)</f>
        <v>52</v>
      </c>
      <c r="CK131" s="7" t="n">
        <f aca="false">COUNTA(BT131)</f>
        <v>1</v>
      </c>
      <c r="CL131" s="7" t="n">
        <f aca="false">COUNTA(D131:BT131)</f>
        <v>68</v>
      </c>
      <c r="CM131" s="13" t="str">
        <f aca="false">IF(AND(CE131=1,CJ131=1,BT131&lt;&gt;""),"5.ENTRANTES",IF(AND(CE131&lt;&gt;0,CE131/RIGHT($CE$1,1)&gt;=0.5,CJ131=CE131),"4.RECENTES",IF(AND(CF131&lt;&gt;0,CF131/RIGHT($CF$1,1)&gt;=0.5,CJ131=CF131),"4.RECENTES",IF(AND(CG131&lt;&gt;0,CG131/RIGHT($CG$1,2)&gt;=0.5,CJ131=CG131),"4.RECENTES",IF(AND(CH131&lt;&gt;0,CH131/RIGHT($CH$1,2)&gt;=0.5,CJ131=CH131),"4.RECENTES",IF(AND(CI131&lt;&gt;0,CI131/RIGHT($CI$1,2)&gt;=0.5,CJ131=CI131),"4.RECENTES",IF(AND(CE131=0,CF131=0,CG131=0,CH131=0),"3.INATIVOS",IF(CJ131/RIGHT($CJ$1,2)&lt;0.5,"2.INTERMITENTES","1.ORDINÁRIOS"))))))))</f>
        <v>1.ORDINÁRIOS</v>
      </c>
      <c r="CN131" s="14" t="n">
        <f aca="false">IF(AND(CE131=1,CJ131=1,BT131&lt;&gt;""),BT131,IF(AND(CE131&lt;&gt;0,CE131/RIGHT($CE$1,1)&gt;=0.5,CJ131=CE131),MAX(BV131:CC131),IF(AND(CF131&lt;&gt;0,CF131/RIGHT($CF$1,1)&gt;=0.5,CJ131=CF131),MAX(BV131:CC131),IF(AND(CG131&lt;&gt;0,CG131/RIGHT($CG$1,2)&gt;=0.5,CJ131=CG131),MAX(BV131:CC131),IF(AND(CH131&lt;&gt;0,CH131/RIGHT($CH$1,2)&gt;=0.5,CJ131=CH131),MAX(BV131:CC131),IF(AND(CI131&lt;&gt;0,CI131/RIGHT($CI$1,2)&gt;=0.5,CJ131=CI131),MAX(BV131:CC131),IF(AND(CE131=0,CF131=0,CG131=0,CH131=0),0,IF(CJ131/RIGHT($CJ$1,2)&lt;0.5,ROUND(BU131/RIGHT($CJ$1,2),0),MAX(BV131:CC131)))))))))</f>
        <v>242</v>
      </c>
      <c r="CO131" s="14" t="n">
        <f aca="false">CN131*3</f>
        <v>726</v>
      </c>
      <c r="CP131" s="15" t="n">
        <v>476</v>
      </c>
      <c r="CQ131" s="16" t="n">
        <f aca="false">IF((CO131-CP131)&lt;0,0,(CO131-CP131))</f>
        <v>250</v>
      </c>
      <c r="CR131" s="7"/>
    </row>
    <row r="132" customFormat="false" ht="12.75" hidden="false" customHeight="true" outlineLevel="0" collapsed="false">
      <c r="A132" s="7" t="s">
        <v>95</v>
      </c>
      <c r="B132" s="7" t="s">
        <v>226</v>
      </c>
      <c r="C132" s="8" t="n">
        <v>2000140</v>
      </c>
      <c r="D132" s="9"/>
      <c r="E132" s="9" t="n">
        <v>28</v>
      </c>
      <c r="F132" s="9" t="n">
        <v>28</v>
      </c>
      <c r="G132" s="9" t="n">
        <v>42</v>
      </c>
      <c r="H132" s="9"/>
      <c r="I132" s="9" t="n">
        <v>42</v>
      </c>
      <c r="J132" s="9" t="n">
        <v>14</v>
      </c>
      <c r="K132" s="9" t="n">
        <v>14</v>
      </c>
      <c r="L132" s="9"/>
      <c r="M132" s="9" t="n">
        <v>28</v>
      </c>
      <c r="N132" s="9"/>
      <c r="O132" s="9"/>
      <c r="P132" s="9" t="n">
        <v>28</v>
      </c>
      <c r="Q132" s="9"/>
      <c r="R132" s="9" t="n">
        <v>28</v>
      </c>
      <c r="S132" s="9"/>
      <c r="T132" s="9"/>
      <c r="U132" s="9" t="n">
        <v>42</v>
      </c>
      <c r="V132" s="9" t="n">
        <v>56</v>
      </c>
      <c r="W132" s="9" t="n">
        <v>14</v>
      </c>
      <c r="X132" s="9"/>
      <c r="Y132" s="9" t="n">
        <v>14</v>
      </c>
      <c r="Z132" s="9" t="n">
        <v>28</v>
      </c>
      <c r="AA132" s="9"/>
      <c r="AB132" s="9"/>
      <c r="AC132" s="9" t="n">
        <v>56</v>
      </c>
      <c r="AD132" s="9" t="n">
        <v>14</v>
      </c>
      <c r="AE132" s="9"/>
      <c r="AF132" s="9"/>
      <c r="AG132" s="9"/>
      <c r="AH132" s="9"/>
      <c r="AI132" s="9" t="n">
        <v>28</v>
      </c>
      <c r="AJ132" s="9"/>
      <c r="AK132" s="9"/>
      <c r="AL132" s="9"/>
      <c r="AM132" s="9"/>
      <c r="AN132" s="9"/>
      <c r="AO132" s="9" t="n">
        <v>14</v>
      </c>
      <c r="AP132" s="9"/>
      <c r="AQ132" s="9"/>
      <c r="AR132" s="9"/>
      <c r="AS132" s="9"/>
      <c r="AT132" s="9"/>
      <c r="AU132" s="9" t="n">
        <v>28</v>
      </c>
      <c r="AV132" s="9"/>
      <c r="AW132" s="9"/>
      <c r="AX132" s="9"/>
      <c r="AY132" s="9" t="n">
        <v>14</v>
      </c>
      <c r="AZ132" s="9"/>
      <c r="BA132" s="9" t="n">
        <v>14</v>
      </c>
      <c r="BB132" s="9"/>
      <c r="BC132" s="9"/>
      <c r="BD132" s="9" t="n">
        <v>28</v>
      </c>
      <c r="BE132" s="9" t="n">
        <v>28</v>
      </c>
      <c r="BF132" s="9" t="n">
        <v>14</v>
      </c>
      <c r="BG132" s="9"/>
      <c r="BH132" s="9"/>
      <c r="BI132" s="9" t="n">
        <v>26</v>
      </c>
      <c r="BJ132" s="9" t="n">
        <v>28</v>
      </c>
      <c r="BK132" s="9"/>
      <c r="BL132" s="9"/>
      <c r="BM132" s="9" t="n">
        <v>14</v>
      </c>
      <c r="BN132" s="9"/>
      <c r="BO132" s="9"/>
      <c r="BP132" s="9" t="n">
        <v>14</v>
      </c>
      <c r="BQ132" s="9"/>
      <c r="BR132" s="9" t="n">
        <v>14</v>
      </c>
      <c r="BS132" s="9"/>
      <c r="BT132" s="9"/>
      <c r="BU132" s="10" t="n">
        <v>740</v>
      </c>
      <c r="BV132" s="11" t="n">
        <f aca="false">IF(ISERROR(ROUND(MEDIAN(BQ132:BT132),0)),0,ROUND(MEDIAN(BQ132:BT132),0))</f>
        <v>14</v>
      </c>
      <c r="BW132" s="11" t="n">
        <f aca="false">IF(ISERROR(ROUND(MEDIAN(BM132:BT132),0)),0,ROUND(MEDIAN(BM132:BT132),0))</f>
        <v>14</v>
      </c>
      <c r="BX132" s="11" t="n">
        <f aca="false">IF(ISERROR(ROUND(MEDIAN(BI132:BT132),0)),0,ROUND(MEDIAN(BI132:BT132),0))</f>
        <v>14</v>
      </c>
      <c r="BY132" s="11" t="n">
        <f aca="false">IF(ISERROR(ROUND(MEDIAN(BE132:BT132),0)),0,ROUND(MEDIAN(BE132:BT132),0))</f>
        <v>14</v>
      </c>
      <c r="BZ132" s="11" t="n">
        <f aca="false">IF(ISERROR(ROUND(MEDIAN(AU132:BT132),0)),0,ROUND(MEDIAN(AU132:BT132),0))</f>
        <v>14</v>
      </c>
      <c r="CA132" s="12" t="n">
        <f aca="false">IF(ISERROR(ROUND(MEDIAN(U132:BT132),0)),0,ROUND(MEDIAN(U132:BT132),0))</f>
        <v>20</v>
      </c>
      <c r="CB132" s="12" t="n">
        <f aca="false">IF(ISERROR(ROUND(MEDIAN(BT132),0)),0,ROUND(MEDIAN(BT132),0))</f>
        <v>0</v>
      </c>
      <c r="CC132" s="12" t="n">
        <f aca="false">IF(ISERROR(ROUND(MEDIAN(D132:BT132),0)),0,ROUND(MEDIAN(D132:BT132),0))</f>
        <v>28</v>
      </c>
      <c r="CD132" s="12" t="n">
        <f aca="false">MAX(D132:BT132)</f>
        <v>56</v>
      </c>
      <c r="CE132" s="7" t="n">
        <f aca="false">COUNTA(BQ132:BT132)</f>
        <v>1</v>
      </c>
      <c r="CF132" s="7" t="n">
        <f aca="false">COUNTA(BM132:BT132)</f>
        <v>3</v>
      </c>
      <c r="CG132" s="7" t="n">
        <f aca="false">COUNTA(BI132:BT132)</f>
        <v>5</v>
      </c>
      <c r="CH132" s="7" t="n">
        <f aca="false">COUNTA(BE132:BT132)</f>
        <v>7</v>
      </c>
      <c r="CI132" s="7" t="n">
        <f aca="false">COUNTA(AU132:BT132)</f>
        <v>11</v>
      </c>
      <c r="CJ132" s="7" t="n">
        <f aca="false">COUNTA(U132:BT132)</f>
        <v>20</v>
      </c>
      <c r="CK132" s="7" t="n">
        <f aca="false">COUNTA(BT132)</f>
        <v>0</v>
      </c>
      <c r="CL132" s="7" t="n">
        <f aca="false">COUNTA(D132:BT132)</f>
        <v>29</v>
      </c>
      <c r="CM132" s="17" t="str">
        <f aca="false">IF(AND(CE132=1,CJ132=1,BT132&lt;&gt;""),"5.ENTRANTES",IF(AND(CE132&lt;&gt;0,CE132/RIGHT($CE$1,1)&gt;=0.5,CJ132=CE132),"4.RECENTES",IF(AND(CF132&lt;&gt;0,CF132/RIGHT($CF$1,1)&gt;=0.5,CJ132=CF132),"4.RECENTES",IF(AND(CG132&lt;&gt;0,CG132/RIGHT($CG$1,2)&gt;=0.5,CJ132=CG132),"4.RECENTES",IF(AND(CH132&lt;&gt;0,CH132/RIGHT($CH$1,2)&gt;=0.5,CJ132=CH132),"4.RECENTES",IF(AND(CI132&lt;&gt;0,CI132/RIGHT($CI$1,2)&gt;=0.5,CJ132=CI132),"4.RECENTES",IF(AND(CE132=0,CF132=0,CG132=0,CH132=0),"3.INATIVOS",IF(CJ132/RIGHT($CJ$1,2)&lt;0.5,"2.INTERMITENTES","1.ORDINÁRIOS"))))))))</f>
        <v>2.INTERMITENTES</v>
      </c>
      <c r="CN132" s="18" t="n">
        <f aca="false">IF(AND(CE132=1,CJ132=1,BT132&lt;&gt;""),BT132,IF(AND(CE132&lt;&gt;0,CE132/RIGHT($CE$1,1)&gt;=0.5,CJ132=CE132),MAX(BV132:CC132),IF(AND(CF132&lt;&gt;0,CF132/RIGHT($CF$1,1)&gt;=0.5,CJ132=CF132),MAX(BV132:CC132),IF(AND(CG132&lt;&gt;0,CG132/RIGHT($CG$1,2)&gt;=0.5,CJ132=CG132),MAX(BV132:CC132),IF(AND(CH132&lt;&gt;0,CH132/RIGHT($CH$1,2)&gt;=0.5,CJ132=CH132),MAX(BV132:CC132),IF(AND(CI132&lt;&gt;0,CI132/RIGHT($CI$1,2)&gt;=0.5,CJ132=CI132),MAX(BV132:CC132),IF(AND(CE132=0,CF132=0,CG132=0,CH132=0),0,IF(CJ132/RIGHT($CJ$1,2)&lt;0.5,ROUND(BU132/RIGHT($CJ$1,2),0),MAX(BV132:CC132)))))))))</f>
        <v>14</v>
      </c>
      <c r="CO132" s="18" t="n">
        <f aca="false">CD132</f>
        <v>56</v>
      </c>
      <c r="CP132" s="15" t="n">
        <v>126</v>
      </c>
      <c r="CQ132" s="16" t="n">
        <f aca="false">IF((CO132-CP132)&lt;0,0,(CO132-CP132))</f>
        <v>0</v>
      </c>
      <c r="CR132" s="7"/>
    </row>
    <row r="133" customFormat="false" ht="12.75" hidden="false" customHeight="true" outlineLevel="0" collapsed="false">
      <c r="A133" s="7" t="s">
        <v>95</v>
      </c>
      <c r="B133" s="7" t="s">
        <v>227</v>
      </c>
      <c r="C133" s="8" t="n">
        <v>5000028</v>
      </c>
      <c r="D133" s="9" t="n">
        <v>30</v>
      </c>
      <c r="E133" s="9" t="n">
        <v>300</v>
      </c>
      <c r="F133" s="9" t="n">
        <v>90</v>
      </c>
      <c r="G133" s="9" t="n">
        <v>180</v>
      </c>
      <c r="H133" s="9" t="n">
        <v>150</v>
      </c>
      <c r="I133" s="9" t="n">
        <v>480</v>
      </c>
      <c r="J133" s="9" t="n">
        <v>180</v>
      </c>
      <c r="K133" s="9" t="n">
        <v>30</v>
      </c>
      <c r="L133" s="9" t="n">
        <v>180</v>
      </c>
      <c r="M133" s="9" t="n">
        <v>240</v>
      </c>
      <c r="N133" s="9" t="n">
        <v>300</v>
      </c>
      <c r="O133" s="9" t="n">
        <v>90</v>
      </c>
      <c r="P133" s="9" t="n">
        <v>270</v>
      </c>
      <c r="Q133" s="9" t="n">
        <v>210</v>
      </c>
      <c r="R133" s="9" t="n">
        <v>210</v>
      </c>
      <c r="S133" s="9" t="n">
        <v>210</v>
      </c>
      <c r="T133" s="9" t="n">
        <v>90</v>
      </c>
      <c r="U133" s="9" t="n">
        <v>210</v>
      </c>
      <c r="V133" s="9" t="n">
        <v>150</v>
      </c>
      <c r="W133" s="9" t="n">
        <v>210</v>
      </c>
      <c r="X133" s="9" t="n">
        <v>180</v>
      </c>
      <c r="Y133" s="9" t="n">
        <v>120</v>
      </c>
      <c r="Z133" s="9" t="n">
        <v>150</v>
      </c>
      <c r="AA133" s="9" t="n">
        <v>180</v>
      </c>
      <c r="AB133" s="9" t="n">
        <v>240</v>
      </c>
      <c r="AC133" s="9" t="n">
        <v>120</v>
      </c>
      <c r="AD133" s="9" t="n">
        <v>210</v>
      </c>
      <c r="AE133" s="9" t="n">
        <v>300</v>
      </c>
      <c r="AF133" s="9" t="n">
        <v>90</v>
      </c>
      <c r="AG133" s="9" t="n">
        <v>150</v>
      </c>
      <c r="AH133" s="9" t="n">
        <v>150</v>
      </c>
      <c r="AI133" s="9" t="n">
        <v>240</v>
      </c>
      <c r="AJ133" s="9" t="n">
        <v>300</v>
      </c>
      <c r="AK133" s="9" t="n">
        <v>450</v>
      </c>
      <c r="AL133" s="9" t="n">
        <v>180</v>
      </c>
      <c r="AM133" s="9" t="n">
        <v>90</v>
      </c>
      <c r="AN133" s="9" t="n">
        <v>120</v>
      </c>
      <c r="AO133" s="9" t="n">
        <v>240</v>
      </c>
      <c r="AP133" s="9" t="n">
        <v>420</v>
      </c>
      <c r="AQ133" s="9" t="n">
        <v>60</v>
      </c>
      <c r="AR133" s="9" t="n">
        <v>240</v>
      </c>
      <c r="AS133" s="9" t="n">
        <v>210</v>
      </c>
      <c r="AT133" s="9" t="n">
        <v>150</v>
      </c>
      <c r="AU133" s="9" t="n">
        <v>180</v>
      </c>
      <c r="AV133" s="9" t="n">
        <v>240</v>
      </c>
      <c r="AW133" s="9" t="n">
        <v>120</v>
      </c>
      <c r="AX133" s="9" t="n">
        <v>240</v>
      </c>
      <c r="AY133" s="9" t="n">
        <v>90</v>
      </c>
      <c r="AZ133" s="9" t="n">
        <v>360</v>
      </c>
      <c r="BA133" s="9" t="n">
        <v>240</v>
      </c>
      <c r="BB133" s="9" t="n">
        <v>300</v>
      </c>
      <c r="BC133" s="9" t="n">
        <v>120</v>
      </c>
      <c r="BD133" s="9" t="n">
        <v>120</v>
      </c>
      <c r="BE133" s="9" t="n">
        <v>180</v>
      </c>
      <c r="BF133" s="9" t="n">
        <v>330</v>
      </c>
      <c r="BG133" s="9" t="n">
        <v>240</v>
      </c>
      <c r="BH133" s="9" t="n">
        <v>120</v>
      </c>
      <c r="BI133" s="9" t="n">
        <v>300</v>
      </c>
      <c r="BJ133" s="9" t="n">
        <v>270</v>
      </c>
      <c r="BK133" s="9" t="n">
        <v>210</v>
      </c>
      <c r="BL133" s="9" t="n">
        <v>250</v>
      </c>
      <c r="BM133" s="9" t="n">
        <v>160</v>
      </c>
      <c r="BN133" s="9" t="n">
        <v>330</v>
      </c>
      <c r="BO133" s="9" t="n">
        <v>120</v>
      </c>
      <c r="BP133" s="9" t="n">
        <v>180</v>
      </c>
      <c r="BQ133" s="9" t="n">
        <v>400</v>
      </c>
      <c r="BR133" s="9" t="n">
        <v>510</v>
      </c>
      <c r="BS133" s="9"/>
      <c r="BT133" s="9" t="n">
        <v>90</v>
      </c>
      <c r="BU133" s="10" t="n">
        <v>14100</v>
      </c>
      <c r="BV133" s="11" t="n">
        <f aca="false">IF(ISERROR(ROUND(MEDIAN(BQ133:BT133),0)),0,ROUND(MEDIAN(BQ133:BT133),0))</f>
        <v>400</v>
      </c>
      <c r="BW133" s="11" t="n">
        <f aca="false">IF(ISERROR(ROUND(MEDIAN(BM133:BT133),0)),0,ROUND(MEDIAN(BM133:BT133),0))</f>
        <v>180</v>
      </c>
      <c r="BX133" s="11" t="n">
        <f aca="false">IF(ISERROR(ROUND(MEDIAN(BI133:BT133),0)),0,ROUND(MEDIAN(BI133:BT133),0))</f>
        <v>250</v>
      </c>
      <c r="BY133" s="11" t="n">
        <f aca="false">IF(ISERROR(ROUND(MEDIAN(BE133:BT133),0)),0,ROUND(MEDIAN(BE133:BT133),0))</f>
        <v>240</v>
      </c>
      <c r="BZ133" s="11" t="n">
        <f aca="false">IF(ISERROR(ROUND(MEDIAN(AU133:BT133),0)),0,ROUND(MEDIAN(AU133:BT133),0))</f>
        <v>240</v>
      </c>
      <c r="CA133" s="12" t="n">
        <f aca="false">IF(ISERROR(ROUND(MEDIAN(U133:BT133),0)),0,ROUND(MEDIAN(U133:BT133),0))</f>
        <v>210</v>
      </c>
      <c r="CB133" s="12" t="n">
        <f aca="false">IF(ISERROR(ROUND(MEDIAN(BT133),0)),0,ROUND(MEDIAN(BT133),0))</f>
        <v>90</v>
      </c>
      <c r="CC133" s="12" t="n">
        <f aca="false">IF(ISERROR(ROUND(MEDIAN(D133:BT133),0)),0,ROUND(MEDIAN(D133:BT133),0))</f>
        <v>195</v>
      </c>
      <c r="CD133" s="12" t="n">
        <f aca="false">MAX(D133:BT133)</f>
        <v>510</v>
      </c>
      <c r="CE133" s="7" t="n">
        <f aca="false">COUNTA(BQ133:BT133)</f>
        <v>3</v>
      </c>
      <c r="CF133" s="7" t="n">
        <f aca="false">COUNTA(BM133:BT133)</f>
        <v>7</v>
      </c>
      <c r="CG133" s="7" t="n">
        <f aca="false">COUNTA(BI133:BT133)</f>
        <v>11</v>
      </c>
      <c r="CH133" s="7" t="n">
        <f aca="false">COUNTA(BE133:BT133)</f>
        <v>15</v>
      </c>
      <c r="CI133" s="7" t="n">
        <f aca="false">COUNTA(AU133:BT133)</f>
        <v>25</v>
      </c>
      <c r="CJ133" s="7" t="n">
        <f aca="false">COUNTA(U133:BT133)</f>
        <v>51</v>
      </c>
      <c r="CK133" s="7" t="n">
        <f aca="false">COUNTA(BT133)</f>
        <v>1</v>
      </c>
      <c r="CL133" s="7" t="n">
        <f aca="false">COUNTA(D133:BT133)</f>
        <v>68</v>
      </c>
      <c r="CM133" s="13" t="str">
        <f aca="false">IF(AND(CE133=1,CJ133=1,BT133&lt;&gt;""),"5.ENTRANTES",IF(AND(CE133&lt;&gt;0,CE133/RIGHT($CE$1,1)&gt;=0.5,CJ133=CE133),"4.RECENTES",IF(AND(CF133&lt;&gt;0,CF133/RIGHT($CF$1,1)&gt;=0.5,CJ133=CF133),"4.RECENTES",IF(AND(CG133&lt;&gt;0,CG133/RIGHT($CG$1,2)&gt;=0.5,CJ133=CG133),"4.RECENTES",IF(AND(CH133&lt;&gt;0,CH133/RIGHT($CH$1,2)&gt;=0.5,CJ133=CH133),"4.RECENTES",IF(AND(CI133&lt;&gt;0,CI133/RIGHT($CI$1,2)&gt;=0.5,CJ133=CI133),"4.RECENTES",IF(AND(CE133=0,CF133=0,CG133=0,CH133=0),"3.INATIVOS",IF(CJ133/RIGHT($CJ$1,2)&lt;0.5,"2.INTERMITENTES","1.ORDINÁRIOS"))))))))</f>
        <v>1.ORDINÁRIOS</v>
      </c>
      <c r="CN133" s="14" t="n">
        <f aca="false">IF(AND(CE133=1,CJ133=1,BT133&lt;&gt;""),BT133,IF(AND(CE133&lt;&gt;0,CE133/RIGHT($CE$1,1)&gt;=0.5,CJ133=CE133),MAX(BV133:CC133),IF(AND(CF133&lt;&gt;0,CF133/RIGHT($CF$1,1)&gt;=0.5,CJ133=CF133),MAX(BV133:CC133),IF(AND(CG133&lt;&gt;0,CG133/RIGHT($CG$1,2)&gt;=0.5,CJ133=CG133),MAX(BV133:CC133),IF(AND(CH133&lt;&gt;0,CH133/RIGHT($CH$1,2)&gt;=0.5,CJ133=CH133),MAX(BV133:CC133),IF(AND(CI133&lt;&gt;0,CI133/RIGHT($CI$1,2)&gt;=0.5,CJ133=CI133),MAX(BV133:CC133),IF(AND(CE133=0,CF133=0,CG133=0,CH133=0),0,IF(CJ133/RIGHT($CJ$1,2)&lt;0.5,ROUND(BU133/RIGHT($CJ$1,2),0),MAX(BV133:CC133)))))))))</f>
        <v>400</v>
      </c>
      <c r="CO133" s="14" t="n">
        <f aca="false">CN133*3</f>
        <v>1200</v>
      </c>
      <c r="CP133" s="15" t="n">
        <v>930</v>
      </c>
      <c r="CQ133" s="16" t="n">
        <f aca="false">IF((CO133-CP133)&lt;0,0,(CO133-CP133))</f>
        <v>270</v>
      </c>
      <c r="CR133" s="7"/>
    </row>
    <row r="134" customFormat="false" ht="12.75" hidden="false" customHeight="true" outlineLevel="0" collapsed="false">
      <c r="A134" s="7" t="s">
        <v>95</v>
      </c>
      <c r="B134" s="7" t="s">
        <v>228</v>
      </c>
      <c r="C134" s="8" t="n">
        <v>2000141</v>
      </c>
      <c r="D134" s="9" t="n">
        <v>4</v>
      </c>
      <c r="E134" s="9" t="n">
        <v>2</v>
      </c>
      <c r="F134" s="9" t="n">
        <v>6</v>
      </c>
      <c r="G134" s="9" t="n">
        <v>3</v>
      </c>
      <c r="H134" s="9" t="n">
        <v>2</v>
      </c>
      <c r="I134" s="9" t="n">
        <v>10</v>
      </c>
      <c r="J134" s="9" t="n">
        <v>7</v>
      </c>
      <c r="K134" s="9"/>
      <c r="L134" s="9"/>
      <c r="M134" s="9" t="n">
        <v>2</v>
      </c>
      <c r="N134" s="9" t="n">
        <v>6</v>
      </c>
      <c r="O134" s="9" t="n">
        <v>11</v>
      </c>
      <c r="P134" s="9" t="n">
        <v>2</v>
      </c>
      <c r="Q134" s="9" t="n">
        <v>1</v>
      </c>
      <c r="R134" s="9" t="n">
        <v>7</v>
      </c>
      <c r="S134" s="9" t="n">
        <v>1</v>
      </c>
      <c r="T134" s="9" t="n">
        <v>2</v>
      </c>
      <c r="U134" s="9" t="n">
        <v>6</v>
      </c>
      <c r="V134" s="9" t="n">
        <v>4</v>
      </c>
      <c r="W134" s="9" t="n">
        <v>5</v>
      </c>
      <c r="X134" s="9" t="n">
        <v>9</v>
      </c>
      <c r="Y134" s="9" t="n">
        <v>2</v>
      </c>
      <c r="Z134" s="9"/>
      <c r="AA134" s="9" t="n">
        <v>6</v>
      </c>
      <c r="AB134" s="9" t="n">
        <v>4</v>
      </c>
      <c r="AC134" s="9" t="n">
        <v>2</v>
      </c>
      <c r="AD134" s="9" t="n">
        <v>5</v>
      </c>
      <c r="AE134" s="9" t="n">
        <v>3</v>
      </c>
      <c r="AF134" s="9" t="n">
        <v>1</v>
      </c>
      <c r="AG134" s="9" t="n">
        <v>7</v>
      </c>
      <c r="AH134" s="9" t="n">
        <v>4</v>
      </c>
      <c r="AI134" s="9" t="n">
        <v>4</v>
      </c>
      <c r="AJ134" s="9" t="n">
        <v>2</v>
      </c>
      <c r="AK134" s="9" t="n">
        <v>1</v>
      </c>
      <c r="AL134" s="9" t="n">
        <v>5</v>
      </c>
      <c r="AM134" s="9"/>
      <c r="AN134" s="9" t="n">
        <v>6</v>
      </c>
      <c r="AO134" s="9" t="n">
        <v>2</v>
      </c>
      <c r="AP134" s="9" t="n">
        <v>5</v>
      </c>
      <c r="AQ134" s="9" t="n">
        <v>2</v>
      </c>
      <c r="AR134" s="9" t="n">
        <v>4</v>
      </c>
      <c r="AS134" s="9" t="n">
        <v>4</v>
      </c>
      <c r="AT134" s="9" t="n">
        <v>3</v>
      </c>
      <c r="AU134" s="9" t="n">
        <v>2</v>
      </c>
      <c r="AV134" s="9" t="n">
        <v>6</v>
      </c>
      <c r="AW134" s="9" t="n">
        <v>4</v>
      </c>
      <c r="AX134" s="9"/>
      <c r="AY134" s="9" t="n">
        <v>4</v>
      </c>
      <c r="AZ134" s="9" t="n">
        <v>4</v>
      </c>
      <c r="BA134" s="9" t="n">
        <v>7</v>
      </c>
      <c r="BB134" s="9" t="n">
        <v>10</v>
      </c>
      <c r="BC134" s="9" t="n">
        <v>5</v>
      </c>
      <c r="BD134" s="9" t="n">
        <v>5</v>
      </c>
      <c r="BE134" s="9" t="n">
        <v>2</v>
      </c>
      <c r="BF134" s="9" t="n">
        <v>5</v>
      </c>
      <c r="BG134" s="9" t="n">
        <v>4</v>
      </c>
      <c r="BH134" s="9" t="n">
        <v>4</v>
      </c>
      <c r="BI134" s="9"/>
      <c r="BJ134" s="9" t="n">
        <v>2</v>
      </c>
      <c r="BK134" s="9" t="n">
        <v>4</v>
      </c>
      <c r="BL134" s="9" t="n">
        <v>4</v>
      </c>
      <c r="BM134" s="9" t="n">
        <v>5</v>
      </c>
      <c r="BN134" s="9" t="n">
        <v>1</v>
      </c>
      <c r="BO134" s="9" t="n">
        <v>9</v>
      </c>
      <c r="BP134" s="9" t="n">
        <v>1</v>
      </c>
      <c r="BQ134" s="9"/>
      <c r="BR134" s="9" t="n">
        <v>1</v>
      </c>
      <c r="BS134" s="9"/>
      <c r="BT134" s="9" t="n">
        <v>2</v>
      </c>
      <c r="BU134" s="10" t="n">
        <v>253</v>
      </c>
      <c r="BV134" s="11" t="n">
        <f aca="false">IF(ISERROR(ROUND(MEDIAN(BQ134:BT134),0)),0,ROUND(MEDIAN(BQ134:BT134),0))</f>
        <v>2</v>
      </c>
      <c r="BW134" s="11" t="n">
        <f aca="false">IF(ISERROR(ROUND(MEDIAN(BM134:BT134),0)),0,ROUND(MEDIAN(BM134:BT134),0))</f>
        <v>2</v>
      </c>
      <c r="BX134" s="11" t="n">
        <f aca="false">IF(ISERROR(ROUND(MEDIAN(BI134:BT134),0)),0,ROUND(MEDIAN(BI134:BT134),0))</f>
        <v>2</v>
      </c>
      <c r="BY134" s="11" t="n">
        <f aca="false">IF(ISERROR(ROUND(MEDIAN(BE134:BT134),0)),0,ROUND(MEDIAN(BE134:BT134),0))</f>
        <v>4</v>
      </c>
      <c r="BZ134" s="11" t="n">
        <f aca="false">IF(ISERROR(ROUND(MEDIAN(AU134:BT134),0)),0,ROUND(MEDIAN(AU134:BT134),0))</f>
        <v>4</v>
      </c>
      <c r="CA134" s="12" t="n">
        <f aca="false">IF(ISERROR(ROUND(MEDIAN(U134:BT134),0)),0,ROUND(MEDIAN(U134:BT134),0))</f>
        <v>4</v>
      </c>
      <c r="CB134" s="12" t="n">
        <f aca="false">IF(ISERROR(ROUND(MEDIAN(BT134),0)),0,ROUND(MEDIAN(BT134),0))</f>
        <v>2</v>
      </c>
      <c r="CC134" s="12" t="n">
        <f aca="false">IF(ISERROR(ROUND(MEDIAN(D134:BT134),0)),0,ROUND(MEDIAN(D134:BT134),0))</f>
        <v>4</v>
      </c>
      <c r="CD134" s="12" t="n">
        <f aca="false">MAX(D134:BT134)</f>
        <v>11</v>
      </c>
      <c r="CE134" s="7" t="n">
        <f aca="false">COUNTA(BQ134:BT134)</f>
        <v>2</v>
      </c>
      <c r="CF134" s="7" t="n">
        <f aca="false">COUNTA(BM134:BT134)</f>
        <v>6</v>
      </c>
      <c r="CG134" s="7" t="n">
        <f aca="false">COUNTA(BI134:BT134)</f>
        <v>9</v>
      </c>
      <c r="CH134" s="7" t="n">
        <f aca="false">COUNTA(BE134:BT134)</f>
        <v>13</v>
      </c>
      <c r="CI134" s="7" t="n">
        <f aca="false">COUNTA(AU134:BT134)</f>
        <v>22</v>
      </c>
      <c r="CJ134" s="7" t="n">
        <f aca="false">COUNTA(U134:BT134)</f>
        <v>46</v>
      </c>
      <c r="CK134" s="7" t="n">
        <f aca="false">COUNTA(BT134)</f>
        <v>1</v>
      </c>
      <c r="CL134" s="7" t="n">
        <f aca="false">COUNTA(D134:BT134)</f>
        <v>61</v>
      </c>
      <c r="CM134" s="13" t="str">
        <f aca="false">IF(AND(CE134=1,CJ134=1,BT134&lt;&gt;""),"5.ENTRANTES",IF(AND(CE134&lt;&gt;0,CE134/RIGHT($CE$1,1)&gt;=0.5,CJ134=CE134),"4.RECENTES",IF(AND(CF134&lt;&gt;0,CF134/RIGHT($CF$1,1)&gt;=0.5,CJ134=CF134),"4.RECENTES",IF(AND(CG134&lt;&gt;0,CG134/RIGHT($CG$1,2)&gt;=0.5,CJ134=CG134),"4.RECENTES",IF(AND(CH134&lt;&gt;0,CH134/RIGHT($CH$1,2)&gt;=0.5,CJ134=CH134),"4.RECENTES",IF(AND(CI134&lt;&gt;0,CI134/RIGHT($CI$1,2)&gt;=0.5,CJ134=CI134),"4.RECENTES",IF(AND(CE134=0,CF134=0,CG134=0,CH134=0),"3.INATIVOS",IF(CJ134/RIGHT($CJ$1,2)&lt;0.5,"2.INTERMITENTES","1.ORDINÁRIOS"))))))))</f>
        <v>1.ORDINÁRIOS</v>
      </c>
      <c r="CN134" s="14" t="n">
        <f aca="false">IF(AND(CE134=1,CJ134=1,BT134&lt;&gt;""),BT134,IF(AND(CE134&lt;&gt;0,CE134/RIGHT($CE$1,1)&gt;=0.5,CJ134=CE134),MAX(BV134:CC134),IF(AND(CF134&lt;&gt;0,CF134/RIGHT($CF$1,1)&gt;=0.5,CJ134=CF134),MAX(BV134:CC134),IF(AND(CG134&lt;&gt;0,CG134/RIGHT($CG$1,2)&gt;=0.5,CJ134=CG134),MAX(BV134:CC134),IF(AND(CH134&lt;&gt;0,CH134/RIGHT($CH$1,2)&gt;=0.5,CJ134=CH134),MAX(BV134:CC134),IF(AND(CI134&lt;&gt;0,CI134/RIGHT($CI$1,2)&gt;=0.5,CJ134=CI134),MAX(BV134:CC134),IF(AND(CE134=0,CF134=0,CG134=0,CH134=0),0,IF(CJ134/RIGHT($CJ$1,2)&lt;0.5,ROUND(BU134/RIGHT($CJ$1,2),0),MAX(BV134:CC134)))))))))</f>
        <v>4</v>
      </c>
      <c r="CO134" s="14" t="n">
        <f aca="false">CN134*3</f>
        <v>12</v>
      </c>
      <c r="CP134" s="15" t="n">
        <v>2</v>
      </c>
      <c r="CQ134" s="16" t="n">
        <f aca="false">IF((CO134-CP134)&lt;0,0,(CO134-CP134))</f>
        <v>10</v>
      </c>
      <c r="CR134" s="7"/>
    </row>
    <row r="135" customFormat="false" ht="12.75" hidden="false" customHeight="true" outlineLevel="0" collapsed="false">
      <c r="A135" s="7" t="s">
        <v>95</v>
      </c>
      <c r="B135" s="7" t="s">
        <v>229</v>
      </c>
      <c r="C135" s="8" t="n">
        <v>12001001</v>
      </c>
      <c r="D135" s="9" t="n">
        <v>560</v>
      </c>
      <c r="E135" s="9" t="n">
        <v>924</v>
      </c>
      <c r="F135" s="9" t="n">
        <v>1400</v>
      </c>
      <c r="G135" s="9" t="n">
        <v>1470</v>
      </c>
      <c r="H135" s="9" t="n">
        <v>954</v>
      </c>
      <c r="I135" s="9" t="n">
        <v>1540</v>
      </c>
      <c r="J135" s="9" t="n">
        <v>1736</v>
      </c>
      <c r="K135" s="9" t="n">
        <v>1204</v>
      </c>
      <c r="L135" s="9" t="n">
        <v>1624</v>
      </c>
      <c r="M135" s="9" t="n">
        <v>1316</v>
      </c>
      <c r="N135" s="9" t="n">
        <v>1330</v>
      </c>
      <c r="O135" s="9" t="n">
        <v>1940</v>
      </c>
      <c r="P135" s="9" t="n">
        <v>1652</v>
      </c>
      <c r="Q135" s="9" t="n">
        <v>1484</v>
      </c>
      <c r="R135" s="9" t="n">
        <v>1260</v>
      </c>
      <c r="S135" s="9" t="n">
        <v>1456</v>
      </c>
      <c r="T135" s="9" t="n">
        <v>1458</v>
      </c>
      <c r="U135" s="9" t="n">
        <v>1666</v>
      </c>
      <c r="V135" s="9" t="n">
        <v>1878</v>
      </c>
      <c r="W135" s="9" t="n">
        <v>1680</v>
      </c>
      <c r="X135" s="9" t="n">
        <v>1092</v>
      </c>
      <c r="Y135" s="9" t="n">
        <v>1344</v>
      </c>
      <c r="Z135" s="9" t="n">
        <v>840</v>
      </c>
      <c r="AA135" s="9" t="n">
        <v>1960</v>
      </c>
      <c r="AB135" s="9" t="n">
        <v>1780</v>
      </c>
      <c r="AC135" s="9" t="n">
        <v>1820</v>
      </c>
      <c r="AD135" s="9" t="n">
        <v>1372</v>
      </c>
      <c r="AE135" s="9" t="n">
        <v>1540</v>
      </c>
      <c r="AF135" s="9" t="n">
        <v>1218</v>
      </c>
      <c r="AG135" s="9" t="n">
        <v>1484</v>
      </c>
      <c r="AH135" s="9" t="n">
        <v>1652</v>
      </c>
      <c r="AI135" s="9" t="n">
        <v>1652</v>
      </c>
      <c r="AJ135" s="9" t="n">
        <v>1372</v>
      </c>
      <c r="AK135" s="9" t="n">
        <v>1666</v>
      </c>
      <c r="AL135" s="9" t="n">
        <v>1582</v>
      </c>
      <c r="AM135" s="9" t="n">
        <v>1512</v>
      </c>
      <c r="AN135" s="9" t="n">
        <v>2030</v>
      </c>
      <c r="AO135" s="9" t="n">
        <v>952</v>
      </c>
      <c r="AP135" s="9" t="n">
        <v>2856</v>
      </c>
      <c r="AQ135" s="9" t="n">
        <v>1565</v>
      </c>
      <c r="AR135" s="9" t="n">
        <v>1342</v>
      </c>
      <c r="AS135" s="9" t="n">
        <v>1863</v>
      </c>
      <c r="AT135" s="9" t="n">
        <v>1288</v>
      </c>
      <c r="AU135" s="9" t="n">
        <v>1190</v>
      </c>
      <c r="AV135" s="9" t="n">
        <v>826</v>
      </c>
      <c r="AW135" s="9" t="n">
        <v>1260</v>
      </c>
      <c r="AX135" s="9" t="n">
        <v>2002</v>
      </c>
      <c r="AY135" s="9" t="n">
        <v>868</v>
      </c>
      <c r="AZ135" s="9" t="n">
        <v>790</v>
      </c>
      <c r="BA135" s="9" t="n">
        <v>804</v>
      </c>
      <c r="BB135" s="9" t="n">
        <v>1120</v>
      </c>
      <c r="BC135" s="9" t="n">
        <v>1120</v>
      </c>
      <c r="BD135" s="9" t="n">
        <v>2100</v>
      </c>
      <c r="BE135" s="9" t="n">
        <v>1792</v>
      </c>
      <c r="BF135" s="9" t="n">
        <v>1554</v>
      </c>
      <c r="BG135" s="9" t="n">
        <v>1246</v>
      </c>
      <c r="BH135" s="9" t="n">
        <v>756</v>
      </c>
      <c r="BI135" s="9" t="n">
        <v>1848</v>
      </c>
      <c r="BJ135" s="9" t="n">
        <v>1288</v>
      </c>
      <c r="BK135" s="9" t="n">
        <v>922</v>
      </c>
      <c r="BL135" s="9" t="n">
        <v>1064</v>
      </c>
      <c r="BM135" s="9" t="n">
        <v>1148</v>
      </c>
      <c r="BN135" s="9" t="n">
        <v>826</v>
      </c>
      <c r="BO135" s="9" t="n">
        <v>1316</v>
      </c>
      <c r="BP135" s="9" t="n">
        <v>1624</v>
      </c>
      <c r="BQ135" s="9" t="n">
        <v>724</v>
      </c>
      <c r="BR135" s="9" t="n">
        <v>1134</v>
      </c>
      <c r="BS135" s="9" t="n">
        <v>882</v>
      </c>
      <c r="BT135" s="9" t="n">
        <v>672</v>
      </c>
      <c r="BU135" s="10" t="n">
        <v>95190</v>
      </c>
      <c r="BV135" s="11" t="n">
        <f aca="false">IF(ISERROR(ROUND(MEDIAN(BQ135:BT135),0)),0,ROUND(MEDIAN(BQ135:BT135),0))</f>
        <v>803</v>
      </c>
      <c r="BW135" s="11" t="n">
        <f aca="false">IF(ISERROR(ROUND(MEDIAN(BM135:BT135),0)),0,ROUND(MEDIAN(BM135:BT135),0))</f>
        <v>1008</v>
      </c>
      <c r="BX135" s="11" t="n">
        <f aca="false">IF(ISERROR(ROUND(MEDIAN(BI135:BT135),0)),0,ROUND(MEDIAN(BI135:BT135),0))</f>
        <v>1099</v>
      </c>
      <c r="BY135" s="11" t="n">
        <f aca="false">IF(ISERROR(ROUND(MEDIAN(BE135:BT135),0)),0,ROUND(MEDIAN(BE135:BT135),0))</f>
        <v>1141</v>
      </c>
      <c r="BZ135" s="11" t="n">
        <f aca="false">IF(ISERROR(ROUND(MEDIAN(AU135:BT135),0)),0,ROUND(MEDIAN(AU135:BT135),0))</f>
        <v>1127</v>
      </c>
      <c r="CA135" s="12" t="n">
        <f aca="false">IF(ISERROR(ROUND(MEDIAN(U135:BT135),0)),0,ROUND(MEDIAN(U135:BT135),0))</f>
        <v>1343</v>
      </c>
      <c r="CB135" s="12" t="n">
        <f aca="false">IF(ISERROR(ROUND(MEDIAN(BT135),0)),0,ROUND(MEDIAN(BT135),0))</f>
        <v>672</v>
      </c>
      <c r="CC135" s="12" t="n">
        <f aca="false">IF(ISERROR(ROUND(MEDIAN(D135:BT135),0)),0,ROUND(MEDIAN(D135:BT135),0))</f>
        <v>1372</v>
      </c>
      <c r="CD135" s="12" t="n">
        <f aca="false">MAX(D135:BT135)</f>
        <v>2856</v>
      </c>
      <c r="CE135" s="7" t="n">
        <f aca="false">COUNTA(BQ135:BT135)</f>
        <v>4</v>
      </c>
      <c r="CF135" s="7" t="n">
        <f aca="false">COUNTA(BM135:BT135)</f>
        <v>8</v>
      </c>
      <c r="CG135" s="7" t="n">
        <f aca="false">COUNTA(BI135:BT135)</f>
        <v>12</v>
      </c>
      <c r="CH135" s="7" t="n">
        <f aca="false">COUNTA(BE135:BT135)</f>
        <v>16</v>
      </c>
      <c r="CI135" s="7" t="n">
        <f aca="false">COUNTA(AU135:BT135)</f>
        <v>26</v>
      </c>
      <c r="CJ135" s="7" t="n">
        <f aca="false">COUNTA(U135:BT135)</f>
        <v>52</v>
      </c>
      <c r="CK135" s="7" t="n">
        <f aca="false">COUNTA(BT135)</f>
        <v>1</v>
      </c>
      <c r="CL135" s="7" t="n">
        <f aca="false">COUNTA(D135:BT135)</f>
        <v>69</v>
      </c>
      <c r="CM135" s="13" t="str">
        <f aca="false">IF(AND(CE135=1,CJ135=1,BT135&lt;&gt;""),"5.ENTRANTES",IF(AND(CE135&lt;&gt;0,CE135/RIGHT($CE$1,1)&gt;=0.5,CJ135=CE135),"4.RECENTES",IF(AND(CF135&lt;&gt;0,CF135/RIGHT($CF$1,1)&gt;=0.5,CJ135=CF135),"4.RECENTES",IF(AND(CG135&lt;&gt;0,CG135/RIGHT($CG$1,2)&gt;=0.5,CJ135=CG135),"4.RECENTES",IF(AND(CH135&lt;&gt;0,CH135/RIGHT($CH$1,2)&gt;=0.5,CJ135=CH135),"4.RECENTES",IF(AND(CI135&lt;&gt;0,CI135/RIGHT($CI$1,2)&gt;=0.5,CJ135=CI135),"4.RECENTES",IF(AND(CE135=0,CF135=0,CG135=0,CH135=0),"3.INATIVOS",IF(CJ135/RIGHT($CJ$1,2)&lt;0.5,"2.INTERMITENTES","1.ORDINÁRIOS"))))))))</f>
        <v>1.ORDINÁRIOS</v>
      </c>
      <c r="CN135" s="14" t="n">
        <f aca="false">IF(AND(CE135=1,CJ135=1,BT135&lt;&gt;""),BT135,IF(AND(CE135&lt;&gt;0,CE135/RIGHT($CE$1,1)&gt;=0.5,CJ135=CE135),MAX(BV135:CC135),IF(AND(CF135&lt;&gt;0,CF135/RIGHT($CF$1,1)&gt;=0.5,CJ135=CF135),MAX(BV135:CC135),IF(AND(CG135&lt;&gt;0,CG135/RIGHT($CG$1,2)&gt;=0.5,CJ135=CG135),MAX(BV135:CC135),IF(AND(CH135&lt;&gt;0,CH135/RIGHT($CH$1,2)&gt;=0.5,CJ135=CH135),MAX(BV135:CC135),IF(AND(CI135&lt;&gt;0,CI135/RIGHT($CI$1,2)&gt;=0.5,CJ135=CI135),MAX(BV135:CC135),IF(AND(CE135=0,CF135=0,CG135=0,CH135=0),0,IF(CJ135/RIGHT($CJ$1,2)&lt;0.5,ROUND(BU135/RIGHT($CJ$1,2),0),MAX(BV135:CC135)))))))))</f>
        <v>1372</v>
      </c>
      <c r="CO135" s="14" t="n">
        <f aca="false">CN135*3</f>
        <v>4116</v>
      </c>
      <c r="CP135" s="15" t="n">
        <v>2734</v>
      </c>
      <c r="CQ135" s="16" t="n">
        <f aca="false">IF((CO135-CP135)&lt;0,0,(CO135-CP135))</f>
        <v>1382</v>
      </c>
      <c r="CR135" s="7"/>
    </row>
    <row r="136" customFormat="false" ht="12.75" hidden="false" customHeight="true" outlineLevel="0" collapsed="false">
      <c r="A136" s="7" t="s">
        <v>95</v>
      </c>
      <c r="B136" s="7" t="s">
        <v>230</v>
      </c>
      <c r="C136" s="8" t="n">
        <v>5000080</v>
      </c>
      <c r="D136" s="9"/>
      <c r="E136" s="9" t="n">
        <v>3</v>
      </c>
      <c r="F136" s="9"/>
      <c r="G136" s="9"/>
      <c r="H136" s="9"/>
      <c r="I136" s="9"/>
      <c r="J136" s="9"/>
      <c r="K136" s="9" t="n">
        <v>3</v>
      </c>
      <c r="L136" s="9"/>
      <c r="M136" s="9"/>
      <c r="N136" s="9"/>
      <c r="O136" s="9"/>
      <c r="P136" s="9" t="n">
        <v>3</v>
      </c>
      <c r="Q136" s="9"/>
      <c r="R136" s="9" t="n">
        <v>3</v>
      </c>
      <c r="S136" s="9"/>
      <c r="T136" s="9"/>
      <c r="U136" s="9"/>
      <c r="V136" s="9"/>
      <c r="W136" s="9"/>
      <c r="X136" s="9"/>
      <c r="Y136" s="9" t="n">
        <v>3</v>
      </c>
      <c r="Z136" s="9"/>
      <c r="AA136" s="9"/>
      <c r="AB136" s="9" t="n">
        <v>3</v>
      </c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 t="n">
        <v>3</v>
      </c>
      <c r="AP136" s="9"/>
      <c r="AQ136" s="9"/>
      <c r="AR136" s="9"/>
      <c r="AS136" s="9"/>
      <c r="AT136" s="9" t="n">
        <v>3</v>
      </c>
      <c r="AU136" s="9"/>
      <c r="AV136" s="9"/>
      <c r="AW136" s="9"/>
      <c r="AX136" s="9" t="n">
        <v>3</v>
      </c>
      <c r="AY136" s="9" t="n">
        <v>3</v>
      </c>
      <c r="AZ136" s="9"/>
      <c r="BA136" s="9"/>
      <c r="BB136" s="9"/>
      <c r="BC136" s="9" t="n">
        <v>3</v>
      </c>
      <c r="BD136" s="9"/>
      <c r="BE136" s="9"/>
      <c r="BF136" s="9"/>
      <c r="BG136" s="9" t="n">
        <v>3</v>
      </c>
      <c r="BH136" s="9"/>
      <c r="BI136" s="9"/>
      <c r="BJ136" s="9"/>
      <c r="BK136" s="9"/>
      <c r="BL136" s="9" t="n">
        <v>3</v>
      </c>
      <c r="BM136" s="9"/>
      <c r="BN136" s="9"/>
      <c r="BO136" s="9"/>
      <c r="BP136" s="9"/>
      <c r="BQ136" s="9"/>
      <c r="BR136" s="9"/>
      <c r="BS136" s="9"/>
      <c r="BT136" s="9"/>
      <c r="BU136" s="10" t="n">
        <v>39</v>
      </c>
      <c r="BV136" s="11" t="n">
        <f aca="false">IF(ISERROR(ROUND(MEDIAN(BQ136:BT136),0)),0,ROUND(MEDIAN(BQ136:BT136),0))</f>
        <v>0</v>
      </c>
      <c r="BW136" s="11" t="n">
        <f aca="false">IF(ISERROR(ROUND(MEDIAN(BM136:BT136),0)),0,ROUND(MEDIAN(BM136:BT136),0))</f>
        <v>0</v>
      </c>
      <c r="BX136" s="11" t="n">
        <f aca="false">IF(ISERROR(ROUND(MEDIAN(BI136:BT136),0)),0,ROUND(MEDIAN(BI136:BT136),0))</f>
        <v>3</v>
      </c>
      <c r="BY136" s="11" t="n">
        <f aca="false">IF(ISERROR(ROUND(MEDIAN(BE136:BT136),0)),0,ROUND(MEDIAN(BE136:BT136),0))</f>
        <v>3</v>
      </c>
      <c r="BZ136" s="11" t="n">
        <f aca="false">IF(ISERROR(ROUND(MEDIAN(AU136:BT136),0)),0,ROUND(MEDIAN(AU136:BT136),0))</f>
        <v>3</v>
      </c>
      <c r="CA136" s="12" t="n">
        <f aca="false">IF(ISERROR(ROUND(MEDIAN(U136:BT136),0)),0,ROUND(MEDIAN(U136:BT136),0))</f>
        <v>3</v>
      </c>
      <c r="CB136" s="12" t="n">
        <f aca="false">IF(ISERROR(ROUND(MEDIAN(BT136),0)),0,ROUND(MEDIAN(BT136),0))</f>
        <v>0</v>
      </c>
      <c r="CC136" s="12" t="n">
        <f aca="false">IF(ISERROR(ROUND(MEDIAN(D136:BT136),0)),0,ROUND(MEDIAN(D136:BT136),0))</f>
        <v>3</v>
      </c>
      <c r="CD136" s="12" t="n">
        <f aca="false">MAX(D136:BT136)</f>
        <v>3</v>
      </c>
      <c r="CE136" s="7" t="n">
        <f aca="false">COUNTA(BQ136:BT136)</f>
        <v>0</v>
      </c>
      <c r="CF136" s="7" t="n">
        <f aca="false">COUNTA(BM136:BT136)</f>
        <v>0</v>
      </c>
      <c r="CG136" s="7" t="n">
        <f aca="false">COUNTA(BI136:BT136)</f>
        <v>1</v>
      </c>
      <c r="CH136" s="7" t="n">
        <f aca="false">COUNTA(BE136:BT136)</f>
        <v>2</v>
      </c>
      <c r="CI136" s="7" t="n">
        <f aca="false">COUNTA(AU136:BT136)</f>
        <v>5</v>
      </c>
      <c r="CJ136" s="7" t="n">
        <f aca="false">COUNTA(U136:BT136)</f>
        <v>9</v>
      </c>
      <c r="CK136" s="7" t="n">
        <f aca="false">COUNTA(BT136)</f>
        <v>0</v>
      </c>
      <c r="CL136" s="7" t="n">
        <f aca="false">COUNTA(D136:BT136)</f>
        <v>13</v>
      </c>
      <c r="CM136" s="17" t="str">
        <f aca="false">IF(AND(CE136=1,CJ136=1,BT136&lt;&gt;""),"5.ENTRANTES",IF(AND(CE136&lt;&gt;0,CE136/RIGHT($CE$1,1)&gt;=0.5,CJ136=CE136),"4.RECENTES",IF(AND(CF136&lt;&gt;0,CF136/RIGHT($CF$1,1)&gt;=0.5,CJ136=CF136),"4.RECENTES",IF(AND(CG136&lt;&gt;0,CG136/RIGHT($CG$1,2)&gt;=0.5,CJ136=CG136),"4.RECENTES",IF(AND(CH136&lt;&gt;0,CH136/RIGHT($CH$1,2)&gt;=0.5,CJ136=CH136),"4.RECENTES",IF(AND(CI136&lt;&gt;0,CI136/RIGHT($CI$1,2)&gt;=0.5,CJ136=CI136),"4.RECENTES",IF(AND(CE136=0,CF136=0,CG136=0,CH136=0),"3.INATIVOS",IF(CJ136/RIGHT($CJ$1,2)&lt;0.5,"2.INTERMITENTES","1.ORDINÁRIOS"))))))))</f>
        <v>2.INTERMITENTES</v>
      </c>
      <c r="CN136" s="18" t="n">
        <f aca="false">IF(AND(CE136=1,CJ136=1,BT136&lt;&gt;""),BT136,IF(AND(CE136&lt;&gt;0,CE136/RIGHT($CE$1,1)&gt;=0.5,CJ136=CE136),MAX(BV136:CC136),IF(AND(CF136&lt;&gt;0,CF136/RIGHT($CF$1,1)&gt;=0.5,CJ136=CF136),MAX(BV136:CC136),IF(AND(CG136&lt;&gt;0,CG136/RIGHT($CG$1,2)&gt;=0.5,CJ136=CG136),MAX(BV136:CC136),IF(AND(CH136&lt;&gt;0,CH136/RIGHT($CH$1,2)&gt;=0.5,CJ136=CH136),MAX(BV136:CC136),IF(AND(CI136&lt;&gt;0,CI136/RIGHT($CI$1,2)&gt;=0.5,CJ136=CI136),MAX(BV136:CC136),IF(AND(CE136=0,CF136=0,CG136=0,CH136=0),0,IF(CJ136/RIGHT($CJ$1,2)&lt;0.5,ROUND(BU136/RIGHT($CJ$1,2),0),MAX(BV136:CC136)))))))))</f>
        <v>1</v>
      </c>
      <c r="CO136" s="18" t="n">
        <f aca="false">CD136</f>
        <v>3</v>
      </c>
      <c r="CP136" s="15" t="n">
        <v>7</v>
      </c>
      <c r="CQ136" s="16" t="n">
        <f aca="false">IF((CO136-CP136)&lt;0,0,(CO136-CP136))</f>
        <v>0</v>
      </c>
      <c r="CR136" s="7"/>
    </row>
    <row r="137" customFormat="false" ht="12.75" hidden="false" customHeight="true" outlineLevel="0" collapsed="false">
      <c r="A137" s="7" t="s">
        <v>95</v>
      </c>
      <c r="B137" s="7" t="s">
        <v>231</v>
      </c>
      <c r="C137" s="8" t="n">
        <v>302004003</v>
      </c>
      <c r="D137" s="9" t="n">
        <v>30</v>
      </c>
      <c r="E137" s="9" t="n">
        <v>240</v>
      </c>
      <c r="F137" s="9" t="n">
        <v>60</v>
      </c>
      <c r="G137" s="9" t="n">
        <v>300</v>
      </c>
      <c r="H137" s="9" t="n">
        <v>120</v>
      </c>
      <c r="I137" s="9" t="n">
        <v>210</v>
      </c>
      <c r="J137" s="9" t="n">
        <v>120</v>
      </c>
      <c r="K137" s="9" t="n">
        <v>60</v>
      </c>
      <c r="L137" s="9" t="n">
        <v>390</v>
      </c>
      <c r="M137" s="9" t="n">
        <v>270</v>
      </c>
      <c r="N137" s="9" t="n">
        <v>60</v>
      </c>
      <c r="O137" s="9" t="n">
        <v>120</v>
      </c>
      <c r="P137" s="9" t="n">
        <v>120</v>
      </c>
      <c r="Q137" s="9" t="n">
        <v>360</v>
      </c>
      <c r="R137" s="9" t="n">
        <v>210</v>
      </c>
      <c r="S137" s="9" t="n">
        <v>60</v>
      </c>
      <c r="T137" s="9" t="n">
        <v>240</v>
      </c>
      <c r="U137" s="9"/>
      <c r="V137" s="9" t="n">
        <v>150</v>
      </c>
      <c r="W137" s="9" t="n">
        <v>60</v>
      </c>
      <c r="X137" s="9" t="n">
        <v>270</v>
      </c>
      <c r="Y137" s="9" t="n">
        <v>240</v>
      </c>
      <c r="Z137" s="9" t="n">
        <v>120</v>
      </c>
      <c r="AA137" s="9" t="n">
        <v>150</v>
      </c>
      <c r="AB137" s="9" t="n">
        <v>240</v>
      </c>
      <c r="AC137" s="9" t="n">
        <v>90</v>
      </c>
      <c r="AD137" s="9" t="n">
        <v>120</v>
      </c>
      <c r="AE137" s="9" t="n">
        <v>270</v>
      </c>
      <c r="AF137" s="9" t="n">
        <v>30</v>
      </c>
      <c r="AG137" s="9" t="n">
        <v>270</v>
      </c>
      <c r="AH137" s="9" t="n">
        <v>120</v>
      </c>
      <c r="AI137" s="9" t="n">
        <v>150</v>
      </c>
      <c r="AJ137" s="9" t="n">
        <v>240</v>
      </c>
      <c r="AK137" s="9" t="n">
        <v>150</v>
      </c>
      <c r="AL137" s="9" t="n">
        <v>120</v>
      </c>
      <c r="AM137" s="9" t="n">
        <v>270</v>
      </c>
      <c r="AN137" s="9" t="n">
        <v>360</v>
      </c>
      <c r="AO137" s="9" t="n">
        <v>30</v>
      </c>
      <c r="AP137" s="9" t="n">
        <v>120</v>
      </c>
      <c r="AQ137" s="9"/>
      <c r="AR137" s="9" t="n">
        <v>240</v>
      </c>
      <c r="AS137" s="9" t="n">
        <v>60</v>
      </c>
      <c r="AT137" s="9" t="n">
        <v>420</v>
      </c>
      <c r="AU137" s="9"/>
      <c r="AV137" s="9" t="n">
        <v>120</v>
      </c>
      <c r="AW137" s="9" t="n">
        <v>60</v>
      </c>
      <c r="AX137" s="9" t="n">
        <v>240</v>
      </c>
      <c r="AY137" s="9" t="n">
        <v>60</v>
      </c>
      <c r="AZ137" s="9"/>
      <c r="BA137" s="9" t="n">
        <v>120</v>
      </c>
      <c r="BB137" s="9" t="n">
        <v>60</v>
      </c>
      <c r="BC137" s="9" t="n">
        <v>270</v>
      </c>
      <c r="BD137" s="9" t="n">
        <v>30</v>
      </c>
      <c r="BE137" s="9"/>
      <c r="BF137" s="9" t="n">
        <v>180</v>
      </c>
      <c r="BG137" s="9" t="n">
        <v>150</v>
      </c>
      <c r="BH137" s="9"/>
      <c r="BI137" s="9" t="n">
        <v>30</v>
      </c>
      <c r="BJ137" s="9" t="n">
        <v>60</v>
      </c>
      <c r="BK137" s="9" t="n">
        <v>150</v>
      </c>
      <c r="BL137" s="9" t="n">
        <v>120</v>
      </c>
      <c r="BM137" s="9"/>
      <c r="BN137" s="9" t="n">
        <v>90</v>
      </c>
      <c r="BO137" s="9" t="n">
        <v>120</v>
      </c>
      <c r="BP137" s="9" t="n">
        <v>150</v>
      </c>
      <c r="BQ137" s="9"/>
      <c r="BR137" s="9" t="n">
        <v>30</v>
      </c>
      <c r="BS137" s="9" t="n">
        <v>180</v>
      </c>
      <c r="BT137" s="9" t="n">
        <v>120</v>
      </c>
      <c r="BU137" s="10" t="n">
        <v>9600</v>
      </c>
      <c r="BV137" s="11" t="n">
        <f aca="false">IF(ISERROR(ROUND(MEDIAN(BQ137:BT137),0)),0,ROUND(MEDIAN(BQ137:BT137),0))</f>
        <v>120</v>
      </c>
      <c r="BW137" s="11" t="n">
        <f aca="false">IF(ISERROR(ROUND(MEDIAN(BM137:BT137),0)),0,ROUND(MEDIAN(BM137:BT137),0))</f>
        <v>120</v>
      </c>
      <c r="BX137" s="11" t="n">
        <f aca="false">IF(ISERROR(ROUND(MEDIAN(BI137:BT137),0)),0,ROUND(MEDIAN(BI137:BT137),0))</f>
        <v>120</v>
      </c>
      <c r="BY137" s="11" t="n">
        <f aca="false">IF(ISERROR(ROUND(MEDIAN(BE137:BT137),0)),0,ROUND(MEDIAN(BE137:BT137),0))</f>
        <v>120</v>
      </c>
      <c r="BZ137" s="11" t="n">
        <f aca="false">IF(ISERROR(ROUND(MEDIAN(AU137:BT137),0)),0,ROUND(MEDIAN(AU137:BT137),0))</f>
        <v>120</v>
      </c>
      <c r="CA137" s="12" t="n">
        <f aca="false">IF(ISERROR(ROUND(MEDIAN(U137:BT137),0)),0,ROUND(MEDIAN(U137:BT137),0))</f>
        <v>120</v>
      </c>
      <c r="CB137" s="12" t="n">
        <f aca="false">IF(ISERROR(ROUND(MEDIAN(BT137),0)),0,ROUND(MEDIAN(BT137),0))</f>
        <v>120</v>
      </c>
      <c r="CC137" s="12" t="n">
        <f aca="false">IF(ISERROR(ROUND(MEDIAN(D137:BT137),0)),0,ROUND(MEDIAN(D137:BT137),0))</f>
        <v>120</v>
      </c>
      <c r="CD137" s="12" t="n">
        <f aca="false">MAX(D137:BT137)</f>
        <v>420</v>
      </c>
      <c r="CE137" s="7" t="n">
        <f aca="false">COUNTA(BQ137:BT137)</f>
        <v>3</v>
      </c>
      <c r="CF137" s="7" t="n">
        <f aca="false">COUNTA(BM137:BT137)</f>
        <v>6</v>
      </c>
      <c r="CG137" s="7" t="n">
        <f aca="false">COUNTA(BI137:BT137)</f>
        <v>10</v>
      </c>
      <c r="CH137" s="7" t="n">
        <f aca="false">COUNTA(BE137:BT137)</f>
        <v>12</v>
      </c>
      <c r="CI137" s="7" t="n">
        <f aca="false">COUNTA(AU137:BT137)</f>
        <v>20</v>
      </c>
      <c r="CJ137" s="7" t="n">
        <f aca="false">COUNTA(U137:BT137)</f>
        <v>44</v>
      </c>
      <c r="CK137" s="7" t="n">
        <f aca="false">COUNTA(BT137)</f>
        <v>1</v>
      </c>
      <c r="CL137" s="7" t="n">
        <f aca="false">COUNTA(D137:BT137)</f>
        <v>61</v>
      </c>
      <c r="CM137" s="13" t="str">
        <f aca="false">IF(AND(CE137=1,CJ137=1,BT137&lt;&gt;""),"5.ENTRANTES",IF(AND(CE137&lt;&gt;0,CE137/RIGHT($CE$1,1)&gt;=0.5,CJ137=CE137),"4.RECENTES",IF(AND(CF137&lt;&gt;0,CF137/RIGHT($CF$1,1)&gt;=0.5,CJ137=CF137),"4.RECENTES",IF(AND(CG137&lt;&gt;0,CG137/RIGHT($CG$1,2)&gt;=0.5,CJ137=CG137),"4.RECENTES",IF(AND(CH137&lt;&gt;0,CH137/RIGHT($CH$1,2)&gt;=0.5,CJ137=CH137),"4.RECENTES",IF(AND(CI137&lt;&gt;0,CI137/RIGHT($CI$1,2)&gt;=0.5,CJ137=CI137),"4.RECENTES",IF(AND(CE137=0,CF137=0,CG137=0,CH137=0),"3.INATIVOS",IF(CJ137/RIGHT($CJ$1,2)&lt;0.5,"2.INTERMITENTES","1.ORDINÁRIOS"))))))))</f>
        <v>1.ORDINÁRIOS</v>
      </c>
      <c r="CN137" s="14" t="n">
        <f aca="false">IF(AND(CE137=1,CJ137=1,BT137&lt;&gt;""),BT137,IF(AND(CE137&lt;&gt;0,CE137/RIGHT($CE$1,1)&gt;=0.5,CJ137=CE137),MAX(BV137:CC137),IF(AND(CF137&lt;&gt;0,CF137/RIGHT($CF$1,1)&gt;=0.5,CJ137=CF137),MAX(BV137:CC137),IF(AND(CG137&lt;&gt;0,CG137/RIGHT($CG$1,2)&gt;=0.5,CJ137=CG137),MAX(BV137:CC137),IF(AND(CH137&lt;&gt;0,CH137/RIGHT($CH$1,2)&gt;=0.5,CJ137=CH137),MAX(BV137:CC137),IF(AND(CI137&lt;&gt;0,CI137/RIGHT($CI$1,2)&gt;=0.5,CJ137=CI137),MAX(BV137:CC137),IF(AND(CE137=0,CF137=0,CG137=0,CH137=0),0,IF(CJ137/RIGHT($CJ$1,2)&lt;0.5,ROUND(BU137/RIGHT($CJ$1,2),0),MAX(BV137:CC137)))))))))</f>
        <v>120</v>
      </c>
      <c r="CO137" s="14" t="n">
        <f aca="false">CN137*3</f>
        <v>360</v>
      </c>
      <c r="CP137" s="15" t="n">
        <v>450</v>
      </c>
      <c r="CQ137" s="16" t="n">
        <f aca="false">IF((CO137-CP137)&lt;0,0,(CO137-CP137))</f>
        <v>0</v>
      </c>
      <c r="CR137" s="7"/>
    </row>
    <row r="138" customFormat="false" ht="12.75" hidden="false" customHeight="true" outlineLevel="0" collapsed="false">
      <c r="A138" s="7" t="s">
        <v>95</v>
      </c>
      <c r="B138" s="7" t="s">
        <v>232</v>
      </c>
      <c r="C138" s="8" t="n">
        <v>30001007</v>
      </c>
      <c r="D138" s="9" t="n">
        <v>90</v>
      </c>
      <c r="E138" s="9" t="n">
        <v>312</v>
      </c>
      <c r="F138" s="9" t="n">
        <v>223</v>
      </c>
      <c r="G138" s="9" t="n">
        <v>318</v>
      </c>
      <c r="H138" s="9" t="n">
        <v>186</v>
      </c>
      <c r="I138" s="9" t="n">
        <v>360</v>
      </c>
      <c r="J138" s="9" t="n">
        <v>228</v>
      </c>
      <c r="K138" s="9" t="n">
        <v>306</v>
      </c>
      <c r="L138" s="9" t="n">
        <v>366</v>
      </c>
      <c r="M138" s="9" t="n">
        <v>282</v>
      </c>
      <c r="N138" s="9" t="n">
        <v>276</v>
      </c>
      <c r="O138" s="9" t="n">
        <v>348</v>
      </c>
      <c r="P138" s="9" t="n">
        <v>396</v>
      </c>
      <c r="Q138" s="9" t="n">
        <v>426</v>
      </c>
      <c r="R138" s="9" t="n">
        <v>234</v>
      </c>
      <c r="S138" s="9" t="n">
        <v>206</v>
      </c>
      <c r="T138" s="9" t="n">
        <v>318</v>
      </c>
      <c r="U138" s="9" t="n">
        <v>316</v>
      </c>
      <c r="V138" s="9" t="n">
        <v>360</v>
      </c>
      <c r="W138" s="9" t="n">
        <v>414</v>
      </c>
      <c r="X138" s="9" t="n">
        <v>246</v>
      </c>
      <c r="Y138" s="9" t="n">
        <v>258</v>
      </c>
      <c r="Z138" s="9" t="n">
        <v>276</v>
      </c>
      <c r="AA138" s="9" t="n">
        <v>390</v>
      </c>
      <c r="AB138" s="9" t="n">
        <v>414</v>
      </c>
      <c r="AC138" s="9" t="n">
        <v>294</v>
      </c>
      <c r="AD138" s="9" t="n">
        <v>324</v>
      </c>
      <c r="AE138" s="9" t="n">
        <v>234</v>
      </c>
      <c r="AF138" s="9" t="n">
        <v>186</v>
      </c>
      <c r="AG138" s="9" t="n">
        <v>276</v>
      </c>
      <c r="AH138" s="9" t="n">
        <v>330</v>
      </c>
      <c r="AI138" s="9" t="n">
        <v>276</v>
      </c>
      <c r="AJ138" s="9" t="n">
        <v>363</v>
      </c>
      <c r="AK138" s="9" t="n">
        <v>258</v>
      </c>
      <c r="AL138" s="9" t="n">
        <v>348</v>
      </c>
      <c r="AM138" s="9" t="n">
        <v>222</v>
      </c>
      <c r="AN138" s="9" t="n">
        <v>324</v>
      </c>
      <c r="AO138" s="9" t="n">
        <v>156</v>
      </c>
      <c r="AP138" s="9" t="n">
        <v>300</v>
      </c>
      <c r="AQ138" s="9" t="n">
        <v>300</v>
      </c>
      <c r="AR138" s="9" t="n">
        <v>258</v>
      </c>
      <c r="AS138" s="9" t="n">
        <v>360</v>
      </c>
      <c r="AT138" s="9" t="n">
        <v>210</v>
      </c>
      <c r="AU138" s="9" t="n">
        <v>162</v>
      </c>
      <c r="AV138" s="9" t="n">
        <v>276</v>
      </c>
      <c r="AW138" s="9" t="n">
        <v>234</v>
      </c>
      <c r="AX138" s="9" t="n">
        <v>390</v>
      </c>
      <c r="AY138" s="9" t="n">
        <v>258</v>
      </c>
      <c r="AZ138" s="9" t="n">
        <v>306</v>
      </c>
      <c r="BA138" s="9" t="n">
        <v>268</v>
      </c>
      <c r="BB138" s="9" t="n">
        <v>190</v>
      </c>
      <c r="BC138" s="9" t="n">
        <v>232</v>
      </c>
      <c r="BD138" s="9" t="n">
        <v>336</v>
      </c>
      <c r="BE138" s="9" t="n">
        <v>272</v>
      </c>
      <c r="BF138" s="9" t="n">
        <v>360</v>
      </c>
      <c r="BG138" s="9" t="n">
        <v>252</v>
      </c>
      <c r="BH138" s="9" t="n">
        <v>306</v>
      </c>
      <c r="BI138" s="9" t="n">
        <v>300</v>
      </c>
      <c r="BJ138" s="9" t="n">
        <v>288</v>
      </c>
      <c r="BK138" s="9" t="n">
        <v>234</v>
      </c>
      <c r="BL138" s="9" t="n">
        <v>240</v>
      </c>
      <c r="BM138" s="9" t="n">
        <v>108</v>
      </c>
      <c r="BN138" s="9" t="n">
        <v>252</v>
      </c>
      <c r="BO138" s="9" t="n">
        <v>306</v>
      </c>
      <c r="BP138" s="9" t="n">
        <v>204</v>
      </c>
      <c r="BQ138" s="9" t="n">
        <v>282</v>
      </c>
      <c r="BR138" s="9" t="n">
        <v>198</v>
      </c>
      <c r="BS138" s="9" t="n">
        <v>252</v>
      </c>
      <c r="BT138" s="9" t="n">
        <v>168</v>
      </c>
      <c r="BU138" s="10" t="n">
        <v>19242</v>
      </c>
      <c r="BV138" s="11" t="n">
        <f aca="false">IF(ISERROR(ROUND(MEDIAN(BQ138:BT138),0)),0,ROUND(MEDIAN(BQ138:BT138),0))</f>
        <v>225</v>
      </c>
      <c r="BW138" s="11" t="n">
        <f aca="false">IF(ISERROR(ROUND(MEDIAN(BM138:BT138),0)),0,ROUND(MEDIAN(BM138:BT138),0))</f>
        <v>228</v>
      </c>
      <c r="BX138" s="11" t="n">
        <f aca="false">IF(ISERROR(ROUND(MEDIAN(BI138:BT138),0)),0,ROUND(MEDIAN(BI138:BT138),0))</f>
        <v>246</v>
      </c>
      <c r="BY138" s="11" t="n">
        <f aca="false">IF(ISERROR(ROUND(MEDIAN(BE138:BT138),0)),0,ROUND(MEDIAN(BE138:BT138),0))</f>
        <v>252</v>
      </c>
      <c r="BZ138" s="11" t="n">
        <f aca="false">IF(ISERROR(ROUND(MEDIAN(AU138:BT138),0)),0,ROUND(MEDIAN(AU138:BT138),0))</f>
        <v>255</v>
      </c>
      <c r="CA138" s="12" t="n">
        <f aca="false">IF(ISERROR(ROUND(MEDIAN(U138:BT138),0)),0,ROUND(MEDIAN(U138:BT138),0))</f>
        <v>276</v>
      </c>
      <c r="CB138" s="12" t="n">
        <f aca="false">IF(ISERROR(ROUND(MEDIAN(BT138),0)),0,ROUND(MEDIAN(BT138),0))</f>
        <v>168</v>
      </c>
      <c r="CC138" s="12" t="n">
        <f aca="false">IF(ISERROR(ROUND(MEDIAN(D138:BT138),0)),0,ROUND(MEDIAN(D138:BT138),0))</f>
        <v>276</v>
      </c>
      <c r="CD138" s="12" t="n">
        <f aca="false">MAX(D138:BT138)</f>
        <v>426</v>
      </c>
      <c r="CE138" s="7" t="n">
        <f aca="false">COUNTA(BQ138:BT138)</f>
        <v>4</v>
      </c>
      <c r="CF138" s="7" t="n">
        <f aca="false">COUNTA(BM138:BT138)</f>
        <v>8</v>
      </c>
      <c r="CG138" s="7" t="n">
        <f aca="false">COUNTA(BI138:BT138)</f>
        <v>12</v>
      </c>
      <c r="CH138" s="7" t="n">
        <f aca="false">COUNTA(BE138:BT138)</f>
        <v>16</v>
      </c>
      <c r="CI138" s="7" t="n">
        <f aca="false">COUNTA(AU138:BT138)</f>
        <v>26</v>
      </c>
      <c r="CJ138" s="7" t="n">
        <f aca="false">COUNTA(U138:BT138)</f>
        <v>52</v>
      </c>
      <c r="CK138" s="7" t="n">
        <f aca="false">COUNTA(BT138)</f>
        <v>1</v>
      </c>
      <c r="CL138" s="7" t="n">
        <f aca="false">COUNTA(D138:BT138)</f>
        <v>69</v>
      </c>
      <c r="CM138" s="13" t="str">
        <f aca="false">IF(AND(CE138=1,CJ138=1,BT138&lt;&gt;""),"5.ENTRANTES",IF(AND(CE138&lt;&gt;0,CE138/RIGHT($CE$1,1)&gt;=0.5,CJ138=CE138),"4.RECENTES",IF(AND(CF138&lt;&gt;0,CF138/RIGHT($CF$1,1)&gt;=0.5,CJ138=CF138),"4.RECENTES",IF(AND(CG138&lt;&gt;0,CG138/RIGHT($CG$1,2)&gt;=0.5,CJ138=CG138),"4.RECENTES",IF(AND(CH138&lt;&gt;0,CH138/RIGHT($CH$1,2)&gt;=0.5,CJ138=CH138),"4.RECENTES",IF(AND(CI138&lt;&gt;0,CI138/RIGHT($CI$1,2)&gt;=0.5,CJ138=CI138),"4.RECENTES",IF(AND(CE138=0,CF138=0,CG138=0,CH138=0),"3.INATIVOS",IF(CJ138/RIGHT($CJ$1,2)&lt;0.5,"2.INTERMITENTES","1.ORDINÁRIOS"))))))))</f>
        <v>1.ORDINÁRIOS</v>
      </c>
      <c r="CN138" s="14" t="n">
        <f aca="false">IF(AND(CE138=1,CJ138=1,BT138&lt;&gt;""),BT138,IF(AND(CE138&lt;&gt;0,CE138/RIGHT($CE$1,1)&gt;=0.5,CJ138=CE138),MAX(BV138:CC138),IF(AND(CF138&lt;&gt;0,CF138/RIGHT($CF$1,1)&gt;=0.5,CJ138=CF138),MAX(BV138:CC138),IF(AND(CG138&lt;&gt;0,CG138/RIGHT($CG$1,2)&gt;=0.5,CJ138=CG138),MAX(BV138:CC138),IF(AND(CH138&lt;&gt;0,CH138/RIGHT($CH$1,2)&gt;=0.5,CJ138=CH138),MAX(BV138:CC138),IF(AND(CI138&lt;&gt;0,CI138/RIGHT($CI$1,2)&gt;=0.5,CJ138=CI138),MAX(BV138:CC138),IF(AND(CE138=0,CF138=0,CG138=0,CH138=0),0,IF(CJ138/RIGHT($CJ$1,2)&lt;0.5,ROUND(BU138/RIGHT($CJ$1,2),0),MAX(BV138:CC138)))))))))</f>
        <v>276</v>
      </c>
      <c r="CO138" s="14" t="n">
        <f aca="false">CN138*3</f>
        <v>828</v>
      </c>
      <c r="CP138" s="15" t="n">
        <v>582</v>
      </c>
      <c r="CQ138" s="16" t="n">
        <f aca="false">IF((CO138-CP138)&lt;0,0,(CO138-CP138))</f>
        <v>246</v>
      </c>
      <c r="CR138" s="7"/>
    </row>
    <row r="139" customFormat="false" ht="12.75" hidden="false" customHeight="true" outlineLevel="0" collapsed="false">
      <c r="A139" s="7" t="s">
        <v>95</v>
      </c>
      <c r="B139" s="7" t="s">
        <v>233</v>
      </c>
      <c r="C139" s="8" t="n">
        <v>2000043</v>
      </c>
      <c r="D139" s="9" t="n">
        <v>5</v>
      </c>
      <c r="E139" s="9" t="n">
        <v>11</v>
      </c>
      <c r="F139" s="9" t="n">
        <v>15</v>
      </c>
      <c r="G139" s="9" t="n">
        <v>12</v>
      </c>
      <c r="H139" s="9" t="n">
        <v>14</v>
      </c>
      <c r="I139" s="9" t="n">
        <v>6</v>
      </c>
      <c r="J139" s="9" t="n">
        <v>16</v>
      </c>
      <c r="K139" s="9" t="n">
        <v>22</v>
      </c>
      <c r="L139" s="9" t="n">
        <v>23</v>
      </c>
      <c r="M139" s="9" t="n">
        <v>10</v>
      </c>
      <c r="N139" s="9" t="n">
        <v>13</v>
      </c>
      <c r="O139" s="9" t="n">
        <v>11</v>
      </c>
      <c r="P139" s="9" t="n">
        <v>11</v>
      </c>
      <c r="Q139" s="9" t="n">
        <v>6</v>
      </c>
      <c r="R139" s="9" t="n">
        <v>7</v>
      </c>
      <c r="S139" s="9" t="n">
        <v>8</v>
      </c>
      <c r="T139" s="9" t="n">
        <v>21</v>
      </c>
      <c r="U139" s="9" t="n">
        <v>9</v>
      </c>
      <c r="V139" s="9" t="n">
        <v>32</v>
      </c>
      <c r="W139" s="9" t="n">
        <v>23</v>
      </c>
      <c r="X139" s="9" t="n">
        <v>15</v>
      </c>
      <c r="Y139" s="9" t="n">
        <v>25</v>
      </c>
      <c r="Z139" s="9" t="n">
        <v>10</v>
      </c>
      <c r="AA139" s="9" t="n">
        <v>18</v>
      </c>
      <c r="AB139" s="9" t="n">
        <v>20</v>
      </c>
      <c r="AC139" s="9" t="n">
        <v>29</v>
      </c>
      <c r="AD139" s="9" t="n">
        <v>34</v>
      </c>
      <c r="AE139" s="9" t="n">
        <v>32</v>
      </c>
      <c r="AF139" s="9" t="n">
        <v>22</v>
      </c>
      <c r="AG139" s="9" t="n">
        <v>30</v>
      </c>
      <c r="AH139" s="9" t="n">
        <v>27</v>
      </c>
      <c r="AI139" s="9" t="n">
        <v>23</v>
      </c>
      <c r="AJ139" s="9" t="n">
        <v>25</v>
      </c>
      <c r="AK139" s="9" t="n">
        <v>12</v>
      </c>
      <c r="AL139" s="9" t="n">
        <v>24</v>
      </c>
      <c r="AM139" s="9" t="n">
        <v>23</v>
      </c>
      <c r="AN139" s="9" t="n">
        <v>12</v>
      </c>
      <c r="AO139" s="9" t="n">
        <v>6</v>
      </c>
      <c r="AP139" s="9" t="n">
        <v>15</v>
      </c>
      <c r="AQ139" s="9" t="n">
        <v>21</v>
      </c>
      <c r="AR139" s="9" t="n">
        <v>10</v>
      </c>
      <c r="AS139" s="9" t="n">
        <v>18</v>
      </c>
      <c r="AT139" s="9" t="n">
        <v>28</v>
      </c>
      <c r="AU139" s="9" t="n">
        <v>21</v>
      </c>
      <c r="AV139" s="9" t="n">
        <v>14</v>
      </c>
      <c r="AW139" s="9" t="n">
        <v>7</v>
      </c>
      <c r="AX139" s="9" t="n">
        <v>11</v>
      </c>
      <c r="AY139" s="9" t="n">
        <v>15</v>
      </c>
      <c r="AZ139" s="9" t="n">
        <v>8</v>
      </c>
      <c r="BA139" s="9" t="n">
        <v>17</v>
      </c>
      <c r="BB139" s="9" t="n">
        <v>19</v>
      </c>
      <c r="BC139" s="9" t="n">
        <v>12</v>
      </c>
      <c r="BD139" s="9" t="n">
        <v>12</v>
      </c>
      <c r="BE139" s="9" t="n">
        <v>17</v>
      </c>
      <c r="BF139" s="9" t="n">
        <v>22</v>
      </c>
      <c r="BG139" s="9" t="n">
        <v>14</v>
      </c>
      <c r="BH139" s="9" t="n">
        <v>17</v>
      </c>
      <c r="BI139" s="9" t="n">
        <v>21</v>
      </c>
      <c r="BJ139" s="9" t="n">
        <v>15</v>
      </c>
      <c r="BK139" s="9" t="n">
        <v>8</v>
      </c>
      <c r="BL139" s="9" t="n">
        <v>23</v>
      </c>
      <c r="BM139" s="9" t="n">
        <v>11</v>
      </c>
      <c r="BN139" s="9" t="n">
        <v>34</v>
      </c>
      <c r="BO139" s="9" t="n">
        <v>13</v>
      </c>
      <c r="BP139" s="9" t="n">
        <v>8</v>
      </c>
      <c r="BQ139" s="9" t="n">
        <v>3</v>
      </c>
      <c r="BR139" s="9" t="n">
        <v>9</v>
      </c>
      <c r="BS139" s="9" t="n">
        <v>10</v>
      </c>
      <c r="BT139" s="9" t="n">
        <v>8</v>
      </c>
      <c r="BU139" s="10" t="n">
        <v>1123</v>
      </c>
      <c r="BV139" s="11" t="n">
        <f aca="false">IF(ISERROR(ROUND(MEDIAN(BQ139:BT139),0)),0,ROUND(MEDIAN(BQ139:BT139),0))</f>
        <v>9</v>
      </c>
      <c r="BW139" s="11" t="n">
        <f aca="false">IF(ISERROR(ROUND(MEDIAN(BM139:BT139),0)),0,ROUND(MEDIAN(BM139:BT139),0))</f>
        <v>10</v>
      </c>
      <c r="BX139" s="11" t="n">
        <f aca="false">IF(ISERROR(ROUND(MEDIAN(BI139:BT139),0)),0,ROUND(MEDIAN(BI139:BT139),0))</f>
        <v>11</v>
      </c>
      <c r="BY139" s="11" t="n">
        <f aca="false">IF(ISERROR(ROUND(MEDIAN(BE139:BT139),0)),0,ROUND(MEDIAN(BE139:BT139),0))</f>
        <v>14</v>
      </c>
      <c r="BZ139" s="11" t="n">
        <f aca="false">IF(ISERROR(ROUND(MEDIAN(AU139:BT139),0)),0,ROUND(MEDIAN(AU139:BT139),0))</f>
        <v>14</v>
      </c>
      <c r="CA139" s="12" t="n">
        <f aca="false">IF(ISERROR(ROUND(MEDIAN(U139:BT139),0)),0,ROUND(MEDIAN(U139:BT139),0))</f>
        <v>17</v>
      </c>
      <c r="CB139" s="12" t="n">
        <f aca="false">IF(ISERROR(ROUND(MEDIAN(BT139),0)),0,ROUND(MEDIAN(BT139),0))</f>
        <v>8</v>
      </c>
      <c r="CC139" s="12" t="n">
        <f aca="false">IF(ISERROR(ROUND(MEDIAN(D139:BT139),0)),0,ROUND(MEDIAN(D139:BT139),0))</f>
        <v>15</v>
      </c>
      <c r="CD139" s="12" t="n">
        <f aca="false">MAX(D139:BT139)</f>
        <v>34</v>
      </c>
      <c r="CE139" s="7" t="n">
        <f aca="false">COUNTA(BQ139:BT139)</f>
        <v>4</v>
      </c>
      <c r="CF139" s="7" t="n">
        <f aca="false">COUNTA(BM139:BT139)</f>
        <v>8</v>
      </c>
      <c r="CG139" s="7" t="n">
        <f aca="false">COUNTA(BI139:BT139)</f>
        <v>12</v>
      </c>
      <c r="CH139" s="7" t="n">
        <f aca="false">COUNTA(BE139:BT139)</f>
        <v>16</v>
      </c>
      <c r="CI139" s="7" t="n">
        <f aca="false">COUNTA(AU139:BT139)</f>
        <v>26</v>
      </c>
      <c r="CJ139" s="7" t="n">
        <f aca="false">COUNTA(U139:BT139)</f>
        <v>52</v>
      </c>
      <c r="CK139" s="7" t="n">
        <f aca="false">COUNTA(BT139)</f>
        <v>1</v>
      </c>
      <c r="CL139" s="7" t="n">
        <f aca="false">COUNTA(D139:BT139)</f>
        <v>69</v>
      </c>
      <c r="CM139" s="13" t="str">
        <f aca="false">IF(AND(CE139=1,CJ139=1,BT139&lt;&gt;""),"5.ENTRANTES",IF(AND(CE139&lt;&gt;0,CE139/RIGHT($CE$1,1)&gt;=0.5,CJ139=CE139),"4.RECENTES",IF(AND(CF139&lt;&gt;0,CF139/RIGHT($CF$1,1)&gt;=0.5,CJ139=CF139),"4.RECENTES",IF(AND(CG139&lt;&gt;0,CG139/RIGHT($CG$1,2)&gt;=0.5,CJ139=CG139),"4.RECENTES",IF(AND(CH139&lt;&gt;0,CH139/RIGHT($CH$1,2)&gt;=0.5,CJ139=CH139),"4.RECENTES",IF(AND(CI139&lt;&gt;0,CI139/RIGHT($CI$1,2)&gt;=0.5,CJ139=CI139),"4.RECENTES",IF(AND(CE139=0,CF139=0,CG139=0,CH139=0),"3.INATIVOS",IF(CJ139/RIGHT($CJ$1,2)&lt;0.5,"2.INTERMITENTES","1.ORDINÁRIOS"))))))))</f>
        <v>1.ORDINÁRIOS</v>
      </c>
      <c r="CN139" s="14" t="n">
        <f aca="false">IF(AND(CE139=1,CJ139=1,BT139&lt;&gt;""),BT139,IF(AND(CE139&lt;&gt;0,CE139/RIGHT($CE$1,1)&gt;=0.5,CJ139=CE139),MAX(BV139:CC139),IF(AND(CF139&lt;&gt;0,CF139/RIGHT($CF$1,1)&gt;=0.5,CJ139=CF139),MAX(BV139:CC139),IF(AND(CG139&lt;&gt;0,CG139/RIGHT($CG$1,2)&gt;=0.5,CJ139=CG139),MAX(BV139:CC139),IF(AND(CH139&lt;&gt;0,CH139/RIGHT($CH$1,2)&gt;=0.5,CJ139=CH139),MAX(BV139:CC139),IF(AND(CI139&lt;&gt;0,CI139/RIGHT($CI$1,2)&gt;=0.5,CJ139=CI139),MAX(BV139:CC139),IF(AND(CE139=0,CF139=0,CG139=0,CH139=0),0,IF(CJ139/RIGHT($CJ$1,2)&lt;0.5,ROUND(BU139/RIGHT($CJ$1,2),0),MAX(BV139:CC139)))))))))</f>
        <v>17</v>
      </c>
      <c r="CO139" s="14" t="n">
        <f aca="false">CN139*3</f>
        <v>51</v>
      </c>
      <c r="CP139" s="15" t="n">
        <v>54</v>
      </c>
      <c r="CQ139" s="16" t="n">
        <f aca="false">IF((CO139-CP139)&lt;0,0,(CO139-CP139))</f>
        <v>0</v>
      </c>
      <c r="CR139" s="7"/>
    </row>
    <row r="140" customFormat="false" ht="12.75" hidden="false" customHeight="true" outlineLevel="0" collapsed="false">
      <c r="A140" s="7" t="s">
        <v>95</v>
      </c>
      <c r="B140" s="7" t="s">
        <v>234</v>
      </c>
      <c r="C140" s="8" t="n">
        <v>2000031</v>
      </c>
      <c r="D140" s="9" t="n">
        <v>130</v>
      </c>
      <c r="E140" s="9" t="n">
        <v>130</v>
      </c>
      <c r="F140" s="9" t="n">
        <v>250</v>
      </c>
      <c r="G140" s="9" t="n">
        <v>300</v>
      </c>
      <c r="H140" s="9" t="n">
        <v>160</v>
      </c>
      <c r="I140" s="9" t="n">
        <v>410</v>
      </c>
      <c r="J140" s="9" t="n">
        <v>240</v>
      </c>
      <c r="K140" s="9" t="n">
        <v>190</v>
      </c>
      <c r="L140" s="9" t="n">
        <v>410</v>
      </c>
      <c r="M140" s="9" t="n">
        <v>290</v>
      </c>
      <c r="N140" s="9" t="n">
        <v>300</v>
      </c>
      <c r="O140" s="9" t="n">
        <v>330</v>
      </c>
      <c r="P140" s="9" t="n">
        <v>660</v>
      </c>
      <c r="Q140" s="9" t="n">
        <v>290</v>
      </c>
      <c r="R140" s="9" t="n">
        <v>500</v>
      </c>
      <c r="S140" s="9" t="n">
        <v>480</v>
      </c>
      <c r="T140" s="9" t="n">
        <v>420</v>
      </c>
      <c r="U140" s="9" t="n">
        <v>570</v>
      </c>
      <c r="V140" s="9" t="n">
        <v>620</v>
      </c>
      <c r="W140" s="9" t="n">
        <v>700</v>
      </c>
      <c r="X140" s="9" t="n">
        <v>730</v>
      </c>
      <c r="Y140" s="9" t="n">
        <v>540</v>
      </c>
      <c r="Z140" s="9" t="n">
        <v>350</v>
      </c>
      <c r="AA140" s="9" t="n">
        <v>590</v>
      </c>
      <c r="AB140" s="9" t="n">
        <v>580</v>
      </c>
      <c r="AC140" s="9" t="n">
        <v>310</v>
      </c>
      <c r="AD140" s="9" t="n">
        <v>340</v>
      </c>
      <c r="AE140" s="9" t="n">
        <v>470</v>
      </c>
      <c r="AF140" s="9" t="n">
        <v>180</v>
      </c>
      <c r="AG140" s="9" t="n">
        <v>310</v>
      </c>
      <c r="AH140" s="9" t="n">
        <v>380</v>
      </c>
      <c r="AI140" s="9" t="n">
        <v>330</v>
      </c>
      <c r="AJ140" s="9" t="n">
        <v>250</v>
      </c>
      <c r="AK140" s="9" t="n">
        <v>240</v>
      </c>
      <c r="AL140" s="9" t="n">
        <v>280</v>
      </c>
      <c r="AM140" s="9" t="n">
        <v>250</v>
      </c>
      <c r="AN140" s="9" t="n">
        <v>390</v>
      </c>
      <c r="AO140" s="9" t="n">
        <v>170</v>
      </c>
      <c r="AP140" s="9" t="n">
        <v>260</v>
      </c>
      <c r="AQ140" s="9" t="n">
        <v>150</v>
      </c>
      <c r="AR140" s="9" t="n">
        <v>160</v>
      </c>
      <c r="AS140" s="9" t="n">
        <v>290</v>
      </c>
      <c r="AT140" s="9" t="n">
        <v>260</v>
      </c>
      <c r="AU140" s="9" t="n">
        <v>260</v>
      </c>
      <c r="AV140" s="9" t="n">
        <v>230</v>
      </c>
      <c r="AW140" s="9" t="n">
        <v>160</v>
      </c>
      <c r="AX140" s="9" t="n">
        <v>330</v>
      </c>
      <c r="AY140" s="9" t="n">
        <v>150</v>
      </c>
      <c r="AZ140" s="9" t="n">
        <v>370</v>
      </c>
      <c r="BA140" s="9" t="n">
        <v>510</v>
      </c>
      <c r="BB140" s="9" t="n">
        <v>270</v>
      </c>
      <c r="BC140" s="9" t="n">
        <v>631</v>
      </c>
      <c r="BD140" s="9" t="n">
        <v>290</v>
      </c>
      <c r="BE140" s="9" t="n">
        <v>290</v>
      </c>
      <c r="BF140" s="9" t="n">
        <v>330</v>
      </c>
      <c r="BG140" s="9" t="n">
        <v>220</v>
      </c>
      <c r="BH140" s="9" t="n">
        <v>270</v>
      </c>
      <c r="BI140" s="9" t="n">
        <v>200</v>
      </c>
      <c r="BJ140" s="9" t="n">
        <v>270</v>
      </c>
      <c r="BK140" s="9" t="n">
        <v>150</v>
      </c>
      <c r="BL140" s="9" t="n">
        <v>120</v>
      </c>
      <c r="BM140" s="9" t="n">
        <v>180</v>
      </c>
      <c r="BN140" s="9" t="n">
        <v>210</v>
      </c>
      <c r="BO140" s="9" t="n">
        <v>150</v>
      </c>
      <c r="BP140" s="9" t="n">
        <v>250</v>
      </c>
      <c r="BQ140" s="9" t="n">
        <v>250</v>
      </c>
      <c r="BR140" s="9" t="n">
        <v>190</v>
      </c>
      <c r="BS140" s="9" t="n">
        <v>150</v>
      </c>
      <c r="BT140" s="9" t="n">
        <v>220</v>
      </c>
      <c r="BU140" s="10" t="n">
        <v>21841</v>
      </c>
      <c r="BV140" s="11" t="n">
        <f aca="false">IF(ISERROR(ROUND(MEDIAN(BQ140:BT140),0)),0,ROUND(MEDIAN(BQ140:BT140),0))</f>
        <v>205</v>
      </c>
      <c r="BW140" s="11" t="n">
        <f aca="false">IF(ISERROR(ROUND(MEDIAN(BM140:BT140),0)),0,ROUND(MEDIAN(BM140:BT140),0))</f>
        <v>200</v>
      </c>
      <c r="BX140" s="11" t="n">
        <f aca="false">IF(ISERROR(ROUND(MEDIAN(BI140:BT140),0)),0,ROUND(MEDIAN(BI140:BT140),0))</f>
        <v>195</v>
      </c>
      <c r="BY140" s="11" t="n">
        <f aca="false">IF(ISERROR(ROUND(MEDIAN(BE140:BT140),0)),0,ROUND(MEDIAN(BE140:BT140),0))</f>
        <v>215</v>
      </c>
      <c r="BZ140" s="11" t="n">
        <f aca="false">IF(ISERROR(ROUND(MEDIAN(AU140:BT140),0)),0,ROUND(MEDIAN(AU140:BT140),0))</f>
        <v>240</v>
      </c>
      <c r="CA140" s="12" t="n">
        <f aca="false">IF(ISERROR(ROUND(MEDIAN(U140:BT140),0)),0,ROUND(MEDIAN(U140:BT140),0))</f>
        <v>270</v>
      </c>
      <c r="CB140" s="12" t="n">
        <f aca="false">IF(ISERROR(ROUND(MEDIAN(BT140),0)),0,ROUND(MEDIAN(BT140),0))</f>
        <v>220</v>
      </c>
      <c r="CC140" s="12" t="n">
        <f aca="false">IF(ISERROR(ROUND(MEDIAN(D140:BT140),0)),0,ROUND(MEDIAN(D140:BT140),0))</f>
        <v>280</v>
      </c>
      <c r="CD140" s="12" t="n">
        <f aca="false">MAX(D140:BT140)</f>
        <v>730</v>
      </c>
      <c r="CE140" s="7" t="n">
        <f aca="false">COUNTA(BQ140:BT140)</f>
        <v>4</v>
      </c>
      <c r="CF140" s="7" t="n">
        <f aca="false">COUNTA(BM140:BT140)</f>
        <v>8</v>
      </c>
      <c r="CG140" s="7" t="n">
        <f aca="false">COUNTA(BI140:BT140)</f>
        <v>12</v>
      </c>
      <c r="CH140" s="7" t="n">
        <f aca="false">COUNTA(BE140:BT140)</f>
        <v>16</v>
      </c>
      <c r="CI140" s="7" t="n">
        <f aca="false">COUNTA(AU140:BT140)</f>
        <v>26</v>
      </c>
      <c r="CJ140" s="7" t="n">
        <f aca="false">COUNTA(U140:BT140)</f>
        <v>52</v>
      </c>
      <c r="CK140" s="7" t="n">
        <f aca="false">COUNTA(BT140)</f>
        <v>1</v>
      </c>
      <c r="CL140" s="7" t="n">
        <f aca="false">COUNTA(D140:BT140)</f>
        <v>69</v>
      </c>
      <c r="CM140" s="13" t="str">
        <f aca="false">IF(AND(CE140=1,CJ140=1,BT140&lt;&gt;""),"5.ENTRANTES",IF(AND(CE140&lt;&gt;0,CE140/RIGHT($CE$1,1)&gt;=0.5,CJ140=CE140),"4.RECENTES",IF(AND(CF140&lt;&gt;0,CF140/RIGHT($CF$1,1)&gt;=0.5,CJ140=CF140),"4.RECENTES",IF(AND(CG140&lt;&gt;0,CG140/RIGHT($CG$1,2)&gt;=0.5,CJ140=CG140),"4.RECENTES",IF(AND(CH140&lt;&gt;0,CH140/RIGHT($CH$1,2)&gt;=0.5,CJ140=CH140),"4.RECENTES",IF(AND(CI140&lt;&gt;0,CI140/RIGHT($CI$1,2)&gt;=0.5,CJ140=CI140),"4.RECENTES",IF(AND(CE140=0,CF140=0,CG140=0,CH140=0),"3.INATIVOS",IF(CJ140/RIGHT($CJ$1,2)&lt;0.5,"2.INTERMITENTES","1.ORDINÁRIOS"))))))))</f>
        <v>1.ORDINÁRIOS</v>
      </c>
      <c r="CN140" s="14" t="n">
        <f aca="false">IF(AND(CE140=1,CJ140=1,BT140&lt;&gt;""),BT140,IF(AND(CE140&lt;&gt;0,CE140/RIGHT($CE$1,1)&gt;=0.5,CJ140=CE140),MAX(BV140:CC140),IF(AND(CF140&lt;&gt;0,CF140/RIGHT($CF$1,1)&gt;=0.5,CJ140=CF140),MAX(BV140:CC140),IF(AND(CG140&lt;&gt;0,CG140/RIGHT($CG$1,2)&gt;=0.5,CJ140=CG140),MAX(BV140:CC140),IF(AND(CH140&lt;&gt;0,CH140/RIGHT($CH$1,2)&gt;=0.5,CJ140=CH140),MAX(BV140:CC140),IF(AND(CI140&lt;&gt;0,CI140/RIGHT($CI$1,2)&gt;=0.5,CJ140=CI140),MAX(BV140:CC140),IF(AND(CE140=0,CF140=0,CG140=0,CH140=0),0,IF(CJ140/RIGHT($CJ$1,2)&lt;0.5,ROUND(BU140/RIGHT($CJ$1,2),0),MAX(BV140:CC140)))))))))</f>
        <v>280</v>
      </c>
      <c r="CO140" s="14" t="n">
        <f aca="false">CN140*3</f>
        <v>840</v>
      </c>
      <c r="CP140" s="15" t="n">
        <v>850</v>
      </c>
      <c r="CQ140" s="16" t="n">
        <f aca="false">IF((CO140-CP140)&lt;0,0,(CO140-CP140))</f>
        <v>0</v>
      </c>
      <c r="CR140" s="7"/>
    </row>
    <row r="141" customFormat="false" ht="12.75" hidden="false" customHeight="true" outlineLevel="0" collapsed="false">
      <c r="A141" s="7" t="s">
        <v>95</v>
      </c>
      <c r="B141" s="7" t="s">
        <v>235</v>
      </c>
      <c r="C141" s="8" t="n">
        <v>21001063</v>
      </c>
      <c r="D141" s="9"/>
      <c r="E141" s="9" t="n">
        <v>100</v>
      </c>
      <c r="F141" s="9" t="n">
        <v>150</v>
      </c>
      <c r="G141" s="9" t="n">
        <v>80</v>
      </c>
      <c r="H141" s="9" t="n">
        <v>30</v>
      </c>
      <c r="I141" s="9" t="n">
        <v>20</v>
      </c>
      <c r="J141" s="9" t="n">
        <v>50</v>
      </c>
      <c r="K141" s="9" t="n">
        <v>269</v>
      </c>
      <c r="L141" s="9" t="n">
        <v>60</v>
      </c>
      <c r="M141" s="9" t="n">
        <v>40</v>
      </c>
      <c r="N141" s="9" t="n">
        <v>20</v>
      </c>
      <c r="O141" s="9" t="n">
        <v>40</v>
      </c>
      <c r="P141" s="9" t="n">
        <v>70</v>
      </c>
      <c r="Q141" s="9" t="n">
        <v>110</v>
      </c>
      <c r="R141" s="9" t="n">
        <v>40</v>
      </c>
      <c r="S141" s="9" t="n">
        <v>40</v>
      </c>
      <c r="T141" s="9" t="n">
        <v>150</v>
      </c>
      <c r="U141" s="9" t="n">
        <v>60</v>
      </c>
      <c r="V141" s="9" t="n">
        <v>150</v>
      </c>
      <c r="W141" s="9" t="n">
        <v>50</v>
      </c>
      <c r="X141" s="9" t="n">
        <v>120</v>
      </c>
      <c r="Y141" s="9" t="n">
        <v>160</v>
      </c>
      <c r="Z141" s="9" t="n">
        <v>190</v>
      </c>
      <c r="AA141" s="9" t="n">
        <v>110</v>
      </c>
      <c r="AB141" s="9" t="n">
        <v>230</v>
      </c>
      <c r="AC141" s="9" t="n">
        <v>80</v>
      </c>
      <c r="AD141" s="9" t="n">
        <v>180</v>
      </c>
      <c r="AE141" s="9" t="n">
        <v>160</v>
      </c>
      <c r="AF141" s="9" t="n">
        <v>50</v>
      </c>
      <c r="AG141" s="9" t="n">
        <v>200</v>
      </c>
      <c r="AH141" s="9" t="n">
        <v>230</v>
      </c>
      <c r="AI141" s="9" t="n">
        <v>170</v>
      </c>
      <c r="AJ141" s="9" t="n">
        <v>50</v>
      </c>
      <c r="AK141" s="9" t="n">
        <v>20</v>
      </c>
      <c r="AL141" s="9" t="n">
        <v>170</v>
      </c>
      <c r="AM141" s="9" t="n">
        <v>220</v>
      </c>
      <c r="AN141" s="9" t="n">
        <v>40</v>
      </c>
      <c r="AO141" s="9" t="n">
        <v>80</v>
      </c>
      <c r="AP141" s="9" t="n">
        <v>360</v>
      </c>
      <c r="AQ141" s="9" t="n">
        <v>120</v>
      </c>
      <c r="AR141" s="9" t="n">
        <v>170</v>
      </c>
      <c r="AS141" s="9" t="n">
        <v>60</v>
      </c>
      <c r="AT141" s="9" t="n">
        <v>90</v>
      </c>
      <c r="AU141" s="9" t="n">
        <v>80</v>
      </c>
      <c r="AV141" s="9" t="n">
        <v>100</v>
      </c>
      <c r="AW141" s="9" t="n">
        <v>80</v>
      </c>
      <c r="AX141" s="9" t="n">
        <v>140</v>
      </c>
      <c r="AY141" s="9" t="n">
        <v>200</v>
      </c>
      <c r="AZ141" s="9" t="n">
        <v>130</v>
      </c>
      <c r="BA141" s="9" t="n">
        <v>280</v>
      </c>
      <c r="BB141" s="9" t="n">
        <v>40</v>
      </c>
      <c r="BC141" s="9" t="n">
        <v>140</v>
      </c>
      <c r="BD141" s="9" t="n">
        <v>100</v>
      </c>
      <c r="BE141" s="9" t="n">
        <v>160</v>
      </c>
      <c r="BF141" s="9" t="n">
        <v>190</v>
      </c>
      <c r="BG141" s="9" t="n">
        <v>50</v>
      </c>
      <c r="BH141" s="9" t="n">
        <v>130</v>
      </c>
      <c r="BI141" s="9" t="n">
        <v>70</v>
      </c>
      <c r="BJ141" s="9" t="n">
        <v>20</v>
      </c>
      <c r="BK141" s="9" t="n">
        <v>90</v>
      </c>
      <c r="BL141" s="9" t="n">
        <v>50</v>
      </c>
      <c r="BM141" s="9" t="n">
        <v>120</v>
      </c>
      <c r="BN141" s="9" t="n">
        <v>70</v>
      </c>
      <c r="BO141" s="9" t="n">
        <v>50</v>
      </c>
      <c r="BP141" s="9" t="n">
        <v>80</v>
      </c>
      <c r="BQ141" s="9" t="n">
        <v>10</v>
      </c>
      <c r="BR141" s="9" t="n">
        <v>70</v>
      </c>
      <c r="BS141" s="9" t="n">
        <v>80</v>
      </c>
      <c r="BT141" s="9" t="n">
        <v>30</v>
      </c>
      <c r="BU141" s="10" t="n">
        <v>7349</v>
      </c>
      <c r="BV141" s="11" t="n">
        <f aca="false">IF(ISERROR(ROUND(MEDIAN(BQ141:BT141),0)),0,ROUND(MEDIAN(BQ141:BT141),0))</f>
        <v>50</v>
      </c>
      <c r="BW141" s="11" t="n">
        <f aca="false">IF(ISERROR(ROUND(MEDIAN(BM141:BT141),0)),0,ROUND(MEDIAN(BM141:BT141),0))</f>
        <v>70</v>
      </c>
      <c r="BX141" s="11" t="n">
        <f aca="false">IF(ISERROR(ROUND(MEDIAN(BI141:BT141),0)),0,ROUND(MEDIAN(BI141:BT141),0))</f>
        <v>70</v>
      </c>
      <c r="BY141" s="11" t="n">
        <f aca="false">IF(ISERROR(ROUND(MEDIAN(BE141:BT141),0)),0,ROUND(MEDIAN(BE141:BT141),0))</f>
        <v>70</v>
      </c>
      <c r="BZ141" s="11" t="n">
        <f aca="false">IF(ISERROR(ROUND(MEDIAN(AU141:BT141),0)),0,ROUND(MEDIAN(AU141:BT141),0))</f>
        <v>80</v>
      </c>
      <c r="CA141" s="12" t="n">
        <f aca="false">IF(ISERROR(ROUND(MEDIAN(U141:BT141),0)),0,ROUND(MEDIAN(U141:BT141),0))</f>
        <v>100</v>
      </c>
      <c r="CB141" s="12" t="n">
        <f aca="false">IF(ISERROR(ROUND(MEDIAN(BT141),0)),0,ROUND(MEDIAN(BT141),0))</f>
        <v>30</v>
      </c>
      <c r="CC141" s="12" t="n">
        <f aca="false">IF(ISERROR(ROUND(MEDIAN(D141:BT141),0)),0,ROUND(MEDIAN(D141:BT141),0))</f>
        <v>85</v>
      </c>
      <c r="CD141" s="12" t="n">
        <f aca="false">MAX(D141:BT141)</f>
        <v>360</v>
      </c>
      <c r="CE141" s="7" t="n">
        <f aca="false">COUNTA(BQ141:BT141)</f>
        <v>4</v>
      </c>
      <c r="CF141" s="7" t="n">
        <f aca="false">COUNTA(BM141:BT141)</f>
        <v>8</v>
      </c>
      <c r="CG141" s="7" t="n">
        <f aca="false">COUNTA(BI141:BT141)</f>
        <v>12</v>
      </c>
      <c r="CH141" s="7" t="n">
        <f aca="false">COUNTA(BE141:BT141)</f>
        <v>16</v>
      </c>
      <c r="CI141" s="7" t="n">
        <f aca="false">COUNTA(AU141:BT141)</f>
        <v>26</v>
      </c>
      <c r="CJ141" s="7" t="n">
        <f aca="false">COUNTA(U141:BT141)</f>
        <v>52</v>
      </c>
      <c r="CK141" s="7" t="n">
        <f aca="false">COUNTA(BT141)</f>
        <v>1</v>
      </c>
      <c r="CL141" s="7" t="n">
        <f aca="false">COUNTA(D141:BT141)</f>
        <v>68</v>
      </c>
      <c r="CM141" s="13" t="str">
        <f aca="false">IF(AND(CE141=1,CJ141=1,BT141&lt;&gt;""),"5.ENTRANTES",IF(AND(CE141&lt;&gt;0,CE141/RIGHT($CE$1,1)&gt;=0.5,CJ141=CE141),"4.RECENTES",IF(AND(CF141&lt;&gt;0,CF141/RIGHT($CF$1,1)&gt;=0.5,CJ141=CF141),"4.RECENTES",IF(AND(CG141&lt;&gt;0,CG141/RIGHT($CG$1,2)&gt;=0.5,CJ141=CG141),"4.RECENTES",IF(AND(CH141&lt;&gt;0,CH141/RIGHT($CH$1,2)&gt;=0.5,CJ141=CH141),"4.RECENTES",IF(AND(CI141&lt;&gt;0,CI141/RIGHT($CI$1,2)&gt;=0.5,CJ141=CI141),"4.RECENTES",IF(AND(CE141=0,CF141=0,CG141=0,CH141=0),"3.INATIVOS",IF(CJ141/RIGHT($CJ$1,2)&lt;0.5,"2.INTERMITENTES","1.ORDINÁRIOS"))))))))</f>
        <v>1.ORDINÁRIOS</v>
      </c>
      <c r="CN141" s="14" t="n">
        <f aca="false">IF(AND(CE141=1,CJ141=1,BT141&lt;&gt;""),BT141,IF(AND(CE141&lt;&gt;0,CE141/RIGHT($CE$1,1)&gt;=0.5,CJ141=CE141),MAX(BV141:CC141),IF(AND(CF141&lt;&gt;0,CF141/RIGHT($CF$1,1)&gt;=0.5,CJ141=CF141),MAX(BV141:CC141),IF(AND(CG141&lt;&gt;0,CG141/RIGHT($CG$1,2)&gt;=0.5,CJ141=CG141),MAX(BV141:CC141),IF(AND(CH141&lt;&gt;0,CH141/RIGHT($CH$1,2)&gt;=0.5,CJ141=CH141),MAX(BV141:CC141),IF(AND(CI141&lt;&gt;0,CI141/RIGHT($CI$1,2)&gt;=0.5,CJ141=CI141),MAX(BV141:CC141),IF(AND(CE141=0,CF141=0,CG141=0,CH141=0),0,IF(CJ141/RIGHT($CJ$1,2)&lt;0.5,ROUND(BU141/RIGHT($CJ$1,2),0),MAX(BV141:CC141)))))))))</f>
        <v>100</v>
      </c>
      <c r="CO141" s="14" t="n">
        <f aca="false">CN141*3</f>
        <v>300</v>
      </c>
      <c r="CP141" s="15" t="n">
        <v>430</v>
      </c>
      <c r="CQ141" s="16" t="n">
        <f aca="false">IF((CO141-CP141)&lt;0,0,(CO141-CP141))</f>
        <v>0</v>
      </c>
      <c r="CR141" s="7"/>
    </row>
    <row r="142" customFormat="false" ht="12.75" hidden="false" customHeight="true" outlineLevel="0" collapsed="false">
      <c r="A142" s="7" t="s">
        <v>95</v>
      </c>
      <c r="B142" s="7" t="s">
        <v>236</v>
      </c>
      <c r="C142" s="8" t="n">
        <v>303006004</v>
      </c>
      <c r="D142" s="9"/>
      <c r="E142" s="9"/>
      <c r="F142" s="9" t="n">
        <v>30</v>
      </c>
      <c r="G142" s="9" t="n">
        <v>120</v>
      </c>
      <c r="H142" s="9"/>
      <c r="I142" s="9" t="n">
        <v>60</v>
      </c>
      <c r="J142" s="9" t="n">
        <v>90</v>
      </c>
      <c r="K142" s="9"/>
      <c r="L142" s="9"/>
      <c r="M142" s="9" t="n">
        <v>60</v>
      </c>
      <c r="N142" s="9" t="n">
        <v>60</v>
      </c>
      <c r="O142" s="9" t="n">
        <v>30</v>
      </c>
      <c r="P142" s="9"/>
      <c r="Q142" s="9" t="n">
        <v>60</v>
      </c>
      <c r="R142" s="9" t="n">
        <v>60</v>
      </c>
      <c r="S142" s="9" t="n">
        <v>30</v>
      </c>
      <c r="T142" s="9"/>
      <c r="U142" s="9" t="n">
        <v>60</v>
      </c>
      <c r="V142" s="9" t="n">
        <v>60</v>
      </c>
      <c r="W142" s="9" t="n">
        <v>90</v>
      </c>
      <c r="X142" s="9"/>
      <c r="Y142" s="9"/>
      <c r="Z142" s="9"/>
      <c r="AA142" s="9" t="n">
        <v>90</v>
      </c>
      <c r="AB142" s="9" t="n">
        <v>60</v>
      </c>
      <c r="AC142" s="9"/>
      <c r="AD142" s="9" t="n">
        <v>60</v>
      </c>
      <c r="AE142" s="9" t="n">
        <v>60</v>
      </c>
      <c r="AF142" s="9" t="n">
        <v>120</v>
      </c>
      <c r="AG142" s="9"/>
      <c r="AH142" s="9" t="n">
        <v>30</v>
      </c>
      <c r="AI142" s="9"/>
      <c r="AJ142" s="9" t="n">
        <v>90</v>
      </c>
      <c r="AK142" s="9" t="n">
        <v>60</v>
      </c>
      <c r="AL142" s="9" t="n">
        <v>30</v>
      </c>
      <c r="AM142" s="9"/>
      <c r="AN142" s="9" t="n">
        <v>60</v>
      </c>
      <c r="AO142" s="9"/>
      <c r="AP142" s="9" t="n">
        <v>60</v>
      </c>
      <c r="AQ142" s="9"/>
      <c r="AR142" s="9"/>
      <c r="AS142" s="9" t="n">
        <v>30</v>
      </c>
      <c r="AT142" s="9" t="n">
        <v>150</v>
      </c>
      <c r="AU142" s="9"/>
      <c r="AV142" s="9"/>
      <c r="AW142" s="9" t="n">
        <v>30</v>
      </c>
      <c r="AX142" s="9" t="n">
        <v>90</v>
      </c>
      <c r="AY142" s="9" t="n">
        <v>60</v>
      </c>
      <c r="AZ142" s="9" t="n">
        <v>60</v>
      </c>
      <c r="BA142" s="9"/>
      <c r="BB142" s="9" t="n">
        <v>90</v>
      </c>
      <c r="BC142" s="9"/>
      <c r="BD142" s="9"/>
      <c r="BE142" s="9" t="n">
        <v>60</v>
      </c>
      <c r="BF142" s="9" t="n">
        <v>30</v>
      </c>
      <c r="BG142" s="9" t="n">
        <v>30</v>
      </c>
      <c r="BH142" s="9" t="n">
        <v>60</v>
      </c>
      <c r="BI142" s="9"/>
      <c r="BJ142" s="9" t="n">
        <v>120</v>
      </c>
      <c r="BK142" s="9"/>
      <c r="BL142" s="9" t="n">
        <v>60</v>
      </c>
      <c r="BM142" s="9"/>
      <c r="BN142" s="9"/>
      <c r="BO142" s="9" t="n">
        <v>30</v>
      </c>
      <c r="BP142" s="9"/>
      <c r="BQ142" s="9" t="n">
        <v>60</v>
      </c>
      <c r="BR142" s="9"/>
      <c r="BS142" s="9" t="n">
        <v>30</v>
      </c>
      <c r="BT142" s="9" t="n">
        <v>60</v>
      </c>
      <c r="BU142" s="10" t="n">
        <v>2580</v>
      </c>
      <c r="BV142" s="11" t="n">
        <f aca="false">IF(ISERROR(ROUND(MEDIAN(BQ142:BT142),0)),0,ROUND(MEDIAN(BQ142:BT142),0))</f>
        <v>60</v>
      </c>
      <c r="BW142" s="11" t="n">
        <f aca="false">IF(ISERROR(ROUND(MEDIAN(BM142:BT142),0)),0,ROUND(MEDIAN(BM142:BT142),0))</f>
        <v>45</v>
      </c>
      <c r="BX142" s="11" t="n">
        <f aca="false">IF(ISERROR(ROUND(MEDIAN(BI142:BT142),0)),0,ROUND(MEDIAN(BI142:BT142),0))</f>
        <v>60</v>
      </c>
      <c r="BY142" s="11" t="n">
        <f aca="false">IF(ISERROR(ROUND(MEDIAN(BE142:BT142),0)),0,ROUND(MEDIAN(BE142:BT142),0))</f>
        <v>60</v>
      </c>
      <c r="BZ142" s="11" t="n">
        <f aca="false">IF(ISERROR(ROUND(MEDIAN(AU142:BT142),0)),0,ROUND(MEDIAN(AU142:BT142),0))</f>
        <v>60</v>
      </c>
      <c r="CA142" s="12" t="n">
        <f aca="false">IF(ISERROR(ROUND(MEDIAN(U142:BT142),0)),0,ROUND(MEDIAN(U142:BT142),0))</f>
        <v>60</v>
      </c>
      <c r="CB142" s="12" t="n">
        <f aca="false">IF(ISERROR(ROUND(MEDIAN(BT142),0)),0,ROUND(MEDIAN(BT142),0))</f>
        <v>60</v>
      </c>
      <c r="CC142" s="12" t="n">
        <f aca="false">IF(ISERROR(ROUND(MEDIAN(D142:BT142),0)),0,ROUND(MEDIAN(D142:BT142),0))</f>
        <v>60</v>
      </c>
      <c r="CD142" s="12" t="n">
        <f aca="false">MAX(D142:BT142)</f>
        <v>150</v>
      </c>
      <c r="CE142" s="7" t="n">
        <f aca="false">COUNTA(BQ142:BT142)</f>
        <v>3</v>
      </c>
      <c r="CF142" s="7" t="n">
        <f aca="false">COUNTA(BM142:BT142)</f>
        <v>4</v>
      </c>
      <c r="CG142" s="7" t="n">
        <f aca="false">COUNTA(BI142:BT142)</f>
        <v>6</v>
      </c>
      <c r="CH142" s="7" t="n">
        <f aca="false">COUNTA(BE142:BT142)</f>
        <v>10</v>
      </c>
      <c r="CI142" s="7" t="n">
        <f aca="false">COUNTA(AU142:BT142)</f>
        <v>15</v>
      </c>
      <c r="CJ142" s="7" t="n">
        <f aca="false">COUNTA(U142:BT142)</f>
        <v>31</v>
      </c>
      <c r="CK142" s="7" t="n">
        <f aca="false">COUNTA(BT142)</f>
        <v>1</v>
      </c>
      <c r="CL142" s="7" t="n">
        <f aca="false">COUNTA(D142:BT142)</f>
        <v>41</v>
      </c>
      <c r="CM142" s="13" t="str">
        <f aca="false">IF(AND(CE142=1,CJ142=1,BT142&lt;&gt;""),"5.ENTRANTES",IF(AND(CE142&lt;&gt;0,CE142/RIGHT($CE$1,1)&gt;=0.5,CJ142=CE142),"4.RECENTES",IF(AND(CF142&lt;&gt;0,CF142/RIGHT($CF$1,1)&gt;=0.5,CJ142=CF142),"4.RECENTES",IF(AND(CG142&lt;&gt;0,CG142/RIGHT($CG$1,2)&gt;=0.5,CJ142=CG142),"4.RECENTES",IF(AND(CH142&lt;&gt;0,CH142/RIGHT($CH$1,2)&gt;=0.5,CJ142=CH142),"4.RECENTES",IF(AND(CI142&lt;&gt;0,CI142/RIGHT($CI$1,2)&gt;=0.5,CJ142=CI142),"4.RECENTES",IF(AND(CE142=0,CF142=0,CG142=0,CH142=0),"3.INATIVOS",IF(CJ142/RIGHT($CJ$1,2)&lt;0.5,"2.INTERMITENTES","1.ORDINÁRIOS"))))))))</f>
        <v>1.ORDINÁRIOS</v>
      </c>
      <c r="CN142" s="14" t="n">
        <f aca="false">IF(AND(CE142=1,CJ142=1,BT142&lt;&gt;""),BT142,IF(AND(CE142&lt;&gt;0,CE142/RIGHT($CE$1,1)&gt;=0.5,CJ142=CE142),MAX(BV142:CC142),IF(AND(CF142&lt;&gt;0,CF142/RIGHT($CF$1,1)&gt;=0.5,CJ142=CF142),MAX(BV142:CC142),IF(AND(CG142&lt;&gt;0,CG142/RIGHT($CG$1,2)&gt;=0.5,CJ142=CG142),MAX(BV142:CC142),IF(AND(CH142&lt;&gt;0,CH142/RIGHT($CH$1,2)&gt;=0.5,CJ142=CH142),MAX(BV142:CC142),IF(AND(CI142&lt;&gt;0,CI142/RIGHT($CI$1,2)&gt;=0.5,CJ142=CI142),MAX(BV142:CC142),IF(AND(CE142=0,CF142=0,CG142=0,CH142=0),0,IF(CJ142/RIGHT($CJ$1,2)&lt;0.5,ROUND(BU142/RIGHT($CJ$1,2),0),MAX(BV142:CC142)))))))))</f>
        <v>60</v>
      </c>
      <c r="CO142" s="14" t="n">
        <f aca="false">CN142*3</f>
        <v>180</v>
      </c>
      <c r="CP142" s="15" t="n">
        <v>180</v>
      </c>
      <c r="CQ142" s="16" t="n">
        <f aca="false">IF((CO142-CP142)&lt;0,0,(CO142-CP142))</f>
        <v>0</v>
      </c>
      <c r="CR142" s="7"/>
    </row>
    <row r="143" customFormat="false" ht="12.75" hidden="false" customHeight="true" outlineLevel="0" collapsed="false">
      <c r="A143" s="7" t="s">
        <v>95</v>
      </c>
      <c r="B143" s="7" t="s">
        <v>237</v>
      </c>
      <c r="C143" s="8" t="n">
        <v>11001001</v>
      </c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 t="n">
        <v>20</v>
      </c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9"/>
      <c r="BO143" s="9"/>
      <c r="BP143" s="9"/>
      <c r="BQ143" s="9"/>
      <c r="BR143" s="9"/>
      <c r="BS143" s="9"/>
      <c r="BT143" s="9"/>
      <c r="BU143" s="10" t="n">
        <v>20</v>
      </c>
      <c r="BV143" s="11" t="n">
        <f aca="false">IF(ISERROR(ROUND(MEDIAN(BQ143:BT143),0)),0,ROUND(MEDIAN(BQ143:BT143),0))</f>
        <v>0</v>
      </c>
      <c r="BW143" s="11" t="n">
        <f aca="false">IF(ISERROR(ROUND(MEDIAN(BM143:BT143),0)),0,ROUND(MEDIAN(BM143:BT143),0))</f>
        <v>0</v>
      </c>
      <c r="BX143" s="11" t="n">
        <f aca="false">IF(ISERROR(ROUND(MEDIAN(BI143:BT143),0)),0,ROUND(MEDIAN(BI143:BT143),0))</f>
        <v>0</v>
      </c>
      <c r="BY143" s="11" t="n">
        <f aca="false">IF(ISERROR(ROUND(MEDIAN(BE143:BT143),0)),0,ROUND(MEDIAN(BE143:BT143),0))</f>
        <v>0</v>
      </c>
      <c r="BZ143" s="11" t="n">
        <f aca="false">IF(ISERROR(ROUND(MEDIAN(AU143:BT143),0)),0,ROUND(MEDIAN(AU143:BT143),0))</f>
        <v>0</v>
      </c>
      <c r="CA143" s="12" t="n">
        <f aca="false">IF(ISERROR(ROUND(MEDIAN(U143:BT143),0)),0,ROUND(MEDIAN(U143:BT143),0))</f>
        <v>20</v>
      </c>
      <c r="CB143" s="12" t="n">
        <f aca="false">IF(ISERROR(ROUND(MEDIAN(BT143),0)),0,ROUND(MEDIAN(BT143),0))</f>
        <v>0</v>
      </c>
      <c r="CC143" s="12" t="n">
        <f aca="false">IF(ISERROR(ROUND(MEDIAN(D143:BT143),0)),0,ROUND(MEDIAN(D143:BT143),0))</f>
        <v>20</v>
      </c>
      <c r="CD143" s="12" t="n">
        <f aca="false">MAX(D143:BT143)</f>
        <v>20</v>
      </c>
      <c r="CE143" s="7" t="n">
        <f aca="false">COUNTA(BQ143:BT143)</f>
        <v>0</v>
      </c>
      <c r="CF143" s="7" t="n">
        <f aca="false">COUNTA(BM143:BT143)</f>
        <v>0</v>
      </c>
      <c r="CG143" s="7" t="n">
        <f aca="false">COUNTA(BI143:BT143)</f>
        <v>0</v>
      </c>
      <c r="CH143" s="7" t="n">
        <f aca="false">COUNTA(BE143:BT143)</f>
        <v>0</v>
      </c>
      <c r="CI143" s="7" t="n">
        <f aca="false">COUNTA(AU143:BT143)</f>
        <v>0</v>
      </c>
      <c r="CJ143" s="7" t="n">
        <f aca="false">COUNTA(U143:BT143)</f>
        <v>1</v>
      </c>
      <c r="CK143" s="7" t="n">
        <f aca="false">COUNTA(BT143)</f>
        <v>0</v>
      </c>
      <c r="CL143" s="7" t="n">
        <f aca="false">COUNTA(D143:BT143)</f>
        <v>1</v>
      </c>
      <c r="CM143" s="19" t="str">
        <f aca="false">IF(AND(CE143=1,CJ143=1,BT143&lt;&gt;""),"5.ENTRANTES",IF(AND(CE143&lt;&gt;0,CE143/RIGHT($CE$1,1)&gt;=0.5,CJ143=CE143),"4.RECENTES",IF(AND(CF143&lt;&gt;0,CF143/RIGHT($CF$1,1)&gt;=0.5,CJ143=CF143),"4.RECENTES",IF(AND(CG143&lt;&gt;0,CG143/RIGHT($CG$1,2)&gt;=0.5,CJ143=CG143),"4.RECENTES",IF(AND(CH143&lt;&gt;0,CH143/RIGHT($CH$1,2)&gt;=0.5,CJ143=CH143),"4.RECENTES",IF(AND(CI143&lt;&gt;0,CI143/RIGHT($CI$1,2)&gt;=0.5,CJ143=CI143),"4.RECENTES",IF(AND(CE143=0,CF143=0,CG143=0,CH143=0),"3.INATIVOS",IF(CJ143/RIGHT($CJ$1,2)&lt;0.5,"2.INTERMITENTES","1.ORDINÁRIOS"))))))))</f>
        <v>3.INATIVOS</v>
      </c>
      <c r="CN143" s="20" t="n">
        <f aca="false">IF(AND(CE143=1,CJ143=1,BT143&lt;&gt;""),BT143,IF(AND(CE143&lt;&gt;0,CE143/RIGHT($CE$1,1)&gt;=0.5,CJ143=CE143),MAX(BV143:CC143),IF(AND(CF143&lt;&gt;0,CF143/RIGHT($CF$1,1)&gt;=0.5,CJ143=CF143),MAX(BV143:CC143),IF(AND(CG143&lt;&gt;0,CG143/RIGHT($CG$1,2)&gt;=0.5,CJ143=CG143),MAX(BV143:CC143),IF(AND(CH143&lt;&gt;0,CH143/RIGHT($CH$1,2)&gt;=0.5,CJ143=CH143),MAX(BV143:CC143),IF(AND(CI143&lt;&gt;0,CI143/RIGHT($CI$1,2)&gt;=0.5,CJ143=CI143),MAX(BV143:CC143),IF(AND(CE143=0,CF143=0,CG143=0,CH143=0),0,IF(CJ143/RIGHT($CJ$1,2)&lt;0.5,ROUND(BU143/RIGHT($CJ$1,2),0),MAX(BV143:CC143)))))))))</f>
        <v>0</v>
      </c>
      <c r="CO143" s="20" t="n">
        <f aca="false">CN143*3</f>
        <v>0</v>
      </c>
      <c r="CP143" s="15" t="n">
        <v>100</v>
      </c>
      <c r="CQ143" s="16" t="n">
        <f aca="false">IF((CO143-CP143)&lt;0,0,(CO143-CP143))</f>
        <v>0</v>
      </c>
      <c r="CR143" s="7"/>
    </row>
    <row r="144" customFormat="false" ht="12.75" hidden="false" customHeight="true" outlineLevel="0" collapsed="false">
      <c r="A144" s="7" t="s">
        <v>95</v>
      </c>
      <c r="B144" s="7" t="s">
        <v>238</v>
      </c>
      <c r="C144" s="8" t="n">
        <v>325014001</v>
      </c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 t="n">
        <v>1</v>
      </c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  <c r="BK144" s="9"/>
      <c r="BL144" s="9"/>
      <c r="BM144" s="9"/>
      <c r="BN144" s="9"/>
      <c r="BO144" s="9"/>
      <c r="BP144" s="9"/>
      <c r="BQ144" s="9"/>
      <c r="BR144" s="9"/>
      <c r="BS144" s="9"/>
      <c r="BT144" s="9"/>
      <c r="BU144" s="10" t="n">
        <v>1</v>
      </c>
      <c r="BV144" s="11" t="n">
        <f aca="false">IF(ISERROR(ROUND(MEDIAN(BQ144:BT144),0)),0,ROUND(MEDIAN(BQ144:BT144),0))</f>
        <v>0</v>
      </c>
      <c r="BW144" s="11" t="n">
        <f aca="false">IF(ISERROR(ROUND(MEDIAN(BM144:BT144),0)),0,ROUND(MEDIAN(BM144:BT144),0))</f>
        <v>0</v>
      </c>
      <c r="BX144" s="11" t="n">
        <f aca="false">IF(ISERROR(ROUND(MEDIAN(BI144:BT144),0)),0,ROUND(MEDIAN(BI144:BT144),0))</f>
        <v>0</v>
      </c>
      <c r="BY144" s="11" t="n">
        <f aca="false">IF(ISERROR(ROUND(MEDIAN(BE144:BT144),0)),0,ROUND(MEDIAN(BE144:BT144),0))</f>
        <v>0</v>
      </c>
      <c r="BZ144" s="11" t="n">
        <f aca="false">IF(ISERROR(ROUND(MEDIAN(AU144:BT144),0)),0,ROUND(MEDIAN(AU144:BT144),0))</f>
        <v>0</v>
      </c>
      <c r="CA144" s="12" t="n">
        <f aca="false">IF(ISERROR(ROUND(MEDIAN(U144:BT144),0)),0,ROUND(MEDIAN(U144:BT144),0))</f>
        <v>1</v>
      </c>
      <c r="CB144" s="12" t="n">
        <f aca="false">IF(ISERROR(ROUND(MEDIAN(BT144),0)),0,ROUND(MEDIAN(BT144),0))</f>
        <v>0</v>
      </c>
      <c r="CC144" s="12" t="n">
        <f aca="false">IF(ISERROR(ROUND(MEDIAN(D144:BT144),0)),0,ROUND(MEDIAN(D144:BT144),0))</f>
        <v>1</v>
      </c>
      <c r="CD144" s="12" t="n">
        <f aca="false">MAX(D144:BT144)</f>
        <v>1</v>
      </c>
      <c r="CE144" s="7" t="n">
        <f aca="false">COUNTA(BQ144:BT144)</f>
        <v>0</v>
      </c>
      <c r="CF144" s="7" t="n">
        <f aca="false">COUNTA(BM144:BT144)</f>
        <v>0</v>
      </c>
      <c r="CG144" s="7" t="n">
        <f aca="false">COUNTA(BI144:BT144)</f>
        <v>0</v>
      </c>
      <c r="CH144" s="7" t="n">
        <f aca="false">COUNTA(BE144:BT144)</f>
        <v>0</v>
      </c>
      <c r="CI144" s="7" t="n">
        <f aca="false">COUNTA(AU144:BT144)</f>
        <v>0</v>
      </c>
      <c r="CJ144" s="7" t="n">
        <f aca="false">COUNTA(U144:BT144)</f>
        <v>1</v>
      </c>
      <c r="CK144" s="7" t="n">
        <f aca="false">COUNTA(BT144)</f>
        <v>0</v>
      </c>
      <c r="CL144" s="7" t="n">
        <f aca="false">COUNTA(D144:BT144)</f>
        <v>1</v>
      </c>
      <c r="CM144" s="19" t="str">
        <f aca="false">IF(AND(CE144=1,CJ144=1,BT144&lt;&gt;""),"5.ENTRANTES",IF(AND(CE144&lt;&gt;0,CE144/RIGHT($CE$1,1)&gt;=0.5,CJ144=CE144),"4.RECENTES",IF(AND(CF144&lt;&gt;0,CF144/RIGHT($CF$1,1)&gt;=0.5,CJ144=CF144),"4.RECENTES",IF(AND(CG144&lt;&gt;0,CG144/RIGHT($CG$1,2)&gt;=0.5,CJ144=CG144),"4.RECENTES",IF(AND(CH144&lt;&gt;0,CH144/RIGHT($CH$1,2)&gt;=0.5,CJ144=CH144),"4.RECENTES",IF(AND(CI144&lt;&gt;0,CI144/RIGHT($CI$1,2)&gt;=0.5,CJ144=CI144),"4.RECENTES",IF(AND(CE144=0,CF144=0,CG144=0,CH144=0),"3.INATIVOS",IF(CJ144/RIGHT($CJ$1,2)&lt;0.5,"2.INTERMITENTES","1.ORDINÁRIOS"))))))))</f>
        <v>3.INATIVOS</v>
      </c>
      <c r="CN144" s="20" t="n">
        <f aca="false">IF(AND(CE144=1,CJ144=1,BT144&lt;&gt;""),BT144,IF(AND(CE144&lt;&gt;0,CE144/RIGHT($CE$1,1)&gt;=0.5,CJ144=CE144),MAX(BV144:CC144),IF(AND(CF144&lt;&gt;0,CF144/RIGHT($CF$1,1)&gt;=0.5,CJ144=CF144),MAX(BV144:CC144),IF(AND(CG144&lt;&gt;0,CG144/RIGHT($CG$1,2)&gt;=0.5,CJ144=CG144),MAX(BV144:CC144),IF(AND(CH144&lt;&gt;0,CH144/RIGHT($CH$1,2)&gt;=0.5,CJ144=CH144),MAX(BV144:CC144),IF(AND(CI144&lt;&gt;0,CI144/RIGHT($CI$1,2)&gt;=0.5,CJ144=CI144),MAX(BV144:CC144),IF(AND(CE144=0,CF144=0,CG144=0,CH144=0),0,IF(CJ144/RIGHT($CJ$1,2)&lt;0.5,ROUND(BU144/RIGHT($CJ$1,2),0),MAX(BV144:CC144)))))))))</f>
        <v>0</v>
      </c>
      <c r="CO144" s="20" t="n">
        <f aca="false">CN144*3</f>
        <v>0</v>
      </c>
      <c r="CP144" s="15" t="n">
        <v>9</v>
      </c>
      <c r="CQ144" s="16" t="n">
        <f aca="false">IF((CO144-CP144)&lt;0,0,(CO144-CP144))</f>
        <v>0</v>
      </c>
      <c r="CR144" s="7"/>
    </row>
    <row r="145" customFormat="false" ht="12.75" hidden="false" customHeight="true" outlineLevel="0" collapsed="false">
      <c r="A145" s="7" t="s">
        <v>95</v>
      </c>
      <c r="B145" s="7" t="s">
        <v>239</v>
      </c>
      <c r="C145" s="8" t="n">
        <v>325014001</v>
      </c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  <c r="BM145" s="9"/>
      <c r="BN145" s="9"/>
      <c r="BO145" s="9"/>
      <c r="BP145" s="9"/>
      <c r="BQ145" s="9"/>
      <c r="BR145" s="9" t="n">
        <v>1</v>
      </c>
      <c r="BS145" s="9"/>
      <c r="BT145" s="9"/>
      <c r="BU145" s="10" t="n">
        <v>1</v>
      </c>
      <c r="BV145" s="11" t="n">
        <f aca="false">IF(ISERROR(ROUND(MEDIAN(BQ145:BT145),0)),0,ROUND(MEDIAN(BQ145:BT145),0))</f>
        <v>1</v>
      </c>
      <c r="BW145" s="11" t="n">
        <f aca="false">IF(ISERROR(ROUND(MEDIAN(BM145:BT145),0)),0,ROUND(MEDIAN(BM145:BT145),0))</f>
        <v>1</v>
      </c>
      <c r="BX145" s="11" t="n">
        <f aca="false">IF(ISERROR(ROUND(MEDIAN(BI145:BT145),0)),0,ROUND(MEDIAN(BI145:BT145),0))</f>
        <v>1</v>
      </c>
      <c r="BY145" s="11" t="n">
        <f aca="false">IF(ISERROR(ROUND(MEDIAN(BE145:BT145),0)),0,ROUND(MEDIAN(BE145:BT145),0))</f>
        <v>1</v>
      </c>
      <c r="BZ145" s="11" t="n">
        <f aca="false">IF(ISERROR(ROUND(MEDIAN(AU145:BT145),0)),0,ROUND(MEDIAN(AU145:BT145),0))</f>
        <v>1</v>
      </c>
      <c r="CA145" s="12" t="n">
        <f aca="false">IF(ISERROR(ROUND(MEDIAN(U145:BT145),0)),0,ROUND(MEDIAN(U145:BT145),0))</f>
        <v>1</v>
      </c>
      <c r="CB145" s="12" t="n">
        <f aca="false">IF(ISERROR(ROUND(MEDIAN(BT145),0)),0,ROUND(MEDIAN(BT145),0))</f>
        <v>0</v>
      </c>
      <c r="CC145" s="12" t="n">
        <f aca="false">IF(ISERROR(ROUND(MEDIAN(D145:BT145),0)),0,ROUND(MEDIAN(D145:BT145),0))</f>
        <v>1</v>
      </c>
      <c r="CD145" s="12" t="n">
        <f aca="false">MAX(D145:BT145)</f>
        <v>1</v>
      </c>
      <c r="CE145" s="7" t="n">
        <f aca="false">COUNTA(BQ145:BT145)</f>
        <v>1</v>
      </c>
      <c r="CF145" s="7" t="n">
        <f aca="false">COUNTA(BM145:BT145)</f>
        <v>1</v>
      </c>
      <c r="CG145" s="7" t="n">
        <f aca="false">COUNTA(BI145:BT145)</f>
        <v>1</v>
      </c>
      <c r="CH145" s="7" t="n">
        <f aca="false">COUNTA(BE145:BT145)</f>
        <v>1</v>
      </c>
      <c r="CI145" s="7" t="n">
        <f aca="false">COUNTA(AU145:BT145)</f>
        <v>1</v>
      </c>
      <c r="CJ145" s="7" t="n">
        <f aca="false">COUNTA(U145:BT145)</f>
        <v>1</v>
      </c>
      <c r="CK145" s="7" t="n">
        <f aca="false">COUNTA(BT145)</f>
        <v>0</v>
      </c>
      <c r="CL145" s="7" t="n">
        <f aca="false">COUNTA(D145:BT145)</f>
        <v>1</v>
      </c>
      <c r="CM145" s="17" t="str">
        <f aca="false">IF(AND(CE145=1,CJ145=1,BT145&lt;&gt;""),"5.ENTRANTES",IF(AND(CE145&lt;&gt;0,CE145/RIGHT($CE$1,1)&gt;=0.5,CJ145=CE145),"4.RECENTES",IF(AND(CF145&lt;&gt;0,CF145/RIGHT($CF$1,1)&gt;=0.5,CJ145=CF145),"4.RECENTES",IF(AND(CG145&lt;&gt;0,CG145/RIGHT($CG$1,2)&gt;=0.5,CJ145=CG145),"4.RECENTES",IF(AND(CH145&lt;&gt;0,CH145/RIGHT($CH$1,2)&gt;=0.5,CJ145=CH145),"4.RECENTES",IF(AND(CI145&lt;&gt;0,CI145/RIGHT($CI$1,2)&gt;=0.5,CJ145=CI145),"4.RECENTES",IF(AND(CE145=0,CF145=0,CG145=0,CH145=0),"3.INATIVOS",IF(CJ145/RIGHT($CJ$1,2)&lt;0.5,"2.INTERMITENTES","1.ORDINÁRIOS"))))))))</f>
        <v>2.INTERMITENTES</v>
      </c>
      <c r="CN145" s="18" t="n">
        <f aca="false">IF(AND(CE145=1,CJ145=1,BT145&lt;&gt;""),BT145,IF(AND(CE145&lt;&gt;0,CE145/RIGHT($CE$1,1)&gt;=0.5,CJ145=CE145),MAX(BV145:CC145),IF(AND(CF145&lt;&gt;0,CF145/RIGHT($CF$1,1)&gt;=0.5,CJ145=CF145),MAX(BV145:CC145),IF(AND(CG145&lt;&gt;0,CG145/RIGHT($CG$1,2)&gt;=0.5,CJ145=CG145),MAX(BV145:CC145),IF(AND(CH145&lt;&gt;0,CH145/RIGHT($CH$1,2)&gt;=0.5,CJ145=CH145),MAX(BV145:CC145),IF(AND(CI145&lt;&gt;0,CI145/RIGHT($CI$1,2)&gt;=0.5,CJ145=CI145),MAX(BV145:CC145),IF(AND(CE145=0,CF145=0,CG145=0,CH145=0),0,IF(CJ145/RIGHT($CJ$1,2)&lt;0.5,ROUND(BU145/RIGHT($CJ$1,2),0),MAX(BV145:CC145)))))))))</f>
        <v>0</v>
      </c>
      <c r="CO145" s="18" t="n">
        <f aca="false">CD145</f>
        <v>1</v>
      </c>
      <c r="CP145" s="15" t="n">
        <v>9</v>
      </c>
      <c r="CQ145" s="16" t="n">
        <f aca="false">IF((CO145-CP145)&lt;0,0,(CO145-CP145))</f>
        <v>0</v>
      </c>
      <c r="CR145" s="7"/>
    </row>
    <row r="146" customFormat="false" ht="12.75" hidden="false" customHeight="true" outlineLevel="0" collapsed="false">
      <c r="A146" s="7" t="s">
        <v>95</v>
      </c>
      <c r="B146" s="7" t="s">
        <v>240</v>
      </c>
      <c r="C146" s="8" t="n">
        <v>2000132</v>
      </c>
      <c r="D146" s="9"/>
      <c r="E146" s="9" t="n">
        <v>2</v>
      </c>
      <c r="F146" s="9" t="n">
        <v>3</v>
      </c>
      <c r="G146" s="9"/>
      <c r="H146" s="9"/>
      <c r="I146" s="9" t="n">
        <v>5</v>
      </c>
      <c r="J146" s="9"/>
      <c r="K146" s="9"/>
      <c r="L146" s="9"/>
      <c r="M146" s="9" t="n">
        <v>2</v>
      </c>
      <c r="N146" s="9"/>
      <c r="O146" s="9" t="n">
        <v>1</v>
      </c>
      <c r="P146" s="9" t="n">
        <v>4</v>
      </c>
      <c r="Q146" s="9"/>
      <c r="R146" s="9" t="n">
        <v>1</v>
      </c>
      <c r="S146" s="9"/>
      <c r="T146" s="9"/>
      <c r="U146" s="9"/>
      <c r="V146" s="9"/>
      <c r="W146" s="9"/>
      <c r="X146" s="9" t="n">
        <v>1</v>
      </c>
      <c r="Y146" s="9"/>
      <c r="Z146" s="9" t="n">
        <v>3</v>
      </c>
      <c r="AA146" s="9"/>
      <c r="AB146" s="9"/>
      <c r="AC146" s="9" t="n">
        <v>2</v>
      </c>
      <c r="AD146" s="9" t="n">
        <v>2</v>
      </c>
      <c r="AE146" s="9" t="n">
        <v>4</v>
      </c>
      <c r="AF146" s="9" t="n">
        <v>3</v>
      </c>
      <c r="AG146" s="9" t="n">
        <v>1</v>
      </c>
      <c r="AH146" s="9" t="n">
        <v>2</v>
      </c>
      <c r="AI146" s="9"/>
      <c r="AJ146" s="9"/>
      <c r="AK146" s="9"/>
      <c r="AL146" s="9" t="n">
        <v>6</v>
      </c>
      <c r="AM146" s="9"/>
      <c r="AN146" s="9" t="n">
        <v>1</v>
      </c>
      <c r="AO146" s="9" t="n">
        <v>1</v>
      </c>
      <c r="AP146" s="9"/>
      <c r="AQ146" s="9" t="n">
        <v>2</v>
      </c>
      <c r="AR146" s="9" t="n">
        <v>6</v>
      </c>
      <c r="AS146" s="9"/>
      <c r="AT146" s="9"/>
      <c r="AU146" s="9" t="n">
        <v>6</v>
      </c>
      <c r="AV146" s="9"/>
      <c r="AW146" s="9"/>
      <c r="AX146" s="9" t="n">
        <v>6</v>
      </c>
      <c r="AY146" s="9"/>
      <c r="AZ146" s="9"/>
      <c r="BA146" s="9" t="n">
        <v>7</v>
      </c>
      <c r="BB146" s="9" t="n">
        <v>1</v>
      </c>
      <c r="BC146" s="9"/>
      <c r="BD146" s="9"/>
      <c r="BE146" s="9"/>
      <c r="BF146" s="9" t="n">
        <v>1</v>
      </c>
      <c r="BG146" s="9" t="n">
        <v>8</v>
      </c>
      <c r="BH146" s="9"/>
      <c r="BI146" s="9" t="n">
        <v>7</v>
      </c>
      <c r="BJ146" s="9" t="n">
        <v>9</v>
      </c>
      <c r="BK146" s="9"/>
      <c r="BL146" s="9" t="n">
        <v>2</v>
      </c>
      <c r="BM146" s="9" t="n">
        <v>6</v>
      </c>
      <c r="BN146" s="9"/>
      <c r="BO146" s="9" t="n">
        <v>3</v>
      </c>
      <c r="BP146" s="9"/>
      <c r="BQ146" s="9" t="n">
        <v>2</v>
      </c>
      <c r="BR146" s="9"/>
      <c r="BS146" s="9"/>
      <c r="BT146" s="9"/>
      <c r="BU146" s="10" t="n">
        <v>110</v>
      </c>
      <c r="BV146" s="11" t="n">
        <f aca="false">IF(ISERROR(ROUND(MEDIAN(BQ146:BT146),0)),0,ROUND(MEDIAN(BQ146:BT146),0))</f>
        <v>2</v>
      </c>
      <c r="BW146" s="11" t="n">
        <f aca="false">IF(ISERROR(ROUND(MEDIAN(BM146:BT146),0)),0,ROUND(MEDIAN(BM146:BT146),0))</f>
        <v>3</v>
      </c>
      <c r="BX146" s="11" t="n">
        <f aca="false">IF(ISERROR(ROUND(MEDIAN(BI146:BT146),0)),0,ROUND(MEDIAN(BI146:BT146),0))</f>
        <v>5</v>
      </c>
      <c r="BY146" s="11" t="n">
        <f aca="false">IF(ISERROR(ROUND(MEDIAN(BE146:BT146),0)),0,ROUND(MEDIAN(BE146:BT146),0))</f>
        <v>5</v>
      </c>
      <c r="BZ146" s="11" t="n">
        <f aca="false">IF(ISERROR(ROUND(MEDIAN(AU146:BT146),0)),0,ROUND(MEDIAN(AU146:BT146),0))</f>
        <v>6</v>
      </c>
      <c r="CA146" s="12" t="n">
        <f aca="false">IF(ISERROR(ROUND(MEDIAN(U146:BT146),0)),0,ROUND(MEDIAN(U146:BT146),0))</f>
        <v>3</v>
      </c>
      <c r="CB146" s="12" t="n">
        <f aca="false">IF(ISERROR(ROUND(MEDIAN(BT146),0)),0,ROUND(MEDIAN(BT146),0))</f>
        <v>0</v>
      </c>
      <c r="CC146" s="12" t="n">
        <f aca="false">IF(ISERROR(ROUND(MEDIAN(D146:BT146),0)),0,ROUND(MEDIAN(D146:BT146),0))</f>
        <v>3</v>
      </c>
      <c r="CD146" s="12" t="n">
        <f aca="false">MAX(D146:BT146)</f>
        <v>9</v>
      </c>
      <c r="CE146" s="7" t="n">
        <f aca="false">COUNTA(BQ146:BT146)</f>
        <v>1</v>
      </c>
      <c r="CF146" s="7" t="n">
        <f aca="false">COUNTA(BM146:BT146)</f>
        <v>3</v>
      </c>
      <c r="CG146" s="7" t="n">
        <f aca="false">COUNTA(BI146:BT146)</f>
        <v>6</v>
      </c>
      <c r="CH146" s="7" t="n">
        <f aca="false">COUNTA(BE146:BT146)</f>
        <v>8</v>
      </c>
      <c r="CI146" s="7" t="n">
        <f aca="false">COUNTA(AU146:BT146)</f>
        <v>12</v>
      </c>
      <c r="CJ146" s="7" t="n">
        <f aca="false">COUNTA(U146:BT146)</f>
        <v>25</v>
      </c>
      <c r="CK146" s="7" t="n">
        <f aca="false">COUNTA(BT146)</f>
        <v>0</v>
      </c>
      <c r="CL146" s="7" t="n">
        <f aca="false">COUNTA(D146:BT146)</f>
        <v>32</v>
      </c>
      <c r="CM146" s="17" t="str">
        <f aca="false">IF(AND(CE146=1,CJ146=1,BT146&lt;&gt;""),"5.ENTRANTES",IF(AND(CE146&lt;&gt;0,CE146/RIGHT($CE$1,1)&gt;=0.5,CJ146=CE146),"4.RECENTES",IF(AND(CF146&lt;&gt;0,CF146/RIGHT($CF$1,1)&gt;=0.5,CJ146=CF146),"4.RECENTES",IF(AND(CG146&lt;&gt;0,CG146/RIGHT($CG$1,2)&gt;=0.5,CJ146=CG146),"4.RECENTES",IF(AND(CH146&lt;&gt;0,CH146/RIGHT($CH$1,2)&gt;=0.5,CJ146=CH146),"4.RECENTES",IF(AND(CI146&lt;&gt;0,CI146/RIGHT($CI$1,2)&gt;=0.5,CJ146=CI146),"4.RECENTES",IF(AND(CE146=0,CF146=0,CG146=0,CH146=0),"3.INATIVOS",IF(CJ146/RIGHT($CJ$1,2)&lt;0.5,"2.INTERMITENTES","1.ORDINÁRIOS"))))))))</f>
        <v>2.INTERMITENTES</v>
      </c>
      <c r="CN146" s="18" t="n">
        <f aca="false">IF(AND(CE146=1,CJ146=1,BT146&lt;&gt;""),BT146,IF(AND(CE146&lt;&gt;0,CE146/RIGHT($CE$1,1)&gt;=0.5,CJ146=CE146),MAX(BV146:CC146),IF(AND(CF146&lt;&gt;0,CF146/RIGHT($CF$1,1)&gt;=0.5,CJ146=CF146),MAX(BV146:CC146),IF(AND(CG146&lt;&gt;0,CG146/RIGHT($CG$1,2)&gt;=0.5,CJ146=CG146),MAX(BV146:CC146),IF(AND(CH146&lt;&gt;0,CH146/RIGHT($CH$1,2)&gt;=0.5,CJ146=CH146),MAX(BV146:CC146),IF(AND(CI146&lt;&gt;0,CI146/RIGHT($CI$1,2)&gt;=0.5,CJ146=CI146),MAX(BV146:CC146),IF(AND(CE146=0,CF146=0,CG146=0,CH146=0),0,IF(CJ146/RIGHT($CJ$1,2)&lt;0.5,ROUND(BU146/RIGHT($CJ$1,2),0),MAX(BV146:CC146)))))))))</f>
        <v>2</v>
      </c>
      <c r="CO146" s="18" t="n">
        <f aca="false">CD146</f>
        <v>9</v>
      </c>
      <c r="CP146" s="15" t="n">
        <v>17</v>
      </c>
      <c r="CQ146" s="16" t="n">
        <f aca="false">IF((CO146-CP146)&lt;0,0,(CO146-CP146))</f>
        <v>0</v>
      </c>
      <c r="CR146" s="7"/>
    </row>
    <row r="147" customFormat="false" ht="12.75" hidden="false" customHeight="true" outlineLevel="0" collapsed="false">
      <c r="A147" s="7" t="s">
        <v>95</v>
      </c>
      <c r="B147" s="7" t="s">
        <v>241</v>
      </c>
      <c r="C147" s="8" t="n">
        <v>2000032</v>
      </c>
      <c r="D147" s="9"/>
      <c r="E147" s="9"/>
      <c r="F147" s="9"/>
      <c r="G147" s="9"/>
      <c r="H147" s="9"/>
      <c r="I147" s="9"/>
      <c r="J147" s="9"/>
      <c r="K147" s="9"/>
      <c r="L147" s="9" t="n">
        <v>2</v>
      </c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 t="n">
        <v>4</v>
      </c>
      <c r="AK147" s="9"/>
      <c r="AL147" s="9"/>
      <c r="AM147" s="9"/>
      <c r="AN147" s="9"/>
      <c r="AO147" s="9"/>
      <c r="AP147" s="9"/>
      <c r="AQ147" s="9"/>
      <c r="AR147" s="9"/>
      <c r="AS147" s="9" t="n">
        <v>2</v>
      </c>
      <c r="AT147" s="9" t="n">
        <v>1</v>
      </c>
      <c r="AU147" s="9" t="n">
        <v>2</v>
      </c>
      <c r="AV147" s="9"/>
      <c r="AW147" s="9" t="n">
        <v>1</v>
      </c>
      <c r="AX147" s="9"/>
      <c r="AY147" s="9"/>
      <c r="AZ147" s="9"/>
      <c r="BA147" s="9"/>
      <c r="BB147" s="9" t="n">
        <v>2</v>
      </c>
      <c r="BC147" s="9"/>
      <c r="BD147" s="9"/>
      <c r="BE147" s="9"/>
      <c r="BF147" s="9" t="n">
        <v>1</v>
      </c>
      <c r="BG147" s="9" t="n">
        <v>1</v>
      </c>
      <c r="BH147" s="9"/>
      <c r="BI147" s="9" t="n">
        <v>1</v>
      </c>
      <c r="BJ147" s="9"/>
      <c r="BK147" s="9" t="n">
        <v>3</v>
      </c>
      <c r="BL147" s="9" t="n">
        <v>1</v>
      </c>
      <c r="BM147" s="9"/>
      <c r="BN147" s="9"/>
      <c r="BO147" s="9" t="n">
        <v>2</v>
      </c>
      <c r="BP147" s="9"/>
      <c r="BQ147" s="9"/>
      <c r="BR147" s="9" t="n">
        <v>1</v>
      </c>
      <c r="BS147" s="9"/>
      <c r="BT147" s="9"/>
      <c r="BU147" s="10" t="n">
        <v>24</v>
      </c>
      <c r="BV147" s="11" t="n">
        <f aca="false">IF(ISERROR(ROUND(MEDIAN(BQ147:BT147),0)),0,ROUND(MEDIAN(BQ147:BT147),0))</f>
        <v>1</v>
      </c>
      <c r="BW147" s="11" t="n">
        <f aca="false">IF(ISERROR(ROUND(MEDIAN(BM147:BT147),0)),0,ROUND(MEDIAN(BM147:BT147),0))</f>
        <v>2</v>
      </c>
      <c r="BX147" s="11" t="n">
        <f aca="false">IF(ISERROR(ROUND(MEDIAN(BI147:BT147),0)),0,ROUND(MEDIAN(BI147:BT147),0))</f>
        <v>1</v>
      </c>
      <c r="BY147" s="11" t="n">
        <f aca="false">IF(ISERROR(ROUND(MEDIAN(BE147:BT147),0)),0,ROUND(MEDIAN(BE147:BT147),0))</f>
        <v>1</v>
      </c>
      <c r="BZ147" s="11" t="n">
        <f aca="false">IF(ISERROR(ROUND(MEDIAN(AU147:BT147),0)),0,ROUND(MEDIAN(AU147:BT147),0))</f>
        <v>1</v>
      </c>
      <c r="CA147" s="12" t="n">
        <f aca="false">IF(ISERROR(ROUND(MEDIAN(U147:BT147),0)),0,ROUND(MEDIAN(U147:BT147),0))</f>
        <v>1</v>
      </c>
      <c r="CB147" s="12" t="n">
        <f aca="false">IF(ISERROR(ROUND(MEDIAN(BT147),0)),0,ROUND(MEDIAN(BT147),0))</f>
        <v>0</v>
      </c>
      <c r="CC147" s="12" t="n">
        <f aca="false">IF(ISERROR(ROUND(MEDIAN(D147:BT147),0)),0,ROUND(MEDIAN(D147:BT147),0))</f>
        <v>2</v>
      </c>
      <c r="CD147" s="12" t="n">
        <f aca="false">MAX(D147:BT147)</f>
        <v>4</v>
      </c>
      <c r="CE147" s="7" t="n">
        <f aca="false">COUNTA(BQ147:BT147)</f>
        <v>1</v>
      </c>
      <c r="CF147" s="7" t="n">
        <f aca="false">COUNTA(BM147:BT147)</f>
        <v>2</v>
      </c>
      <c r="CG147" s="7" t="n">
        <f aca="false">COUNTA(BI147:BT147)</f>
        <v>5</v>
      </c>
      <c r="CH147" s="7" t="n">
        <f aca="false">COUNTA(BE147:BT147)</f>
        <v>7</v>
      </c>
      <c r="CI147" s="7" t="n">
        <f aca="false">COUNTA(AU147:BT147)</f>
        <v>10</v>
      </c>
      <c r="CJ147" s="7" t="n">
        <f aca="false">COUNTA(U147:BT147)</f>
        <v>13</v>
      </c>
      <c r="CK147" s="7" t="n">
        <f aca="false">COUNTA(BT147)</f>
        <v>0</v>
      </c>
      <c r="CL147" s="7" t="n">
        <f aca="false">COUNTA(D147:BT147)</f>
        <v>14</v>
      </c>
      <c r="CM147" s="17" t="str">
        <f aca="false">IF(AND(CE147=1,CJ147=1,BT147&lt;&gt;""),"5.ENTRANTES",IF(AND(CE147&lt;&gt;0,CE147/RIGHT($CE$1,1)&gt;=0.5,CJ147=CE147),"4.RECENTES",IF(AND(CF147&lt;&gt;0,CF147/RIGHT($CF$1,1)&gt;=0.5,CJ147=CF147),"4.RECENTES",IF(AND(CG147&lt;&gt;0,CG147/RIGHT($CG$1,2)&gt;=0.5,CJ147=CG147),"4.RECENTES",IF(AND(CH147&lt;&gt;0,CH147/RIGHT($CH$1,2)&gt;=0.5,CJ147=CH147),"4.RECENTES",IF(AND(CI147&lt;&gt;0,CI147/RIGHT($CI$1,2)&gt;=0.5,CJ147=CI147),"4.RECENTES",IF(AND(CE147=0,CF147=0,CG147=0,CH147=0),"3.INATIVOS",IF(CJ147/RIGHT($CJ$1,2)&lt;0.5,"2.INTERMITENTES","1.ORDINÁRIOS"))))))))</f>
        <v>2.INTERMITENTES</v>
      </c>
      <c r="CN147" s="18" t="n">
        <f aca="false">IF(AND(CE147=1,CJ147=1,BT147&lt;&gt;""),BT147,IF(AND(CE147&lt;&gt;0,CE147/RIGHT($CE$1,1)&gt;=0.5,CJ147=CE147),MAX(BV147:CC147),IF(AND(CF147&lt;&gt;0,CF147/RIGHT($CF$1,1)&gt;=0.5,CJ147=CF147),MAX(BV147:CC147),IF(AND(CG147&lt;&gt;0,CG147/RIGHT($CG$1,2)&gt;=0.5,CJ147=CG147),MAX(BV147:CC147),IF(AND(CH147&lt;&gt;0,CH147/RIGHT($CH$1,2)&gt;=0.5,CJ147=CH147),MAX(BV147:CC147),IF(AND(CI147&lt;&gt;0,CI147/RIGHT($CI$1,2)&gt;=0.5,CJ147=CI147),MAX(BV147:CC147),IF(AND(CE147=0,CF147=0,CG147=0,CH147=0),0,IF(CJ147/RIGHT($CJ$1,2)&lt;0.5,ROUND(BU147/RIGHT($CJ$1,2),0),MAX(BV147:CC147)))))))))</f>
        <v>0</v>
      </c>
      <c r="CO147" s="18" t="n">
        <f aca="false">CD147</f>
        <v>4</v>
      </c>
      <c r="CP147" s="15" t="n">
        <v>8</v>
      </c>
      <c r="CQ147" s="16" t="n">
        <f aca="false">IF((CO147-CP147)&lt;0,0,(CO147-CP147))</f>
        <v>0</v>
      </c>
      <c r="CR147" s="7"/>
    </row>
    <row r="148" customFormat="false" ht="12.75" hidden="false" customHeight="true" outlineLevel="0" collapsed="false">
      <c r="A148" s="7" t="s">
        <v>95</v>
      </c>
      <c r="B148" s="7" t="s">
        <v>242</v>
      </c>
      <c r="C148" s="8" t="n">
        <v>313001001</v>
      </c>
      <c r="D148" s="9" t="n">
        <v>2</v>
      </c>
      <c r="E148" s="9" t="n">
        <v>16</v>
      </c>
      <c r="F148" s="9" t="n">
        <v>27</v>
      </c>
      <c r="G148" s="9" t="n">
        <v>11</v>
      </c>
      <c r="H148" s="9" t="n">
        <v>15</v>
      </c>
      <c r="I148" s="9" t="n">
        <v>27</v>
      </c>
      <c r="J148" s="9" t="n">
        <v>20</v>
      </c>
      <c r="K148" s="9" t="n">
        <v>12</v>
      </c>
      <c r="L148" s="9" t="n">
        <v>21</v>
      </c>
      <c r="M148" s="9" t="n">
        <v>18</v>
      </c>
      <c r="N148" s="9" t="n">
        <v>10</v>
      </c>
      <c r="O148" s="9" t="n">
        <v>28</v>
      </c>
      <c r="P148" s="9" t="n">
        <v>16</v>
      </c>
      <c r="Q148" s="9" t="n">
        <v>16</v>
      </c>
      <c r="R148" s="9" t="n">
        <v>5</v>
      </c>
      <c r="S148" s="9" t="n">
        <v>9</v>
      </c>
      <c r="T148" s="9" t="n">
        <v>4</v>
      </c>
      <c r="U148" s="9" t="n">
        <v>14</v>
      </c>
      <c r="V148" s="9" t="n">
        <v>13</v>
      </c>
      <c r="W148" s="9" t="n">
        <v>21</v>
      </c>
      <c r="X148" s="9" t="n">
        <v>20</v>
      </c>
      <c r="Y148" s="9" t="n">
        <v>16</v>
      </c>
      <c r="Z148" s="9" t="n">
        <v>6</v>
      </c>
      <c r="AA148" s="9" t="n">
        <v>13</v>
      </c>
      <c r="AB148" s="9" t="n">
        <v>13</v>
      </c>
      <c r="AC148" s="9" t="n">
        <v>10</v>
      </c>
      <c r="AD148" s="9" t="n">
        <v>17</v>
      </c>
      <c r="AE148" s="9" t="n">
        <v>10</v>
      </c>
      <c r="AF148" s="9" t="n">
        <v>4</v>
      </c>
      <c r="AG148" s="9" t="n">
        <v>18</v>
      </c>
      <c r="AH148" s="9" t="n">
        <v>6</v>
      </c>
      <c r="AI148" s="9" t="n">
        <v>8</v>
      </c>
      <c r="AJ148" s="9" t="n">
        <v>6</v>
      </c>
      <c r="AK148" s="9" t="n">
        <v>6</v>
      </c>
      <c r="AL148" s="9" t="n">
        <v>6</v>
      </c>
      <c r="AM148" s="9" t="n">
        <v>16</v>
      </c>
      <c r="AN148" s="9" t="n">
        <v>10</v>
      </c>
      <c r="AO148" s="9" t="n">
        <v>4</v>
      </c>
      <c r="AP148" s="9" t="n">
        <v>17</v>
      </c>
      <c r="AQ148" s="9" t="n">
        <v>15</v>
      </c>
      <c r="AR148" s="9" t="n">
        <v>6</v>
      </c>
      <c r="AS148" s="9" t="n">
        <v>9</v>
      </c>
      <c r="AT148" s="9" t="n">
        <v>9</v>
      </c>
      <c r="AU148" s="9" t="n">
        <v>7</v>
      </c>
      <c r="AV148" s="9" t="n">
        <v>15</v>
      </c>
      <c r="AW148" s="9" t="n">
        <v>5</v>
      </c>
      <c r="AX148" s="9" t="n">
        <v>4</v>
      </c>
      <c r="AY148" s="9" t="n">
        <v>7</v>
      </c>
      <c r="AZ148" s="9" t="n">
        <v>5</v>
      </c>
      <c r="BA148" s="9" t="n">
        <v>8</v>
      </c>
      <c r="BB148" s="9" t="n">
        <v>1</v>
      </c>
      <c r="BC148" s="9" t="n">
        <v>3</v>
      </c>
      <c r="BD148" s="9" t="n">
        <v>3</v>
      </c>
      <c r="BE148" s="9" t="n">
        <v>6</v>
      </c>
      <c r="BF148" s="9" t="n">
        <v>6</v>
      </c>
      <c r="BG148" s="9" t="n">
        <v>3</v>
      </c>
      <c r="BH148" s="9" t="n">
        <v>1</v>
      </c>
      <c r="BI148" s="9" t="n">
        <v>4</v>
      </c>
      <c r="BJ148" s="9" t="n">
        <v>1</v>
      </c>
      <c r="BK148" s="9" t="n">
        <v>4</v>
      </c>
      <c r="BL148" s="9" t="n">
        <v>7</v>
      </c>
      <c r="BM148" s="9" t="n">
        <v>7</v>
      </c>
      <c r="BN148" s="9" t="n">
        <v>3</v>
      </c>
      <c r="BO148" s="9" t="n">
        <v>9</v>
      </c>
      <c r="BP148" s="9" t="n">
        <v>2</v>
      </c>
      <c r="BQ148" s="9" t="n">
        <v>4</v>
      </c>
      <c r="BR148" s="9"/>
      <c r="BS148" s="9" t="n">
        <v>3</v>
      </c>
      <c r="BT148" s="9" t="n">
        <v>6</v>
      </c>
      <c r="BU148" s="10" t="n">
        <v>674</v>
      </c>
      <c r="BV148" s="11" t="n">
        <f aca="false">IF(ISERROR(ROUND(MEDIAN(BQ148:BT148),0)),0,ROUND(MEDIAN(BQ148:BT148),0))</f>
        <v>4</v>
      </c>
      <c r="BW148" s="11" t="n">
        <f aca="false">IF(ISERROR(ROUND(MEDIAN(BM148:BT148),0)),0,ROUND(MEDIAN(BM148:BT148),0))</f>
        <v>4</v>
      </c>
      <c r="BX148" s="11" t="n">
        <f aca="false">IF(ISERROR(ROUND(MEDIAN(BI148:BT148),0)),0,ROUND(MEDIAN(BI148:BT148),0))</f>
        <v>4</v>
      </c>
      <c r="BY148" s="11" t="n">
        <f aca="false">IF(ISERROR(ROUND(MEDIAN(BE148:BT148),0)),0,ROUND(MEDIAN(BE148:BT148),0))</f>
        <v>4</v>
      </c>
      <c r="BZ148" s="11" t="n">
        <f aca="false">IF(ISERROR(ROUND(MEDIAN(AU148:BT148),0)),0,ROUND(MEDIAN(AU148:BT148),0))</f>
        <v>4</v>
      </c>
      <c r="CA148" s="12" t="n">
        <f aca="false">IF(ISERROR(ROUND(MEDIAN(U148:BT148),0)),0,ROUND(MEDIAN(U148:BT148),0))</f>
        <v>6</v>
      </c>
      <c r="CB148" s="12" t="n">
        <f aca="false">IF(ISERROR(ROUND(MEDIAN(BT148),0)),0,ROUND(MEDIAN(BT148),0))</f>
        <v>6</v>
      </c>
      <c r="CC148" s="12" t="n">
        <f aca="false">IF(ISERROR(ROUND(MEDIAN(D148:BT148),0)),0,ROUND(MEDIAN(D148:BT148),0))</f>
        <v>8</v>
      </c>
      <c r="CD148" s="12" t="n">
        <f aca="false">MAX(D148:BT148)</f>
        <v>28</v>
      </c>
      <c r="CE148" s="7" t="n">
        <f aca="false">COUNTA(BQ148:BT148)</f>
        <v>3</v>
      </c>
      <c r="CF148" s="7" t="n">
        <f aca="false">COUNTA(BM148:BT148)</f>
        <v>7</v>
      </c>
      <c r="CG148" s="7" t="n">
        <f aca="false">COUNTA(BI148:BT148)</f>
        <v>11</v>
      </c>
      <c r="CH148" s="7" t="n">
        <f aca="false">COUNTA(BE148:BT148)</f>
        <v>15</v>
      </c>
      <c r="CI148" s="7" t="n">
        <f aca="false">COUNTA(AU148:BT148)</f>
        <v>25</v>
      </c>
      <c r="CJ148" s="7" t="n">
        <f aca="false">COUNTA(U148:BT148)</f>
        <v>51</v>
      </c>
      <c r="CK148" s="7" t="n">
        <f aca="false">COUNTA(BT148)</f>
        <v>1</v>
      </c>
      <c r="CL148" s="7" t="n">
        <f aca="false">COUNTA(D148:BT148)</f>
        <v>68</v>
      </c>
      <c r="CM148" s="13" t="str">
        <f aca="false">IF(AND(CE148=1,CJ148=1,BT148&lt;&gt;""),"5.ENTRANTES",IF(AND(CE148&lt;&gt;0,CE148/RIGHT($CE$1,1)&gt;=0.5,CJ148=CE148),"4.RECENTES",IF(AND(CF148&lt;&gt;0,CF148/RIGHT($CF$1,1)&gt;=0.5,CJ148=CF148),"4.RECENTES",IF(AND(CG148&lt;&gt;0,CG148/RIGHT($CG$1,2)&gt;=0.5,CJ148=CG148),"4.RECENTES",IF(AND(CH148&lt;&gt;0,CH148/RIGHT($CH$1,2)&gt;=0.5,CJ148=CH148),"4.RECENTES",IF(AND(CI148&lt;&gt;0,CI148/RIGHT($CI$1,2)&gt;=0.5,CJ148=CI148),"4.RECENTES",IF(AND(CE148=0,CF148=0,CG148=0,CH148=0),"3.INATIVOS",IF(CJ148/RIGHT($CJ$1,2)&lt;0.5,"2.INTERMITENTES","1.ORDINÁRIOS"))))))))</f>
        <v>1.ORDINÁRIOS</v>
      </c>
      <c r="CN148" s="14" t="n">
        <f aca="false">IF(AND(CE148=1,CJ148=1,BT148&lt;&gt;""),BT148,IF(AND(CE148&lt;&gt;0,CE148/RIGHT($CE$1,1)&gt;=0.5,CJ148=CE148),MAX(BV148:CC148),IF(AND(CF148&lt;&gt;0,CF148/RIGHT($CF$1,1)&gt;=0.5,CJ148=CF148),MAX(BV148:CC148),IF(AND(CG148&lt;&gt;0,CG148/RIGHT($CG$1,2)&gt;=0.5,CJ148=CG148),MAX(BV148:CC148),IF(AND(CH148&lt;&gt;0,CH148/RIGHT($CH$1,2)&gt;=0.5,CJ148=CH148),MAX(BV148:CC148),IF(AND(CI148&lt;&gt;0,CI148/RIGHT($CI$1,2)&gt;=0.5,CJ148=CI148),MAX(BV148:CC148),IF(AND(CE148=0,CF148=0,CG148=0,CH148=0),0,IF(CJ148/RIGHT($CJ$1,2)&lt;0.5,ROUND(BU148/RIGHT($CJ$1,2),0),MAX(BV148:CC148)))))))))</f>
        <v>8</v>
      </c>
      <c r="CO148" s="14" t="n">
        <f aca="false">CN148*3</f>
        <v>24</v>
      </c>
      <c r="CP148" s="15" t="n">
        <v>18</v>
      </c>
      <c r="CQ148" s="16" t="n">
        <f aca="false">IF((CO148-CP148)&lt;0,0,(CO148-CP148))</f>
        <v>6</v>
      </c>
      <c r="CR148" s="7"/>
    </row>
    <row r="149" customFormat="false" ht="12.75" hidden="false" customHeight="true" outlineLevel="0" collapsed="false">
      <c r="A149" s="7" t="s">
        <v>95</v>
      </c>
      <c r="B149" s="7" t="s">
        <v>243</v>
      </c>
      <c r="C149" s="8" t="n">
        <v>10001002</v>
      </c>
      <c r="D149" s="9" t="n">
        <v>4</v>
      </c>
      <c r="E149" s="9" t="n">
        <v>11</v>
      </c>
      <c r="F149" s="9" t="n">
        <v>7</v>
      </c>
      <c r="G149" s="9" t="n">
        <v>26</v>
      </c>
      <c r="H149" s="9" t="n">
        <v>6</v>
      </c>
      <c r="I149" s="9" t="n">
        <v>17</v>
      </c>
      <c r="J149" s="9" t="n">
        <v>24</v>
      </c>
      <c r="K149" s="9" t="n">
        <v>18</v>
      </c>
      <c r="L149" s="9" t="n">
        <v>33</v>
      </c>
      <c r="M149" s="9" t="n">
        <v>16</v>
      </c>
      <c r="N149" s="9" t="n">
        <v>20</v>
      </c>
      <c r="O149" s="9" t="n">
        <v>12</v>
      </c>
      <c r="P149" s="9" t="n">
        <v>12</v>
      </c>
      <c r="Q149" s="9" t="n">
        <v>8</v>
      </c>
      <c r="R149" s="9" t="n">
        <v>11</v>
      </c>
      <c r="S149" s="9" t="n">
        <v>8</v>
      </c>
      <c r="T149" s="9" t="n">
        <v>8</v>
      </c>
      <c r="U149" s="9" t="n">
        <v>6</v>
      </c>
      <c r="V149" s="9" t="n">
        <v>13</v>
      </c>
      <c r="W149" s="9" t="n">
        <v>7</v>
      </c>
      <c r="X149" s="9" t="n">
        <v>4</v>
      </c>
      <c r="Y149" s="9" t="n">
        <v>4</v>
      </c>
      <c r="Z149" s="9" t="n">
        <v>8</v>
      </c>
      <c r="AA149" s="9" t="n">
        <v>14</v>
      </c>
      <c r="AB149" s="9" t="n">
        <v>31</v>
      </c>
      <c r="AC149" s="9" t="n">
        <v>34</v>
      </c>
      <c r="AD149" s="9" t="n">
        <v>31</v>
      </c>
      <c r="AE149" s="9" t="n">
        <v>35</v>
      </c>
      <c r="AF149" s="9" t="n">
        <v>22</v>
      </c>
      <c r="AG149" s="9" t="n">
        <v>57</v>
      </c>
      <c r="AH149" s="9" t="n">
        <v>57</v>
      </c>
      <c r="AI149" s="9" t="n">
        <v>58</v>
      </c>
      <c r="AJ149" s="9" t="n">
        <v>54</v>
      </c>
      <c r="AK149" s="9" t="n">
        <v>38</v>
      </c>
      <c r="AL149" s="9" t="n">
        <v>52</v>
      </c>
      <c r="AM149" s="9" t="n">
        <v>51</v>
      </c>
      <c r="AN149" s="9" t="n">
        <v>54</v>
      </c>
      <c r="AO149" s="9" t="n">
        <v>23</v>
      </c>
      <c r="AP149" s="9" t="n">
        <v>46</v>
      </c>
      <c r="AQ149" s="9" t="n">
        <v>42</v>
      </c>
      <c r="AR149" s="9" t="n">
        <v>29</v>
      </c>
      <c r="AS149" s="9" t="n">
        <v>40</v>
      </c>
      <c r="AT149" s="9" t="n">
        <v>36</v>
      </c>
      <c r="AU149" s="9" t="n">
        <v>26</v>
      </c>
      <c r="AV149" s="9" t="n">
        <v>17</v>
      </c>
      <c r="AW149" s="9" t="n">
        <v>19</v>
      </c>
      <c r="AX149" s="9" t="n">
        <v>12</v>
      </c>
      <c r="AY149" s="9" t="n">
        <v>10</v>
      </c>
      <c r="AZ149" s="9" t="n">
        <v>27</v>
      </c>
      <c r="BA149" s="9" t="n">
        <v>47</v>
      </c>
      <c r="BB149" s="9" t="n">
        <v>30</v>
      </c>
      <c r="BC149" s="9" t="n">
        <v>29</v>
      </c>
      <c r="BD149" s="9" t="n">
        <v>35</v>
      </c>
      <c r="BE149" s="9" t="n">
        <v>32</v>
      </c>
      <c r="BF149" s="9" t="n">
        <v>33</v>
      </c>
      <c r="BG149" s="9" t="n">
        <v>39</v>
      </c>
      <c r="BH149" s="9" t="n">
        <v>27</v>
      </c>
      <c r="BI149" s="9" t="n">
        <v>41</v>
      </c>
      <c r="BJ149" s="9" t="n">
        <v>39</v>
      </c>
      <c r="BK149" s="9" t="n">
        <v>34</v>
      </c>
      <c r="BL149" s="9" t="n">
        <v>19</v>
      </c>
      <c r="BM149" s="9" t="n">
        <v>28</v>
      </c>
      <c r="BN149" s="9" t="n">
        <v>25</v>
      </c>
      <c r="BO149" s="9" t="n">
        <v>24</v>
      </c>
      <c r="BP149" s="9" t="n">
        <v>11</v>
      </c>
      <c r="BQ149" s="9" t="n">
        <v>2</v>
      </c>
      <c r="BR149" s="9" t="n">
        <v>10</v>
      </c>
      <c r="BS149" s="9" t="n">
        <v>7</v>
      </c>
      <c r="BT149" s="9" t="n">
        <v>6</v>
      </c>
      <c r="BU149" s="10" t="n">
        <v>1716</v>
      </c>
      <c r="BV149" s="11" t="n">
        <f aca="false">IF(ISERROR(ROUND(MEDIAN(BQ149:BT149),0)),0,ROUND(MEDIAN(BQ149:BT149),0))</f>
        <v>7</v>
      </c>
      <c r="BW149" s="11" t="n">
        <f aca="false">IF(ISERROR(ROUND(MEDIAN(BM149:BT149),0)),0,ROUND(MEDIAN(BM149:BT149),0))</f>
        <v>11</v>
      </c>
      <c r="BX149" s="11" t="n">
        <f aca="false">IF(ISERROR(ROUND(MEDIAN(BI149:BT149),0)),0,ROUND(MEDIAN(BI149:BT149),0))</f>
        <v>22</v>
      </c>
      <c r="BY149" s="11" t="n">
        <f aca="false">IF(ISERROR(ROUND(MEDIAN(BE149:BT149),0)),0,ROUND(MEDIAN(BE149:BT149),0))</f>
        <v>26</v>
      </c>
      <c r="BZ149" s="11" t="n">
        <f aca="false">IF(ISERROR(ROUND(MEDIAN(AU149:BT149),0)),0,ROUND(MEDIAN(AU149:BT149),0))</f>
        <v>27</v>
      </c>
      <c r="CA149" s="12" t="n">
        <f aca="false">IF(ISERROR(ROUND(MEDIAN(U149:BT149),0)),0,ROUND(MEDIAN(U149:BT149),0))</f>
        <v>29</v>
      </c>
      <c r="CB149" s="12" t="n">
        <f aca="false">IF(ISERROR(ROUND(MEDIAN(BT149),0)),0,ROUND(MEDIAN(BT149),0))</f>
        <v>6</v>
      </c>
      <c r="CC149" s="12" t="n">
        <f aca="false">IF(ISERROR(ROUND(MEDIAN(D149:BT149),0)),0,ROUND(MEDIAN(D149:BT149),0))</f>
        <v>24</v>
      </c>
      <c r="CD149" s="12" t="n">
        <f aca="false">MAX(D149:BT149)</f>
        <v>58</v>
      </c>
      <c r="CE149" s="7" t="n">
        <f aca="false">COUNTA(BQ149:BT149)</f>
        <v>4</v>
      </c>
      <c r="CF149" s="7" t="n">
        <f aca="false">COUNTA(BM149:BT149)</f>
        <v>8</v>
      </c>
      <c r="CG149" s="7" t="n">
        <f aca="false">COUNTA(BI149:BT149)</f>
        <v>12</v>
      </c>
      <c r="CH149" s="7" t="n">
        <f aca="false">COUNTA(BE149:BT149)</f>
        <v>16</v>
      </c>
      <c r="CI149" s="7" t="n">
        <f aca="false">COUNTA(AU149:BT149)</f>
        <v>26</v>
      </c>
      <c r="CJ149" s="7" t="n">
        <f aca="false">COUNTA(U149:BT149)</f>
        <v>52</v>
      </c>
      <c r="CK149" s="7" t="n">
        <f aca="false">COUNTA(BT149)</f>
        <v>1</v>
      </c>
      <c r="CL149" s="7" t="n">
        <f aca="false">COUNTA(D149:BT149)</f>
        <v>69</v>
      </c>
      <c r="CM149" s="13" t="str">
        <f aca="false">IF(AND(CE149=1,CJ149=1,BT149&lt;&gt;""),"5.ENTRANTES",IF(AND(CE149&lt;&gt;0,CE149/RIGHT($CE$1,1)&gt;=0.5,CJ149=CE149),"4.RECENTES",IF(AND(CF149&lt;&gt;0,CF149/RIGHT($CF$1,1)&gt;=0.5,CJ149=CF149),"4.RECENTES",IF(AND(CG149&lt;&gt;0,CG149/RIGHT($CG$1,2)&gt;=0.5,CJ149=CG149),"4.RECENTES",IF(AND(CH149&lt;&gt;0,CH149/RIGHT($CH$1,2)&gt;=0.5,CJ149=CH149),"4.RECENTES",IF(AND(CI149&lt;&gt;0,CI149/RIGHT($CI$1,2)&gt;=0.5,CJ149=CI149),"4.RECENTES",IF(AND(CE149=0,CF149=0,CG149=0,CH149=0),"3.INATIVOS",IF(CJ149/RIGHT($CJ$1,2)&lt;0.5,"2.INTERMITENTES","1.ORDINÁRIOS"))))))))</f>
        <v>1.ORDINÁRIOS</v>
      </c>
      <c r="CN149" s="14" t="n">
        <f aca="false">IF(AND(CE149=1,CJ149=1,BT149&lt;&gt;""),BT149,IF(AND(CE149&lt;&gt;0,CE149/RIGHT($CE$1,1)&gt;=0.5,CJ149=CE149),MAX(BV149:CC149),IF(AND(CF149&lt;&gt;0,CF149/RIGHT($CF$1,1)&gt;=0.5,CJ149=CF149),MAX(BV149:CC149),IF(AND(CG149&lt;&gt;0,CG149/RIGHT($CG$1,2)&gt;=0.5,CJ149=CG149),MAX(BV149:CC149),IF(AND(CH149&lt;&gt;0,CH149/RIGHT($CH$1,2)&gt;=0.5,CJ149=CH149),MAX(BV149:CC149),IF(AND(CI149&lt;&gt;0,CI149/RIGHT($CI$1,2)&gt;=0.5,CJ149=CI149),MAX(BV149:CC149),IF(AND(CE149=0,CF149=0,CG149=0,CH149=0),0,IF(CJ149/RIGHT($CJ$1,2)&lt;0.5,ROUND(BU149/RIGHT($CJ$1,2),0),MAX(BV149:CC149)))))))))</f>
        <v>29</v>
      </c>
      <c r="CO149" s="14" t="n">
        <f aca="false">CN149*3</f>
        <v>87</v>
      </c>
      <c r="CP149" s="15" t="n">
        <v>88</v>
      </c>
      <c r="CQ149" s="16" t="n">
        <f aca="false">IF((CO149-CP149)&lt;0,0,(CO149-CP149))</f>
        <v>0</v>
      </c>
      <c r="CR149" s="7"/>
    </row>
    <row r="150" customFormat="false" ht="12.75" hidden="false" customHeight="true" outlineLevel="0" collapsed="false">
      <c r="A150" s="7" t="s">
        <v>95</v>
      </c>
      <c r="B150" s="7" t="s">
        <v>244</v>
      </c>
      <c r="C150" s="8" t="n">
        <v>308002001</v>
      </c>
      <c r="D150" s="9" t="n">
        <v>180</v>
      </c>
      <c r="E150" s="9" t="n">
        <v>429</v>
      </c>
      <c r="F150" s="9" t="n">
        <v>720</v>
      </c>
      <c r="G150" s="9" t="n">
        <v>848</v>
      </c>
      <c r="H150" s="9" t="n">
        <v>303</v>
      </c>
      <c r="I150" s="9" t="n">
        <v>835</v>
      </c>
      <c r="J150" s="9" t="n">
        <v>746</v>
      </c>
      <c r="K150" s="9" t="n">
        <v>405</v>
      </c>
      <c r="L150" s="9" t="n">
        <v>955</v>
      </c>
      <c r="M150" s="9" t="n">
        <v>420</v>
      </c>
      <c r="N150" s="9" t="n">
        <v>625</v>
      </c>
      <c r="O150" s="9" t="n">
        <v>410</v>
      </c>
      <c r="P150" s="9" t="n">
        <v>390</v>
      </c>
      <c r="Q150" s="9" t="n">
        <v>470</v>
      </c>
      <c r="R150" s="9" t="n">
        <v>475</v>
      </c>
      <c r="S150" s="9" t="n">
        <v>340</v>
      </c>
      <c r="T150" s="9" t="n">
        <v>620</v>
      </c>
      <c r="U150" s="9" t="n">
        <v>310</v>
      </c>
      <c r="V150" s="9" t="n">
        <v>490</v>
      </c>
      <c r="W150" s="9" t="n">
        <v>491</v>
      </c>
      <c r="X150" s="9" t="n">
        <v>640</v>
      </c>
      <c r="Y150" s="9" t="n">
        <v>600</v>
      </c>
      <c r="Z150" s="9" t="n">
        <v>690</v>
      </c>
      <c r="AA150" s="9" t="n">
        <v>860</v>
      </c>
      <c r="AB150" s="9" t="n">
        <v>960</v>
      </c>
      <c r="AC150" s="9" t="n">
        <v>990</v>
      </c>
      <c r="AD150" s="9" t="n">
        <v>1062</v>
      </c>
      <c r="AE150" s="9" t="n">
        <v>970</v>
      </c>
      <c r="AF150" s="9" t="n">
        <v>710</v>
      </c>
      <c r="AG150" s="9" t="n">
        <v>1267</v>
      </c>
      <c r="AH150" s="9" t="n">
        <v>1170</v>
      </c>
      <c r="AI150" s="9" t="n">
        <v>1130</v>
      </c>
      <c r="AJ150" s="9" t="n">
        <v>630</v>
      </c>
      <c r="AK150" s="9"/>
      <c r="AL150" s="9" t="n">
        <v>750</v>
      </c>
      <c r="AM150" s="9" t="n">
        <v>690</v>
      </c>
      <c r="AN150" s="9" t="n">
        <v>685</v>
      </c>
      <c r="AO150" s="9" t="n">
        <v>370</v>
      </c>
      <c r="AP150" s="9" t="n">
        <v>840</v>
      </c>
      <c r="AQ150" s="9" t="n">
        <v>945</v>
      </c>
      <c r="AR150" s="9" t="n">
        <v>1592</v>
      </c>
      <c r="AS150" s="9" t="n">
        <v>1670</v>
      </c>
      <c r="AT150" s="9" t="n">
        <v>1720</v>
      </c>
      <c r="AU150" s="9" t="n">
        <v>838</v>
      </c>
      <c r="AV150" s="9" t="n">
        <v>1320</v>
      </c>
      <c r="AW150" s="9" t="n">
        <v>1140</v>
      </c>
      <c r="AX150" s="9" t="n">
        <v>844</v>
      </c>
      <c r="AY150" s="9" t="n">
        <v>676</v>
      </c>
      <c r="AZ150" s="9" t="n">
        <v>1110</v>
      </c>
      <c r="BA150" s="9" t="n">
        <v>1719</v>
      </c>
      <c r="BB150" s="9" t="n">
        <v>1260</v>
      </c>
      <c r="BC150" s="9" t="n">
        <v>1777</v>
      </c>
      <c r="BD150" s="9" t="n">
        <v>1400</v>
      </c>
      <c r="BE150" s="9" t="n">
        <v>1580</v>
      </c>
      <c r="BF150" s="9" t="n">
        <v>1420</v>
      </c>
      <c r="BG150" s="9" t="n">
        <v>1360</v>
      </c>
      <c r="BH150" s="9" t="n">
        <v>1880</v>
      </c>
      <c r="BI150" s="9" t="n">
        <v>1661</v>
      </c>
      <c r="BJ150" s="9" t="n">
        <v>1462</v>
      </c>
      <c r="BK150" s="9" t="n">
        <v>1460</v>
      </c>
      <c r="BL150" s="9" t="n">
        <v>1200</v>
      </c>
      <c r="BM150" s="9" t="n">
        <v>1060</v>
      </c>
      <c r="BN150" s="9" t="n">
        <v>740</v>
      </c>
      <c r="BO150" s="9" t="n">
        <v>1160</v>
      </c>
      <c r="BP150" s="9" t="n">
        <v>840</v>
      </c>
      <c r="BQ150" s="9" t="n">
        <v>820</v>
      </c>
      <c r="BR150" s="9" t="n">
        <v>820</v>
      </c>
      <c r="BS150" s="9" t="n">
        <v>632</v>
      </c>
      <c r="BT150" s="9" t="n">
        <v>260</v>
      </c>
      <c r="BU150" s="10" t="n">
        <v>61842</v>
      </c>
      <c r="BV150" s="11" t="n">
        <f aca="false">IF(ISERROR(ROUND(MEDIAN(BQ150:BT150),0)),0,ROUND(MEDIAN(BQ150:BT150),0))</f>
        <v>726</v>
      </c>
      <c r="BW150" s="11" t="n">
        <f aca="false">IF(ISERROR(ROUND(MEDIAN(BM150:BT150),0)),0,ROUND(MEDIAN(BM150:BT150),0))</f>
        <v>820</v>
      </c>
      <c r="BX150" s="11" t="n">
        <f aca="false">IF(ISERROR(ROUND(MEDIAN(BI150:BT150),0)),0,ROUND(MEDIAN(BI150:BT150),0))</f>
        <v>950</v>
      </c>
      <c r="BY150" s="11" t="n">
        <f aca="false">IF(ISERROR(ROUND(MEDIAN(BE150:BT150),0)),0,ROUND(MEDIAN(BE150:BT150),0))</f>
        <v>1180</v>
      </c>
      <c r="BZ150" s="11" t="n">
        <f aca="false">IF(ISERROR(ROUND(MEDIAN(AU150:BT150),0)),0,ROUND(MEDIAN(AU150:BT150),0))</f>
        <v>1180</v>
      </c>
      <c r="CA150" s="12" t="n">
        <f aca="false">IF(ISERROR(ROUND(MEDIAN(U150:BT150),0)),0,ROUND(MEDIAN(U150:BT150),0))</f>
        <v>970</v>
      </c>
      <c r="CB150" s="12" t="n">
        <f aca="false">IF(ISERROR(ROUND(MEDIAN(BT150),0)),0,ROUND(MEDIAN(BT150),0))</f>
        <v>260</v>
      </c>
      <c r="CC150" s="12" t="n">
        <f aca="false">IF(ISERROR(ROUND(MEDIAN(D150:BT150),0)),0,ROUND(MEDIAN(D150:BT150),0))</f>
        <v>839</v>
      </c>
      <c r="CD150" s="12" t="n">
        <f aca="false">MAX(D150:BT150)</f>
        <v>1880</v>
      </c>
      <c r="CE150" s="7" t="n">
        <f aca="false">COUNTA(BQ150:BT150)</f>
        <v>4</v>
      </c>
      <c r="CF150" s="7" t="n">
        <f aca="false">COUNTA(BM150:BT150)</f>
        <v>8</v>
      </c>
      <c r="CG150" s="7" t="n">
        <f aca="false">COUNTA(BI150:BT150)</f>
        <v>12</v>
      </c>
      <c r="CH150" s="7" t="n">
        <f aca="false">COUNTA(BE150:BT150)</f>
        <v>16</v>
      </c>
      <c r="CI150" s="7" t="n">
        <f aca="false">COUNTA(AU150:BT150)</f>
        <v>26</v>
      </c>
      <c r="CJ150" s="7" t="n">
        <f aca="false">COUNTA(U150:BT150)</f>
        <v>51</v>
      </c>
      <c r="CK150" s="7" t="n">
        <f aca="false">COUNTA(BT150)</f>
        <v>1</v>
      </c>
      <c r="CL150" s="7" t="n">
        <f aca="false">COUNTA(D150:BT150)</f>
        <v>68</v>
      </c>
      <c r="CM150" s="13" t="str">
        <f aca="false">IF(AND(CE150=1,CJ150=1,BT150&lt;&gt;""),"5.ENTRANTES",IF(AND(CE150&lt;&gt;0,CE150/RIGHT($CE$1,1)&gt;=0.5,CJ150=CE150),"4.RECENTES",IF(AND(CF150&lt;&gt;0,CF150/RIGHT($CF$1,1)&gt;=0.5,CJ150=CF150),"4.RECENTES",IF(AND(CG150&lt;&gt;0,CG150/RIGHT($CG$1,2)&gt;=0.5,CJ150=CG150),"4.RECENTES",IF(AND(CH150&lt;&gt;0,CH150/RIGHT($CH$1,2)&gt;=0.5,CJ150=CH150),"4.RECENTES",IF(AND(CI150&lt;&gt;0,CI150/RIGHT($CI$1,2)&gt;=0.5,CJ150=CI150),"4.RECENTES",IF(AND(CE150=0,CF150=0,CG150=0,CH150=0),"3.INATIVOS",IF(CJ150/RIGHT($CJ$1,2)&lt;0.5,"2.INTERMITENTES","1.ORDINÁRIOS"))))))))</f>
        <v>1.ORDINÁRIOS</v>
      </c>
      <c r="CN150" s="14" t="n">
        <f aca="false">IF(AND(CE150=1,CJ150=1,BT150&lt;&gt;""),BT150,IF(AND(CE150&lt;&gt;0,CE150/RIGHT($CE$1,1)&gt;=0.5,CJ150=CE150),MAX(BV150:CC150),IF(AND(CF150&lt;&gt;0,CF150/RIGHT($CF$1,1)&gt;=0.5,CJ150=CF150),MAX(BV150:CC150),IF(AND(CG150&lt;&gt;0,CG150/RIGHT($CG$1,2)&gt;=0.5,CJ150=CG150),MAX(BV150:CC150),IF(AND(CH150&lt;&gt;0,CH150/RIGHT($CH$1,2)&gt;=0.5,CJ150=CH150),MAX(BV150:CC150),IF(AND(CI150&lt;&gt;0,CI150/RIGHT($CI$1,2)&gt;=0.5,CJ150=CI150),MAX(BV150:CC150),IF(AND(CE150=0,CF150=0,CG150=0,CH150=0),0,IF(CJ150/RIGHT($CJ$1,2)&lt;0.5,ROUND(BU150/RIGHT($CJ$1,2),0),MAX(BV150:CC150)))))))))</f>
        <v>1180</v>
      </c>
      <c r="CO150" s="14" t="n">
        <f aca="false">CN150*3</f>
        <v>3540</v>
      </c>
      <c r="CP150" s="15" t="n">
        <v>3328</v>
      </c>
      <c r="CQ150" s="16" t="n">
        <f aca="false">IF((CO150-CP150)&lt;0,0,(CO150-CP150))</f>
        <v>212</v>
      </c>
      <c r="CR150" s="7"/>
    </row>
    <row r="151" customFormat="false" ht="12.75" hidden="false" customHeight="true" outlineLevel="0" collapsed="false">
      <c r="A151" s="7" t="s">
        <v>95</v>
      </c>
      <c r="B151" s="7" t="s">
        <v>245</v>
      </c>
      <c r="C151" s="8" t="n">
        <v>7000001</v>
      </c>
      <c r="D151" s="9" t="n">
        <v>40</v>
      </c>
      <c r="E151" s="9" t="n">
        <v>60</v>
      </c>
      <c r="F151" s="9" t="n">
        <v>120</v>
      </c>
      <c r="G151" s="9" t="n">
        <v>140</v>
      </c>
      <c r="H151" s="9"/>
      <c r="I151" s="9" t="n">
        <v>100</v>
      </c>
      <c r="J151" s="9" t="n">
        <v>80</v>
      </c>
      <c r="K151" s="9" t="n">
        <v>200</v>
      </c>
      <c r="L151" s="9" t="n">
        <v>100</v>
      </c>
      <c r="M151" s="9"/>
      <c r="N151" s="9" t="n">
        <v>80</v>
      </c>
      <c r="O151" s="9" t="n">
        <v>160</v>
      </c>
      <c r="P151" s="9" t="n">
        <v>40</v>
      </c>
      <c r="Q151" s="9" t="n">
        <v>60</v>
      </c>
      <c r="R151" s="9" t="n">
        <v>80</v>
      </c>
      <c r="S151" s="9" t="n">
        <v>40</v>
      </c>
      <c r="T151" s="9" t="n">
        <v>60</v>
      </c>
      <c r="U151" s="9" t="n">
        <v>140</v>
      </c>
      <c r="V151" s="9" t="n">
        <v>80</v>
      </c>
      <c r="W151" s="9" t="n">
        <v>40</v>
      </c>
      <c r="X151" s="9" t="n">
        <v>60</v>
      </c>
      <c r="Y151" s="9"/>
      <c r="Z151" s="9" t="n">
        <v>120</v>
      </c>
      <c r="AA151" s="9"/>
      <c r="AB151" s="9" t="n">
        <v>20</v>
      </c>
      <c r="AC151" s="9"/>
      <c r="AD151" s="9" t="n">
        <v>100</v>
      </c>
      <c r="AE151" s="9" t="n">
        <v>60</v>
      </c>
      <c r="AF151" s="9" t="n">
        <v>20</v>
      </c>
      <c r="AG151" s="9" t="n">
        <v>140</v>
      </c>
      <c r="AH151" s="9" t="n">
        <v>120</v>
      </c>
      <c r="AI151" s="9" t="n">
        <v>40</v>
      </c>
      <c r="AJ151" s="9" t="n">
        <v>180</v>
      </c>
      <c r="AK151" s="9" t="n">
        <v>480</v>
      </c>
      <c r="AL151" s="9" t="n">
        <v>340</v>
      </c>
      <c r="AM151" s="9" t="n">
        <v>100</v>
      </c>
      <c r="AN151" s="9" t="n">
        <v>65</v>
      </c>
      <c r="AO151" s="9"/>
      <c r="AP151" s="9" t="n">
        <v>80</v>
      </c>
      <c r="AQ151" s="9" t="n">
        <v>100</v>
      </c>
      <c r="AR151" s="9"/>
      <c r="AS151" s="9"/>
      <c r="AT151" s="9" t="n">
        <v>40</v>
      </c>
      <c r="AU151" s="9" t="n">
        <v>45</v>
      </c>
      <c r="AV151" s="9"/>
      <c r="AW151" s="9"/>
      <c r="AX151" s="9" t="n">
        <v>100</v>
      </c>
      <c r="AY151" s="9" t="n">
        <v>70</v>
      </c>
      <c r="AZ151" s="9" t="n">
        <v>80</v>
      </c>
      <c r="BA151" s="9"/>
      <c r="BB151" s="9"/>
      <c r="BC151" s="9" t="n">
        <v>60</v>
      </c>
      <c r="BD151" s="9" t="n">
        <v>40</v>
      </c>
      <c r="BE151" s="9" t="n">
        <v>40</v>
      </c>
      <c r="BF151" s="9"/>
      <c r="BG151" s="9" t="n">
        <v>30</v>
      </c>
      <c r="BH151" s="9" t="n">
        <v>20</v>
      </c>
      <c r="BI151" s="9" t="n">
        <v>20</v>
      </c>
      <c r="BJ151" s="9" t="n">
        <v>120</v>
      </c>
      <c r="BK151" s="9"/>
      <c r="BL151" s="9" t="n">
        <v>100</v>
      </c>
      <c r="BM151" s="9" t="n">
        <v>80</v>
      </c>
      <c r="BN151" s="9" t="n">
        <v>40</v>
      </c>
      <c r="BO151" s="9"/>
      <c r="BP151" s="9" t="n">
        <v>20</v>
      </c>
      <c r="BQ151" s="9" t="n">
        <v>80</v>
      </c>
      <c r="BR151" s="9" t="n">
        <v>80</v>
      </c>
      <c r="BS151" s="9" t="n">
        <v>20</v>
      </c>
      <c r="BT151" s="9"/>
      <c r="BU151" s="10" t="n">
        <v>4730</v>
      </c>
      <c r="BV151" s="11" t="n">
        <f aca="false">IF(ISERROR(ROUND(MEDIAN(BQ151:BT151),0)),0,ROUND(MEDIAN(BQ151:BT151),0))</f>
        <v>80</v>
      </c>
      <c r="BW151" s="11" t="n">
        <f aca="false">IF(ISERROR(ROUND(MEDIAN(BM151:BT151),0)),0,ROUND(MEDIAN(BM151:BT151),0))</f>
        <v>60</v>
      </c>
      <c r="BX151" s="11" t="n">
        <f aca="false">IF(ISERROR(ROUND(MEDIAN(BI151:BT151),0)),0,ROUND(MEDIAN(BI151:BT151),0))</f>
        <v>80</v>
      </c>
      <c r="BY151" s="11" t="n">
        <f aca="false">IF(ISERROR(ROUND(MEDIAN(BE151:BT151),0)),0,ROUND(MEDIAN(BE151:BT151),0))</f>
        <v>40</v>
      </c>
      <c r="BZ151" s="11" t="n">
        <f aca="false">IF(ISERROR(ROUND(MEDIAN(AU151:BT151),0)),0,ROUND(MEDIAN(AU151:BT151),0))</f>
        <v>53</v>
      </c>
      <c r="CA151" s="12" t="n">
        <f aca="false">IF(ISERROR(ROUND(MEDIAN(U151:BT151),0)),0,ROUND(MEDIAN(U151:BT151),0))</f>
        <v>75</v>
      </c>
      <c r="CB151" s="12" t="n">
        <f aca="false">IF(ISERROR(ROUND(MEDIAN(BT151),0)),0,ROUND(MEDIAN(BT151),0))</f>
        <v>0</v>
      </c>
      <c r="CC151" s="12" t="n">
        <f aca="false">IF(ISERROR(ROUND(MEDIAN(D151:BT151),0)),0,ROUND(MEDIAN(D151:BT151),0))</f>
        <v>80</v>
      </c>
      <c r="CD151" s="12" t="n">
        <f aca="false">MAX(D151:BT151)</f>
        <v>480</v>
      </c>
      <c r="CE151" s="7" t="n">
        <f aca="false">COUNTA(BQ151:BT151)</f>
        <v>3</v>
      </c>
      <c r="CF151" s="7" t="n">
        <f aca="false">COUNTA(BM151:BT151)</f>
        <v>6</v>
      </c>
      <c r="CG151" s="7" t="n">
        <f aca="false">COUNTA(BI151:BT151)</f>
        <v>9</v>
      </c>
      <c r="CH151" s="7" t="n">
        <f aca="false">COUNTA(BE151:BT151)</f>
        <v>12</v>
      </c>
      <c r="CI151" s="7" t="n">
        <f aca="false">COUNTA(AU151:BT151)</f>
        <v>18</v>
      </c>
      <c r="CJ151" s="7" t="n">
        <f aca="false">COUNTA(U151:BT151)</f>
        <v>38</v>
      </c>
      <c r="CK151" s="7" t="n">
        <f aca="false">COUNTA(BT151)</f>
        <v>0</v>
      </c>
      <c r="CL151" s="7" t="n">
        <f aca="false">COUNTA(D151:BT151)</f>
        <v>53</v>
      </c>
      <c r="CM151" s="13" t="str">
        <f aca="false">IF(AND(CE151=1,CJ151=1,BT151&lt;&gt;""),"5.ENTRANTES",IF(AND(CE151&lt;&gt;0,CE151/RIGHT($CE$1,1)&gt;=0.5,CJ151=CE151),"4.RECENTES",IF(AND(CF151&lt;&gt;0,CF151/RIGHT($CF$1,1)&gt;=0.5,CJ151=CF151),"4.RECENTES",IF(AND(CG151&lt;&gt;0,CG151/RIGHT($CG$1,2)&gt;=0.5,CJ151=CG151),"4.RECENTES",IF(AND(CH151&lt;&gt;0,CH151/RIGHT($CH$1,2)&gt;=0.5,CJ151=CH151),"4.RECENTES",IF(AND(CI151&lt;&gt;0,CI151/RIGHT($CI$1,2)&gt;=0.5,CJ151=CI151),"4.RECENTES",IF(AND(CE151=0,CF151=0,CG151=0,CH151=0),"3.INATIVOS",IF(CJ151/RIGHT($CJ$1,2)&lt;0.5,"2.INTERMITENTES","1.ORDINÁRIOS"))))))))</f>
        <v>1.ORDINÁRIOS</v>
      </c>
      <c r="CN151" s="14" t="n">
        <f aca="false">IF(AND(CE151=1,CJ151=1,BT151&lt;&gt;""),BT151,IF(AND(CE151&lt;&gt;0,CE151/RIGHT($CE$1,1)&gt;=0.5,CJ151=CE151),MAX(BV151:CC151),IF(AND(CF151&lt;&gt;0,CF151/RIGHT($CF$1,1)&gt;=0.5,CJ151=CF151),MAX(BV151:CC151),IF(AND(CG151&lt;&gt;0,CG151/RIGHT($CG$1,2)&gt;=0.5,CJ151=CG151),MAX(BV151:CC151),IF(AND(CH151&lt;&gt;0,CH151/RIGHT($CH$1,2)&gt;=0.5,CJ151=CH151),MAX(BV151:CC151),IF(AND(CI151&lt;&gt;0,CI151/RIGHT($CI$1,2)&gt;=0.5,CJ151=CI151),MAX(BV151:CC151),IF(AND(CE151=0,CF151=0,CG151=0,CH151=0),0,IF(CJ151/RIGHT($CJ$1,2)&lt;0.5,ROUND(BU151/RIGHT($CJ$1,2),0),MAX(BV151:CC151)))))))))</f>
        <v>80</v>
      </c>
      <c r="CO151" s="14" t="n">
        <f aca="false">CN151*3</f>
        <v>240</v>
      </c>
      <c r="CP151" s="15" t="n">
        <v>420</v>
      </c>
      <c r="CQ151" s="16" t="n">
        <f aca="false">IF((CO151-CP151)&lt;0,0,(CO151-CP151))</f>
        <v>0</v>
      </c>
      <c r="CR151" s="7"/>
    </row>
    <row r="152" customFormat="false" ht="12.75" hidden="false" customHeight="true" outlineLevel="0" collapsed="false">
      <c r="A152" s="7" t="s">
        <v>95</v>
      </c>
      <c r="B152" s="7" t="s">
        <v>246</v>
      </c>
      <c r="C152" s="8" t="n">
        <v>5000007</v>
      </c>
      <c r="D152" s="9" t="n">
        <v>120</v>
      </c>
      <c r="E152" s="9" t="n">
        <v>180</v>
      </c>
      <c r="F152" s="9" t="n">
        <v>500</v>
      </c>
      <c r="G152" s="9" t="n">
        <v>220</v>
      </c>
      <c r="H152" s="9" t="n">
        <v>210</v>
      </c>
      <c r="I152" s="9" t="n">
        <v>320</v>
      </c>
      <c r="J152" s="9" t="n">
        <v>405</v>
      </c>
      <c r="K152" s="9" t="n">
        <v>80</v>
      </c>
      <c r="L152" s="9" t="n">
        <v>335</v>
      </c>
      <c r="M152" s="9" t="n">
        <v>330</v>
      </c>
      <c r="N152" s="9" t="n">
        <v>360</v>
      </c>
      <c r="O152" s="9" t="n">
        <v>161</v>
      </c>
      <c r="P152" s="9" t="n">
        <v>400</v>
      </c>
      <c r="Q152" s="9" t="n">
        <v>290</v>
      </c>
      <c r="R152" s="9" t="n">
        <v>330</v>
      </c>
      <c r="S152" s="9" t="n">
        <v>401</v>
      </c>
      <c r="T152" s="9" t="n">
        <v>107</v>
      </c>
      <c r="U152" s="9" t="n">
        <v>400</v>
      </c>
      <c r="V152" s="9" t="n">
        <v>320</v>
      </c>
      <c r="W152" s="9" t="n">
        <v>241</v>
      </c>
      <c r="X152" s="9" t="n">
        <v>270</v>
      </c>
      <c r="Y152" s="9" t="n">
        <v>190</v>
      </c>
      <c r="Z152" s="9" t="n">
        <v>300</v>
      </c>
      <c r="AA152" s="9" t="n">
        <v>81</v>
      </c>
      <c r="AB152" s="9" t="n">
        <v>463</v>
      </c>
      <c r="AC152" s="9" t="n">
        <v>270</v>
      </c>
      <c r="AD152" s="9" t="n">
        <v>320</v>
      </c>
      <c r="AE152" s="9" t="n">
        <v>140</v>
      </c>
      <c r="AF152" s="9" t="n">
        <v>210</v>
      </c>
      <c r="AG152" s="9" t="n">
        <v>360</v>
      </c>
      <c r="AH152" s="9" t="n">
        <v>110</v>
      </c>
      <c r="AI152" s="9" t="n">
        <v>180</v>
      </c>
      <c r="AJ152" s="9" t="n">
        <v>400</v>
      </c>
      <c r="AK152" s="9" t="n">
        <v>160</v>
      </c>
      <c r="AL152" s="9" t="n">
        <v>261</v>
      </c>
      <c r="AM152" s="9" t="n">
        <v>150</v>
      </c>
      <c r="AN152" s="9" t="n">
        <v>340</v>
      </c>
      <c r="AO152" s="9" t="n">
        <v>291</v>
      </c>
      <c r="AP152" s="9" t="n">
        <v>210</v>
      </c>
      <c r="AQ152" s="9" t="n">
        <v>30</v>
      </c>
      <c r="AR152" s="9" t="n">
        <v>52</v>
      </c>
      <c r="AS152" s="9" t="n">
        <v>180</v>
      </c>
      <c r="AT152" s="9" t="n">
        <v>360</v>
      </c>
      <c r="AU152" s="9" t="n">
        <v>91</v>
      </c>
      <c r="AV152" s="9" t="n">
        <v>210</v>
      </c>
      <c r="AW152" s="9" t="n">
        <v>230</v>
      </c>
      <c r="AX152" s="9" t="n">
        <v>70</v>
      </c>
      <c r="AY152" s="9" t="n">
        <v>60</v>
      </c>
      <c r="AZ152" s="9" t="n">
        <v>150</v>
      </c>
      <c r="BA152" s="9" t="n">
        <v>211</v>
      </c>
      <c r="BB152" s="9" t="n">
        <v>122</v>
      </c>
      <c r="BC152" s="9" t="n">
        <v>113</v>
      </c>
      <c r="BD152" s="9" t="n">
        <v>201</v>
      </c>
      <c r="BE152" s="9" t="n">
        <v>240</v>
      </c>
      <c r="BF152" s="9" t="n">
        <v>140</v>
      </c>
      <c r="BG152" s="9" t="n">
        <v>40</v>
      </c>
      <c r="BH152" s="9" t="n">
        <v>208</v>
      </c>
      <c r="BI152" s="9" t="n">
        <v>82</v>
      </c>
      <c r="BJ152" s="9" t="n">
        <v>180</v>
      </c>
      <c r="BK152" s="9" t="n">
        <v>90</v>
      </c>
      <c r="BL152" s="9" t="n">
        <v>150</v>
      </c>
      <c r="BM152" s="9" t="n">
        <v>160</v>
      </c>
      <c r="BN152" s="9" t="n">
        <v>120</v>
      </c>
      <c r="BO152" s="9" t="n">
        <v>60</v>
      </c>
      <c r="BP152" s="9" t="n">
        <v>210</v>
      </c>
      <c r="BQ152" s="9" t="n">
        <v>121</v>
      </c>
      <c r="BR152" s="9" t="n">
        <v>150</v>
      </c>
      <c r="BS152" s="9" t="n">
        <v>210</v>
      </c>
      <c r="BT152" s="9" t="n">
        <v>180</v>
      </c>
      <c r="BU152" s="10" t="n">
        <v>14837</v>
      </c>
      <c r="BV152" s="11" t="n">
        <f aca="false">IF(ISERROR(ROUND(MEDIAN(BQ152:BT152),0)),0,ROUND(MEDIAN(BQ152:BT152),0))</f>
        <v>165</v>
      </c>
      <c r="BW152" s="11" t="n">
        <f aca="false">IF(ISERROR(ROUND(MEDIAN(BM152:BT152),0)),0,ROUND(MEDIAN(BM152:BT152),0))</f>
        <v>155</v>
      </c>
      <c r="BX152" s="11" t="n">
        <f aca="false">IF(ISERROR(ROUND(MEDIAN(BI152:BT152),0)),0,ROUND(MEDIAN(BI152:BT152),0))</f>
        <v>150</v>
      </c>
      <c r="BY152" s="11" t="n">
        <f aca="false">IF(ISERROR(ROUND(MEDIAN(BE152:BT152),0)),0,ROUND(MEDIAN(BE152:BT152),0))</f>
        <v>150</v>
      </c>
      <c r="BZ152" s="11" t="n">
        <f aca="false">IF(ISERROR(ROUND(MEDIAN(AU152:BT152),0)),0,ROUND(MEDIAN(AU152:BT152),0))</f>
        <v>150</v>
      </c>
      <c r="CA152" s="12" t="n">
        <f aca="false">IF(ISERROR(ROUND(MEDIAN(U152:BT152),0)),0,ROUND(MEDIAN(U152:BT152),0))</f>
        <v>180</v>
      </c>
      <c r="CB152" s="12" t="n">
        <f aca="false">IF(ISERROR(ROUND(MEDIAN(BT152),0)),0,ROUND(MEDIAN(BT152),0))</f>
        <v>180</v>
      </c>
      <c r="CC152" s="12" t="n">
        <f aca="false">IF(ISERROR(ROUND(MEDIAN(D152:BT152),0)),0,ROUND(MEDIAN(D152:BT152),0))</f>
        <v>208</v>
      </c>
      <c r="CD152" s="12" t="n">
        <f aca="false">MAX(D152:BT152)</f>
        <v>500</v>
      </c>
      <c r="CE152" s="7" t="n">
        <f aca="false">COUNTA(BQ152:BT152)</f>
        <v>4</v>
      </c>
      <c r="CF152" s="7" t="n">
        <f aca="false">COUNTA(BM152:BT152)</f>
        <v>8</v>
      </c>
      <c r="CG152" s="7" t="n">
        <f aca="false">COUNTA(BI152:BT152)</f>
        <v>12</v>
      </c>
      <c r="CH152" s="7" t="n">
        <f aca="false">COUNTA(BE152:BT152)</f>
        <v>16</v>
      </c>
      <c r="CI152" s="7" t="n">
        <f aca="false">COUNTA(AU152:BT152)</f>
        <v>26</v>
      </c>
      <c r="CJ152" s="7" t="n">
        <f aca="false">COUNTA(U152:BT152)</f>
        <v>52</v>
      </c>
      <c r="CK152" s="7" t="n">
        <f aca="false">COUNTA(BT152)</f>
        <v>1</v>
      </c>
      <c r="CL152" s="7" t="n">
        <f aca="false">COUNTA(D152:BT152)</f>
        <v>69</v>
      </c>
      <c r="CM152" s="13" t="str">
        <f aca="false">IF(AND(CE152=1,CJ152=1,BT152&lt;&gt;""),"5.ENTRANTES",IF(AND(CE152&lt;&gt;0,CE152/RIGHT($CE$1,1)&gt;=0.5,CJ152=CE152),"4.RECENTES",IF(AND(CF152&lt;&gt;0,CF152/RIGHT($CF$1,1)&gt;=0.5,CJ152=CF152),"4.RECENTES",IF(AND(CG152&lt;&gt;0,CG152/RIGHT($CG$1,2)&gt;=0.5,CJ152=CG152),"4.RECENTES",IF(AND(CH152&lt;&gt;0,CH152/RIGHT($CH$1,2)&gt;=0.5,CJ152=CH152),"4.RECENTES",IF(AND(CI152&lt;&gt;0,CI152/RIGHT($CI$1,2)&gt;=0.5,CJ152=CI152),"4.RECENTES",IF(AND(CE152=0,CF152=0,CG152=0,CH152=0),"3.INATIVOS",IF(CJ152/RIGHT($CJ$1,2)&lt;0.5,"2.INTERMITENTES","1.ORDINÁRIOS"))))))))</f>
        <v>1.ORDINÁRIOS</v>
      </c>
      <c r="CN152" s="14" t="n">
        <f aca="false">IF(AND(CE152=1,CJ152=1,BT152&lt;&gt;""),BT152,IF(AND(CE152&lt;&gt;0,CE152/RIGHT($CE$1,1)&gt;=0.5,CJ152=CE152),MAX(BV152:CC152),IF(AND(CF152&lt;&gt;0,CF152/RIGHT($CF$1,1)&gt;=0.5,CJ152=CF152),MAX(BV152:CC152),IF(AND(CG152&lt;&gt;0,CG152/RIGHT($CG$1,2)&gt;=0.5,CJ152=CG152),MAX(BV152:CC152),IF(AND(CH152&lt;&gt;0,CH152/RIGHT($CH$1,2)&gt;=0.5,CJ152=CH152),MAX(BV152:CC152),IF(AND(CI152&lt;&gt;0,CI152/RIGHT($CI$1,2)&gt;=0.5,CJ152=CI152),MAX(BV152:CC152),IF(AND(CE152=0,CF152=0,CG152=0,CH152=0),0,IF(CJ152/RIGHT($CJ$1,2)&lt;0.5,ROUND(BU152/RIGHT($CJ$1,2),0),MAX(BV152:CC152)))))))))</f>
        <v>208</v>
      </c>
      <c r="CO152" s="14" t="n">
        <f aca="false">CN152*3</f>
        <v>624</v>
      </c>
      <c r="CP152" s="15" t="n">
        <v>525</v>
      </c>
      <c r="CQ152" s="16" t="n">
        <f aca="false">IF((CO152-CP152)&lt;0,0,(CO152-CP152))</f>
        <v>99</v>
      </c>
      <c r="CR152" s="7"/>
    </row>
    <row r="153" customFormat="false" ht="12.75" hidden="false" customHeight="true" outlineLevel="0" collapsed="false">
      <c r="A153" s="7" t="s">
        <v>95</v>
      </c>
      <c r="B153" s="7" t="s">
        <v>247</v>
      </c>
      <c r="C153" s="8" t="n">
        <v>1000011</v>
      </c>
      <c r="D153" s="9"/>
      <c r="E153" s="9" t="n">
        <v>80</v>
      </c>
      <c r="F153" s="9" t="n">
        <v>140</v>
      </c>
      <c r="G153" s="9" t="n">
        <v>260</v>
      </c>
      <c r="H153" s="9" t="n">
        <v>120</v>
      </c>
      <c r="I153" s="9" t="n">
        <v>140</v>
      </c>
      <c r="J153" s="9" t="n">
        <v>160</v>
      </c>
      <c r="K153" s="9" t="n">
        <v>280</v>
      </c>
      <c r="L153" s="9" t="n">
        <v>260</v>
      </c>
      <c r="M153" s="9" t="n">
        <v>360</v>
      </c>
      <c r="N153" s="9" t="n">
        <v>200</v>
      </c>
      <c r="O153" s="9" t="n">
        <v>160</v>
      </c>
      <c r="P153" s="9" t="n">
        <v>120</v>
      </c>
      <c r="Q153" s="9"/>
      <c r="R153" s="9"/>
      <c r="S153" s="9"/>
      <c r="T153" s="9"/>
      <c r="U153" s="9"/>
      <c r="V153" s="9" t="n">
        <v>280</v>
      </c>
      <c r="W153" s="9" t="n">
        <v>280</v>
      </c>
      <c r="X153" s="9" t="n">
        <v>360</v>
      </c>
      <c r="Y153" s="9" t="n">
        <v>260</v>
      </c>
      <c r="Z153" s="9" t="n">
        <v>100</v>
      </c>
      <c r="AA153" s="9" t="n">
        <v>380</v>
      </c>
      <c r="AB153" s="9" t="n">
        <v>180</v>
      </c>
      <c r="AC153" s="9" t="n">
        <v>620</v>
      </c>
      <c r="AD153" s="9" t="n">
        <v>140</v>
      </c>
      <c r="AE153" s="9" t="n">
        <v>120</v>
      </c>
      <c r="AF153" s="9" t="n">
        <v>140</v>
      </c>
      <c r="AG153" s="9" t="n">
        <v>180</v>
      </c>
      <c r="AH153" s="9" t="n">
        <v>420</v>
      </c>
      <c r="AI153" s="9" t="n">
        <v>300</v>
      </c>
      <c r="AJ153" s="9" t="n">
        <v>260</v>
      </c>
      <c r="AK153" s="9" t="n">
        <v>180</v>
      </c>
      <c r="AL153" s="9" t="n">
        <v>380</v>
      </c>
      <c r="AM153" s="9" t="n">
        <v>180</v>
      </c>
      <c r="AN153" s="9" t="n">
        <v>400</v>
      </c>
      <c r="AO153" s="9" t="n">
        <v>340</v>
      </c>
      <c r="AP153" s="9" t="n">
        <v>120</v>
      </c>
      <c r="AQ153" s="9" t="n">
        <v>220</v>
      </c>
      <c r="AR153" s="9" t="n">
        <v>380</v>
      </c>
      <c r="AS153" s="9" t="n">
        <v>100</v>
      </c>
      <c r="AT153" s="9" t="n">
        <v>220</v>
      </c>
      <c r="AU153" s="9" t="n">
        <v>190</v>
      </c>
      <c r="AV153" s="9" t="n">
        <v>30</v>
      </c>
      <c r="AW153" s="9"/>
      <c r="AX153" s="9" t="n">
        <v>180</v>
      </c>
      <c r="AY153" s="9" t="n">
        <v>180</v>
      </c>
      <c r="AZ153" s="9" t="n">
        <v>30</v>
      </c>
      <c r="BA153" s="9" t="n">
        <v>90</v>
      </c>
      <c r="BB153" s="9" t="n">
        <v>300</v>
      </c>
      <c r="BC153" s="9" t="n">
        <v>60</v>
      </c>
      <c r="BD153" s="9" t="n">
        <v>80</v>
      </c>
      <c r="BE153" s="9" t="n">
        <v>240</v>
      </c>
      <c r="BF153" s="9" t="n">
        <v>160</v>
      </c>
      <c r="BG153" s="9" t="n">
        <v>140</v>
      </c>
      <c r="BH153" s="9" t="n">
        <v>30</v>
      </c>
      <c r="BI153" s="9" t="n">
        <v>60</v>
      </c>
      <c r="BJ153" s="9" t="n">
        <v>160</v>
      </c>
      <c r="BK153" s="9" t="n">
        <v>170</v>
      </c>
      <c r="BL153" s="9" t="n">
        <v>140</v>
      </c>
      <c r="BM153" s="9" t="n">
        <v>130</v>
      </c>
      <c r="BN153" s="9" t="n">
        <v>60</v>
      </c>
      <c r="BO153" s="9" t="n">
        <v>60</v>
      </c>
      <c r="BP153" s="9" t="n">
        <v>160</v>
      </c>
      <c r="BQ153" s="9" t="n">
        <v>140</v>
      </c>
      <c r="BR153" s="9" t="n">
        <v>140</v>
      </c>
      <c r="BS153" s="9" t="n">
        <v>60</v>
      </c>
      <c r="BT153" s="9" t="n">
        <v>110</v>
      </c>
      <c r="BU153" s="10" t="n">
        <v>11920</v>
      </c>
      <c r="BV153" s="11" t="n">
        <f aca="false">IF(ISERROR(ROUND(MEDIAN(BQ153:BT153),0)),0,ROUND(MEDIAN(BQ153:BT153),0))</f>
        <v>125</v>
      </c>
      <c r="BW153" s="11" t="n">
        <f aca="false">IF(ISERROR(ROUND(MEDIAN(BM153:BT153),0)),0,ROUND(MEDIAN(BM153:BT153),0))</f>
        <v>120</v>
      </c>
      <c r="BX153" s="11" t="n">
        <f aca="false">IF(ISERROR(ROUND(MEDIAN(BI153:BT153),0)),0,ROUND(MEDIAN(BI153:BT153),0))</f>
        <v>135</v>
      </c>
      <c r="BY153" s="11" t="n">
        <f aca="false">IF(ISERROR(ROUND(MEDIAN(BE153:BT153),0)),0,ROUND(MEDIAN(BE153:BT153),0))</f>
        <v>140</v>
      </c>
      <c r="BZ153" s="11" t="n">
        <f aca="false">IF(ISERROR(ROUND(MEDIAN(AU153:BT153),0)),0,ROUND(MEDIAN(AU153:BT153),0))</f>
        <v>140</v>
      </c>
      <c r="CA153" s="12" t="n">
        <f aca="false">IF(ISERROR(ROUND(MEDIAN(U153:BT153),0)),0,ROUND(MEDIAN(U153:BT153),0))</f>
        <v>165</v>
      </c>
      <c r="CB153" s="12" t="n">
        <f aca="false">IF(ISERROR(ROUND(MEDIAN(BT153),0)),0,ROUND(MEDIAN(BT153),0))</f>
        <v>110</v>
      </c>
      <c r="CC153" s="12" t="n">
        <f aca="false">IF(ISERROR(ROUND(MEDIAN(D153:BT153),0)),0,ROUND(MEDIAN(D153:BT153),0))</f>
        <v>160</v>
      </c>
      <c r="CD153" s="12" t="n">
        <f aca="false">MAX(D153:BT153)</f>
        <v>620</v>
      </c>
      <c r="CE153" s="7" t="n">
        <f aca="false">COUNTA(BQ153:BT153)</f>
        <v>4</v>
      </c>
      <c r="CF153" s="7" t="n">
        <f aca="false">COUNTA(BM153:BT153)</f>
        <v>8</v>
      </c>
      <c r="CG153" s="7" t="n">
        <f aca="false">COUNTA(BI153:BT153)</f>
        <v>12</v>
      </c>
      <c r="CH153" s="7" t="n">
        <f aca="false">COUNTA(BE153:BT153)</f>
        <v>16</v>
      </c>
      <c r="CI153" s="7" t="n">
        <f aca="false">COUNTA(AU153:BT153)</f>
        <v>25</v>
      </c>
      <c r="CJ153" s="7" t="n">
        <f aca="false">COUNTA(U153:BT153)</f>
        <v>50</v>
      </c>
      <c r="CK153" s="7" t="n">
        <f aca="false">COUNTA(BT153)</f>
        <v>1</v>
      </c>
      <c r="CL153" s="7" t="n">
        <f aca="false">COUNTA(D153:BT153)</f>
        <v>62</v>
      </c>
      <c r="CM153" s="13" t="str">
        <f aca="false">IF(AND(CE153=1,CJ153=1,BT153&lt;&gt;""),"5.ENTRANTES",IF(AND(CE153&lt;&gt;0,CE153/RIGHT($CE$1,1)&gt;=0.5,CJ153=CE153),"4.RECENTES",IF(AND(CF153&lt;&gt;0,CF153/RIGHT($CF$1,1)&gt;=0.5,CJ153=CF153),"4.RECENTES",IF(AND(CG153&lt;&gt;0,CG153/RIGHT($CG$1,2)&gt;=0.5,CJ153=CG153),"4.RECENTES",IF(AND(CH153&lt;&gt;0,CH153/RIGHT($CH$1,2)&gt;=0.5,CJ153=CH153),"4.RECENTES",IF(AND(CI153&lt;&gt;0,CI153/RIGHT($CI$1,2)&gt;=0.5,CJ153=CI153),"4.RECENTES",IF(AND(CE153=0,CF153=0,CG153=0,CH153=0),"3.INATIVOS",IF(CJ153/RIGHT($CJ$1,2)&lt;0.5,"2.INTERMITENTES","1.ORDINÁRIOS"))))))))</f>
        <v>1.ORDINÁRIOS</v>
      </c>
      <c r="CN153" s="14" t="n">
        <f aca="false">IF(AND(CE153=1,CJ153=1,BT153&lt;&gt;""),BT153,IF(AND(CE153&lt;&gt;0,CE153/RIGHT($CE$1,1)&gt;=0.5,CJ153=CE153),MAX(BV153:CC153),IF(AND(CF153&lt;&gt;0,CF153/RIGHT($CF$1,1)&gt;=0.5,CJ153=CF153),MAX(BV153:CC153),IF(AND(CG153&lt;&gt;0,CG153/RIGHT($CG$1,2)&gt;=0.5,CJ153=CG153),MAX(BV153:CC153),IF(AND(CH153&lt;&gt;0,CH153/RIGHT($CH$1,2)&gt;=0.5,CJ153=CH153),MAX(BV153:CC153),IF(AND(CI153&lt;&gt;0,CI153/RIGHT($CI$1,2)&gt;=0.5,CJ153=CI153),MAX(BV153:CC153),IF(AND(CE153=0,CF153=0,CG153=0,CH153=0),0,IF(CJ153/RIGHT($CJ$1,2)&lt;0.5,ROUND(BU153/RIGHT($CJ$1,2),0),MAX(BV153:CC153)))))))))</f>
        <v>165</v>
      </c>
      <c r="CO153" s="14" t="n">
        <f aca="false">CN153*3</f>
        <v>495</v>
      </c>
      <c r="CP153" s="15" t="n">
        <v>550</v>
      </c>
      <c r="CQ153" s="16" t="n">
        <f aca="false">IF((CO153-CP153)&lt;0,0,(CO153-CP153))</f>
        <v>0</v>
      </c>
      <c r="CR153" s="7"/>
    </row>
    <row r="154" customFormat="false" ht="12.75" hidden="false" customHeight="true" outlineLevel="0" collapsed="false">
      <c r="A154" s="7" t="s">
        <v>95</v>
      </c>
      <c r="B154" s="7" t="s">
        <v>248</v>
      </c>
      <c r="C154" s="8" t="n">
        <v>2000099</v>
      </c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 t="n">
        <v>1</v>
      </c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10" t="n">
        <v>1</v>
      </c>
      <c r="BV154" s="11" t="n">
        <f aca="false">IF(ISERROR(ROUND(MEDIAN(BQ154:BT154),0)),0,ROUND(MEDIAN(BQ154:BT154),0))</f>
        <v>0</v>
      </c>
      <c r="BW154" s="11" t="n">
        <f aca="false">IF(ISERROR(ROUND(MEDIAN(BM154:BT154),0)),0,ROUND(MEDIAN(BM154:BT154),0))</f>
        <v>0</v>
      </c>
      <c r="BX154" s="11" t="n">
        <f aca="false">IF(ISERROR(ROUND(MEDIAN(BI154:BT154),0)),0,ROUND(MEDIAN(BI154:BT154),0))</f>
        <v>0</v>
      </c>
      <c r="BY154" s="11" t="n">
        <f aca="false">IF(ISERROR(ROUND(MEDIAN(BE154:BT154),0)),0,ROUND(MEDIAN(BE154:BT154),0))</f>
        <v>0</v>
      </c>
      <c r="BZ154" s="11" t="n">
        <f aca="false">IF(ISERROR(ROUND(MEDIAN(AU154:BT154),0)),0,ROUND(MEDIAN(AU154:BT154),0))</f>
        <v>0</v>
      </c>
      <c r="CA154" s="12" t="n">
        <f aca="false">IF(ISERROR(ROUND(MEDIAN(U154:BT154),0)),0,ROUND(MEDIAN(U154:BT154),0))</f>
        <v>1</v>
      </c>
      <c r="CB154" s="12" t="n">
        <f aca="false">IF(ISERROR(ROUND(MEDIAN(BT154),0)),0,ROUND(MEDIAN(BT154),0))</f>
        <v>0</v>
      </c>
      <c r="CC154" s="12" t="n">
        <f aca="false">IF(ISERROR(ROUND(MEDIAN(D154:BT154),0)),0,ROUND(MEDIAN(D154:BT154),0))</f>
        <v>1</v>
      </c>
      <c r="CD154" s="12" t="n">
        <f aca="false">MAX(D154:BT154)</f>
        <v>1</v>
      </c>
      <c r="CE154" s="7" t="n">
        <f aca="false">COUNTA(BQ154:BT154)</f>
        <v>0</v>
      </c>
      <c r="CF154" s="7" t="n">
        <f aca="false">COUNTA(BM154:BT154)</f>
        <v>0</v>
      </c>
      <c r="CG154" s="7" t="n">
        <f aca="false">COUNTA(BI154:BT154)</f>
        <v>0</v>
      </c>
      <c r="CH154" s="7" t="n">
        <f aca="false">COUNTA(BE154:BT154)</f>
        <v>0</v>
      </c>
      <c r="CI154" s="7" t="n">
        <f aca="false">COUNTA(AU154:BT154)</f>
        <v>0</v>
      </c>
      <c r="CJ154" s="7" t="n">
        <f aca="false">COUNTA(U154:BT154)</f>
        <v>1</v>
      </c>
      <c r="CK154" s="7" t="n">
        <f aca="false">COUNTA(BT154)</f>
        <v>0</v>
      </c>
      <c r="CL154" s="7" t="n">
        <f aca="false">COUNTA(D154:BT154)</f>
        <v>1</v>
      </c>
      <c r="CM154" s="19" t="str">
        <f aca="false">IF(AND(CE154=1,CJ154=1,BT154&lt;&gt;""),"5.ENTRANTES",IF(AND(CE154&lt;&gt;0,CE154/RIGHT($CE$1,1)&gt;=0.5,CJ154=CE154),"4.RECENTES",IF(AND(CF154&lt;&gt;0,CF154/RIGHT($CF$1,1)&gt;=0.5,CJ154=CF154),"4.RECENTES",IF(AND(CG154&lt;&gt;0,CG154/RIGHT($CG$1,2)&gt;=0.5,CJ154=CG154),"4.RECENTES",IF(AND(CH154&lt;&gt;0,CH154/RIGHT($CH$1,2)&gt;=0.5,CJ154=CH154),"4.RECENTES",IF(AND(CI154&lt;&gt;0,CI154/RIGHT($CI$1,2)&gt;=0.5,CJ154=CI154),"4.RECENTES",IF(AND(CE154=0,CF154=0,CG154=0,CH154=0),"3.INATIVOS",IF(CJ154/RIGHT($CJ$1,2)&lt;0.5,"2.INTERMITENTES","1.ORDINÁRIOS"))))))))</f>
        <v>3.INATIVOS</v>
      </c>
      <c r="CN154" s="20" t="n">
        <f aca="false">IF(AND(CE154=1,CJ154=1,BT154&lt;&gt;""),BT154,IF(AND(CE154&lt;&gt;0,CE154/RIGHT($CE$1,1)&gt;=0.5,CJ154=CE154),MAX(BV154:CC154),IF(AND(CF154&lt;&gt;0,CF154/RIGHT($CF$1,1)&gt;=0.5,CJ154=CF154),MAX(BV154:CC154),IF(AND(CG154&lt;&gt;0,CG154/RIGHT($CG$1,2)&gt;=0.5,CJ154=CG154),MAX(BV154:CC154),IF(AND(CH154&lt;&gt;0,CH154/RIGHT($CH$1,2)&gt;=0.5,CJ154=CH154),MAX(BV154:CC154),IF(AND(CI154&lt;&gt;0,CI154/RIGHT($CI$1,2)&gt;=0.5,CJ154=CI154),MAX(BV154:CC154),IF(AND(CE154=0,CF154=0,CG154=0,CH154=0),0,IF(CJ154/RIGHT($CJ$1,2)&lt;0.5,ROUND(BU154/RIGHT($CJ$1,2),0),MAX(BV154:CC154)))))))))</f>
        <v>0</v>
      </c>
      <c r="CO154" s="20" t="n">
        <f aca="false">CN154*3</f>
        <v>0</v>
      </c>
      <c r="CP154" s="15" t="n">
        <v>0</v>
      </c>
      <c r="CQ154" s="16" t="n">
        <f aca="false">IF((CO154-CP154)&lt;0,0,(CO154-CP154))</f>
        <v>0</v>
      </c>
      <c r="CR154" s="7"/>
    </row>
    <row r="155" customFormat="false" ht="12.75" hidden="false" customHeight="true" outlineLevel="0" collapsed="false">
      <c r="A155" s="7" t="s">
        <v>95</v>
      </c>
      <c r="B155" s="7" t="s">
        <v>249</v>
      </c>
      <c r="C155" s="8" t="n">
        <v>2000033</v>
      </c>
      <c r="D155" s="9" t="n">
        <v>8</v>
      </c>
      <c r="E155" s="9" t="n">
        <v>77</v>
      </c>
      <c r="F155" s="9" t="n">
        <v>110</v>
      </c>
      <c r="G155" s="9" t="n">
        <v>69</v>
      </c>
      <c r="H155" s="9" t="n">
        <v>24</v>
      </c>
      <c r="I155" s="9" t="n">
        <v>60</v>
      </c>
      <c r="J155" s="9" t="n">
        <v>59</v>
      </c>
      <c r="K155" s="9" t="n">
        <v>56</v>
      </c>
      <c r="L155" s="9" t="n">
        <v>95</v>
      </c>
      <c r="M155" s="9" t="n">
        <v>143</v>
      </c>
      <c r="N155" s="9" t="n">
        <v>87</v>
      </c>
      <c r="O155" s="9" t="n">
        <v>101</v>
      </c>
      <c r="P155" s="9" t="n">
        <v>171</v>
      </c>
      <c r="Q155" s="9" t="n">
        <v>125</v>
      </c>
      <c r="R155" s="9" t="n">
        <v>198</v>
      </c>
      <c r="S155" s="9" t="n">
        <v>165</v>
      </c>
      <c r="T155" s="9" t="n">
        <v>341</v>
      </c>
      <c r="U155" s="9" t="n">
        <v>204</v>
      </c>
      <c r="V155" s="9" t="n">
        <v>177</v>
      </c>
      <c r="W155" s="9" t="n">
        <v>252</v>
      </c>
      <c r="X155" s="9" t="n">
        <v>321</v>
      </c>
      <c r="Y155" s="9" t="n">
        <v>172</v>
      </c>
      <c r="Z155" s="9" t="n">
        <v>125</v>
      </c>
      <c r="AA155" s="9" t="n">
        <v>209</v>
      </c>
      <c r="AB155" s="9" t="n">
        <v>234</v>
      </c>
      <c r="AC155" s="9" t="n">
        <v>269</v>
      </c>
      <c r="AD155" s="9" t="n">
        <v>204</v>
      </c>
      <c r="AE155" s="9" t="n">
        <v>310</v>
      </c>
      <c r="AF155" s="9" t="n">
        <v>178</v>
      </c>
      <c r="AG155" s="9" t="n">
        <v>317</v>
      </c>
      <c r="AH155" s="9" t="n">
        <v>267</v>
      </c>
      <c r="AI155" s="9" t="n">
        <v>209</v>
      </c>
      <c r="AJ155" s="9" t="n">
        <v>271</v>
      </c>
      <c r="AK155" s="9" t="n">
        <v>210</v>
      </c>
      <c r="AL155" s="9" t="n">
        <v>384</v>
      </c>
      <c r="AM155" s="9" t="n">
        <v>436</v>
      </c>
      <c r="AN155" s="9" t="n">
        <v>250</v>
      </c>
      <c r="AO155" s="9" t="n">
        <v>111</v>
      </c>
      <c r="AP155" s="9" t="n">
        <v>151</v>
      </c>
      <c r="AQ155" s="9" t="n">
        <v>118</v>
      </c>
      <c r="AR155" s="9" t="n">
        <v>301</v>
      </c>
      <c r="AS155" s="9" t="n">
        <v>90</v>
      </c>
      <c r="AT155" s="9" t="n">
        <v>65</v>
      </c>
      <c r="AU155" s="9" t="n">
        <v>44</v>
      </c>
      <c r="AV155" s="9" t="n">
        <v>66</v>
      </c>
      <c r="AW155" s="9" t="n">
        <v>52</v>
      </c>
      <c r="AX155" s="9" t="n">
        <v>57</v>
      </c>
      <c r="AY155" s="9" t="n">
        <v>58</v>
      </c>
      <c r="AZ155" s="9" t="n">
        <v>85</v>
      </c>
      <c r="BA155" s="9" t="n">
        <v>113</v>
      </c>
      <c r="BB155" s="9" t="n">
        <v>71</v>
      </c>
      <c r="BC155" s="9" t="n">
        <v>131</v>
      </c>
      <c r="BD155" s="9" t="n">
        <v>175</v>
      </c>
      <c r="BE155" s="9" t="n">
        <v>70</v>
      </c>
      <c r="BF155" s="9" t="n">
        <v>121</v>
      </c>
      <c r="BG155" s="9" t="n">
        <v>121</v>
      </c>
      <c r="BH155" s="9" t="n">
        <v>77</v>
      </c>
      <c r="BI155" s="9" t="n">
        <v>69</v>
      </c>
      <c r="BJ155" s="9" t="n">
        <v>87</v>
      </c>
      <c r="BK155" s="9" t="n">
        <v>73</v>
      </c>
      <c r="BL155" s="9" t="n">
        <v>96</v>
      </c>
      <c r="BM155" s="9" t="n">
        <v>93</v>
      </c>
      <c r="BN155" s="9" t="n">
        <v>124</v>
      </c>
      <c r="BO155" s="9" t="n">
        <v>103</v>
      </c>
      <c r="BP155" s="9" t="n">
        <v>107</v>
      </c>
      <c r="BQ155" s="9" t="n">
        <v>94</v>
      </c>
      <c r="BR155" s="9" t="n">
        <v>157</v>
      </c>
      <c r="BS155" s="9" t="n">
        <v>35</v>
      </c>
      <c r="BT155" s="9" t="n">
        <v>69</v>
      </c>
      <c r="BU155" s="10" t="n">
        <v>10072</v>
      </c>
      <c r="BV155" s="11" t="n">
        <f aca="false">IF(ISERROR(ROUND(MEDIAN(BQ155:BT155),0)),0,ROUND(MEDIAN(BQ155:BT155),0))</f>
        <v>82</v>
      </c>
      <c r="BW155" s="11" t="n">
        <f aca="false">IF(ISERROR(ROUND(MEDIAN(BM155:BT155),0)),0,ROUND(MEDIAN(BM155:BT155),0))</f>
        <v>99</v>
      </c>
      <c r="BX155" s="11" t="n">
        <f aca="false">IF(ISERROR(ROUND(MEDIAN(BI155:BT155),0)),0,ROUND(MEDIAN(BI155:BT155),0))</f>
        <v>94</v>
      </c>
      <c r="BY155" s="11" t="n">
        <f aca="false">IF(ISERROR(ROUND(MEDIAN(BE155:BT155),0)),0,ROUND(MEDIAN(BE155:BT155),0))</f>
        <v>94</v>
      </c>
      <c r="BZ155" s="11" t="n">
        <f aca="false">IF(ISERROR(ROUND(MEDIAN(AU155:BT155),0)),0,ROUND(MEDIAN(AU155:BT155),0))</f>
        <v>86</v>
      </c>
      <c r="CA155" s="12" t="n">
        <f aca="false">IF(ISERROR(ROUND(MEDIAN(U155:BT155),0)),0,ROUND(MEDIAN(U155:BT155),0))</f>
        <v>123</v>
      </c>
      <c r="CB155" s="12" t="n">
        <f aca="false">IF(ISERROR(ROUND(MEDIAN(BT155),0)),0,ROUND(MEDIAN(BT155),0))</f>
        <v>69</v>
      </c>
      <c r="CC155" s="12" t="n">
        <f aca="false">IF(ISERROR(ROUND(MEDIAN(D155:BT155),0)),0,ROUND(MEDIAN(D155:BT155),0))</f>
        <v>118</v>
      </c>
      <c r="CD155" s="12" t="n">
        <f aca="false">MAX(D155:BT155)</f>
        <v>436</v>
      </c>
      <c r="CE155" s="7" t="n">
        <f aca="false">COUNTA(BQ155:BT155)</f>
        <v>4</v>
      </c>
      <c r="CF155" s="7" t="n">
        <f aca="false">COUNTA(BM155:BT155)</f>
        <v>8</v>
      </c>
      <c r="CG155" s="7" t="n">
        <f aca="false">COUNTA(BI155:BT155)</f>
        <v>12</v>
      </c>
      <c r="CH155" s="7" t="n">
        <f aca="false">COUNTA(BE155:BT155)</f>
        <v>16</v>
      </c>
      <c r="CI155" s="7" t="n">
        <f aca="false">COUNTA(AU155:BT155)</f>
        <v>26</v>
      </c>
      <c r="CJ155" s="7" t="n">
        <f aca="false">COUNTA(U155:BT155)</f>
        <v>52</v>
      </c>
      <c r="CK155" s="7" t="n">
        <f aca="false">COUNTA(BT155)</f>
        <v>1</v>
      </c>
      <c r="CL155" s="7" t="n">
        <f aca="false">COUNTA(D155:BT155)</f>
        <v>69</v>
      </c>
      <c r="CM155" s="13" t="str">
        <f aca="false">IF(AND(CE155=1,CJ155=1,BT155&lt;&gt;""),"5.ENTRANTES",IF(AND(CE155&lt;&gt;0,CE155/RIGHT($CE$1,1)&gt;=0.5,CJ155=CE155),"4.RECENTES",IF(AND(CF155&lt;&gt;0,CF155/RIGHT($CF$1,1)&gt;=0.5,CJ155=CF155),"4.RECENTES",IF(AND(CG155&lt;&gt;0,CG155/RIGHT($CG$1,2)&gt;=0.5,CJ155=CG155),"4.RECENTES",IF(AND(CH155&lt;&gt;0,CH155/RIGHT($CH$1,2)&gt;=0.5,CJ155=CH155),"4.RECENTES",IF(AND(CI155&lt;&gt;0,CI155/RIGHT($CI$1,2)&gt;=0.5,CJ155=CI155),"4.RECENTES",IF(AND(CE155=0,CF155=0,CG155=0,CH155=0),"3.INATIVOS",IF(CJ155/RIGHT($CJ$1,2)&lt;0.5,"2.INTERMITENTES","1.ORDINÁRIOS"))))))))</f>
        <v>1.ORDINÁRIOS</v>
      </c>
      <c r="CN155" s="14" t="n">
        <f aca="false">IF(AND(CE155=1,CJ155=1,BT155&lt;&gt;""),BT155,IF(AND(CE155&lt;&gt;0,CE155/RIGHT($CE$1,1)&gt;=0.5,CJ155=CE155),MAX(BV155:CC155),IF(AND(CF155&lt;&gt;0,CF155/RIGHT($CF$1,1)&gt;=0.5,CJ155=CF155),MAX(BV155:CC155),IF(AND(CG155&lt;&gt;0,CG155/RIGHT($CG$1,2)&gt;=0.5,CJ155=CG155),MAX(BV155:CC155),IF(AND(CH155&lt;&gt;0,CH155/RIGHT($CH$1,2)&gt;=0.5,CJ155=CH155),MAX(BV155:CC155),IF(AND(CI155&lt;&gt;0,CI155/RIGHT($CI$1,2)&gt;=0.5,CJ155=CI155),MAX(BV155:CC155),IF(AND(CE155=0,CF155=0,CG155=0,CH155=0),0,IF(CJ155/RIGHT($CJ$1,2)&lt;0.5,ROUND(BU155/RIGHT($CJ$1,2),0),MAX(BV155:CC155)))))))))</f>
        <v>123</v>
      </c>
      <c r="CO155" s="14" t="n">
        <f aca="false">CN155*3</f>
        <v>369</v>
      </c>
      <c r="CP155" s="15" t="n">
        <v>315</v>
      </c>
      <c r="CQ155" s="16" t="n">
        <f aca="false">IF((CO155-CP155)&lt;0,0,(CO155-CP155))</f>
        <v>54</v>
      </c>
      <c r="CR155" s="7"/>
    </row>
    <row r="156" customFormat="false" ht="12.75" hidden="false" customHeight="true" outlineLevel="0" collapsed="false">
      <c r="A156" s="7" t="s">
        <v>95</v>
      </c>
      <c r="B156" s="7" t="s">
        <v>250</v>
      </c>
      <c r="C156" s="8" t="n">
        <v>7000002</v>
      </c>
      <c r="D156" s="9" t="n">
        <v>1</v>
      </c>
      <c r="E156" s="9" t="n">
        <v>2</v>
      </c>
      <c r="F156" s="9" t="n">
        <v>7</v>
      </c>
      <c r="G156" s="9" t="n">
        <v>8</v>
      </c>
      <c r="H156" s="9" t="n">
        <v>8</v>
      </c>
      <c r="I156" s="9" t="n">
        <v>6</v>
      </c>
      <c r="J156" s="9" t="n">
        <v>6</v>
      </c>
      <c r="K156" s="9"/>
      <c r="L156" s="9" t="n">
        <v>7</v>
      </c>
      <c r="M156" s="9" t="n">
        <v>11</v>
      </c>
      <c r="N156" s="9" t="n">
        <v>7</v>
      </c>
      <c r="O156" s="9" t="n">
        <v>8</v>
      </c>
      <c r="P156" s="9" t="n">
        <v>7</v>
      </c>
      <c r="Q156" s="9" t="n">
        <v>4</v>
      </c>
      <c r="R156" s="9" t="n">
        <v>9</v>
      </c>
      <c r="S156" s="9" t="n">
        <v>5</v>
      </c>
      <c r="T156" s="9" t="n">
        <v>5</v>
      </c>
      <c r="U156" s="9" t="n">
        <v>9</v>
      </c>
      <c r="V156" s="9" t="n">
        <v>10</v>
      </c>
      <c r="W156" s="9" t="n">
        <v>2</v>
      </c>
      <c r="X156" s="9" t="n">
        <v>6</v>
      </c>
      <c r="Y156" s="9" t="n">
        <v>3</v>
      </c>
      <c r="Z156" s="9" t="n">
        <v>9</v>
      </c>
      <c r="AA156" s="9" t="n">
        <v>6</v>
      </c>
      <c r="AB156" s="9" t="n">
        <v>6</v>
      </c>
      <c r="AC156" s="9" t="n">
        <v>9</v>
      </c>
      <c r="AD156" s="9" t="n">
        <v>7</v>
      </c>
      <c r="AE156" s="9" t="n">
        <v>9</v>
      </c>
      <c r="AF156" s="9" t="n">
        <v>5</v>
      </c>
      <c r="AG156" s="9" t="n">
        <v>17</v>
      </c>
      <c r="AH156" s="9" t="n">
        <v>7</v>
      </c>
      <c r="AI156" s="9" t="n">
        <v>17</v>
      </c>
      <c r="AJ156" s="9" t="n">
        <v>17</v>
      </c>
      <c r="AK156" s="9" t="n">
        <v>10</v>
      </c>
      <c r="AL156" s="9" t="n">
        <v>11</v>
      </c>
      <c r="AM156" s="9" t="n">
        <v>9</v>
      </c>
      <c r="AN156" s="9" t="n">
        <v>9</v>
      </c>
      <c r="AO156" s="9" t="n">
        <v>9</v>
      </c>
      <c r="AP156" s="9" t="n">
        <v>18</v>
      </c>
      <c r="AQ156" s="9" t="n">
        <v>10</v>
      </c>
      <c r="AR156" s="9" t="n">
        <v>15</v>
      </c>
      <c r="AS156" s="9" t="n">
        <v>11</v>
      </c>
      <c r="AT156" s="9" t="n">
        <v>9</v>
      </c>
      <c r="AU156" s="9" t="n">
        <v>5</v>
      </c>
      <c r="AV156" s="9" t="n">
        <v>9</v>
      </c>
      <c r="AW156" s="9" t="n">
        <v>8</v>
      </c>
      <c r="AX156" s="9" t="n">
        <v>2</v>
      </c>
      <c r="AY156" s="9" t="n">
        <v>7</v>
      </c>
      <c r="AZ156" s="9" t="n">
        <v>5</v>
      </c>
      <c r="BA156" s="9" t="n">
        <v>10</v>
      </c>
      <c r="BB156" s="9" t="n">
        <v>12</v>
      </c>
      <c r="BC156" s="9" t="n">
        <v>13</v>
      </c>
      <c r="BD156" s="9" t="n">
        <v>7</v>
      </c>
      <c r="BE156" s="9" t="n">
        <v>10</v>
      </c>
      <c r="BF156" s="9" t="n">
        <v>6</v>
      </c>
      <c r="BG156" s="9" t="n">
        <v>9</v>
      </c>
      <c r="BH156" s="9" t="n">
        <v>5</v>
      </c>
      <c r="BI156" s="9" t="n">
        <v>7</v>
      </c>
      <c r="BJ156" s="9" t="n">
        <v>1</v>
      </c>
      <c r="BK156" s="9" t="n">
        <v>11</v>
      </c>
      <c r="BL156" s="9" t="n">
        <v>7</v>
      </c>
      <c r="BM156" s="9" t="n">
        <v>8</v>
      </c>
      <c r="BN156" s="9" t="n">
        <v>4</v>
      </c>
      <c r="BO156" s="9" t="n">
        <v>10</v>
      </c>
      <c r="BP156" s="9" t="n">
        <v>11</v>
      </c>
      <c r="BQ156" s="9" t="n">
        <v>7</v>
      </c>
      <c r="BR156" s="9" t="n">
        <v>9</v>
      </c>
      <c r="BS156" s="9" t="n">
        <v>8</v>
      </c>
      <c r="BT156" s="9" t="n">
        <v>8</v>
      </c>
      <c r="BU156" s="10" t="n">
        <v>550</v>
      </c>
      <c r="BV156" s="11" t="n">
        <f aca="false">IF(ISERROR(ROUND(MEDIAN(BQ156:BT156),0)),0,ROUND(MEDIAN(BQ156:BT156),0))</f>
        <v>8</v>
      </c>
      <c r="BW156" s="11" t="n">
        <f aca="false">IF(ISERROR(ROUND(MEDIAN(BM156:BT156),0)),0,ROUND(MEDIAN(BM156:BT156),0))</f>
        <v>8</v>
      </c>
      <c r="BX156" s="11" t="n">
        <f aca="false">IF(ISERROR(ROUND(MEDIAN(BI156:BT156),0)),0,ROUND(MEDIAN(BI156:BT156),0))</f>
        <v>8</v>
      </c>
      <c r="BY156" s="11" t="n">
        <f aca="false">IF(ISERROR(ROUND(MEDIAN(BE156:BT156),0)),0,ROUND(MEDIAN(BE156:BT156),0))</f>
        <v>8</v>
      </c>
      <c r="BZ156" s="11" t="n">
        <f aca="false">IF(ISERROR(ROUND(MEDIAN(AU156:BT156),0)),0,ROUND(MEDIAN(AU156:BT156),0))</f>
        <v>8</v>
      </c>
      <c r="CA156" s="12" t="n">
        <f aca="false">IF(ISERROR(ROUND(MEDIAN(U156:BT156),0)),0,ROUND(MEDIAN(U156:BT156),0))</f>
        <v>9</v>
      </c>
      <c r="CB156" s="12" t="n">
        <f aca="false">IF(ISERROR(ROUND(MEDIAN(BT156),0)),0,ROUND(MEDIAN(BT156),0))</f>
        <v>8</v>
      </c>
      <c r="CC156" s="12" t="n">
        <f aca="false">IF(ISERROR(ROUND(MEDIAN(D156:BT156),0)),0,ROUND(MEDIAN(D156:BT156),0))</f>
        <v>8</v>
      </c>
      <c r="CD156" s="12" t="n">
        <f aca="false">MAX(D156:BT156)</f>
        <v>18</v>
      </c>
      <c r="CE156" s="7" t="n">
        <f aca="false">COUNTA(BQ156:BT156)</f>
        <v>4</v>
      </c>
      <c r="CF156" s="7" t="n">
        <f aca="false">COUNTA(BM156:BT156)</f>
        <v>8</v>
      </c>
      <c r="CG156" s="7" t="n">
        <f aca="false">COUNTA(BI156:BT156)</f>
        <v>12</v>
      </c>
      <c r="CH156" s="7" t="n">
        <f aca="false">COUNTA(BE156:BT156)</f>
        <v>16</v>
      </c>
      <c r="CI156" s="7" t="n">
        <f aca="false">COUNTA(AU156:BT156)</f>
        <v>26</v>
      </c>
      <c r="CJ156" s="7" t="n">
        <f aca="false">COUNTA(U156:BT156)</f>
        <v>52</v>
      </c>
      <c r="CK156" s="7" t="n">
        <f aca="false">COUNTA(BT156)</f>
        <v>1</v>
      </c>
      <c r="CL156" s="7" t="n">
        <f aca="false">COUNTA(D156:BT156)</f>
        <v>68</v>
      </c>
      <c r="CM156" s="13" t="str">
        <f aca="false">IF(AND(CE156=1,CJ156=1,BT156&lt;&gt;""),"5.ENTRANTES",IF(AND(CE156&lt;&gt;0,CE156/RIGHT($CE$1,1)&gt;=0.5,CJ156=CE156),"4.RECENTES",IF(AND(CF156&lt;&gt;0,CF156/RIGHT($CF$1,1)&gt;=0.5,CJ156=CF156),"4.RECENTES",IF(AND(CG156&lt;&gt;0,CG156/RIGHT($CG$1,2)&gt;=0.5,CJ156=CG156),"4.RECENTES",IF(AND(CH156&lt;&gt;0,CH156/RIGHT($CH$1,2)&gt;=0.5,CJ156=CH156),"4.RECENTES",IF(AND(CI156&lt;&gt;0,CI156/RIGHT($CI$1,2)&gt;=0.5,CJ156=CI156),"4.RECENTES",IF(AND(CE156=0,CF156=0,CG156=0,CH156=0),"3.INATIVOS",IF(CJ156/RIGHT($CJ$1,2)&lt;0.5,"2.INTERMITENTES","1.ORDINÁRIOS"))))))))</f>
        <v>1.ORDINÁRIOS</v>
      </c>
      <c r="CN156" s="14" t="n">
        <f aca="false">IF(AND(CE156=1,CJ156=1,BT156&lt;&gt;""),BT156,IF(AND(CE156&lt;&gt;0,CE156/RIGHT($CE$1,1)&gt;=0.5,CJ156=CE156),MAX(BV156:CC156),IF(AND(CF156&lt;&gt;0,CF156/RIGHT($CF$1,1)&gt;=0.5,CJ156=CF156),MAX(BV156:CC156),IF(AND(CG156&lt;&gt;0,CG156/RIGHT($CG$1,2)&gt;=0.5,CJ156=CG156),MAX(BV156:CC156),IF(AND(CH156&lt;&gt;0,CH156/RIGHT($CH$1,2)&gt;=0.5,CJ156=CH156),MAX(BV156:CC156),IF(AND(CI156&lt;&gt;0,CI156/RIGHT($CI$1,2)&gt;=0.5,CJ156=CI156),MAX(BV156:CC156),IF(AND(CE156=0,CF156=0,CG156=0,CH156=0),0,IF(CJ156/RIGHT($CJ$1,2)&lt;0.5,ROUND(BU156/RIGHT($CJ$1,2),0),MAX(BV156:CC156)))))))))</f>
        <v>9</v>
      </c>
      <c r="CO156" s="14" t="n">
        <f aca="false">CN156*3</f>
        <v>27</v>
      </c>
      <c r="CP156" s="15" t="n">
        <v>24</v>
      </c>
      <c r="CQ156" s="16" t="n">
        <f aca="false">IF((CO156-CP156)&lt;0,0,(CO156-CP156))</f>
        <v>3</v>
      </c>
      <c r="CR156" s="7"/>
    </row>
    <row r="157" customFormat="false" ht="12.75" hidden="false" customHeight="true" outlineLevel="0" collapsed="false">
      <c r="A157" s="7" t="s">
        <v>95</v>
      </c>
      <c r="B157" s="7" t="s">
        <v>251</v>
      </c>
      <c r="C157" s="8" t="n">
        <v>5000033</v>
      </c>
      <c r="D157" s="9" t="n">
        <v>330</v>
      </c>
      <c r="E157" s="9" t="n">
        <v>2670</v>
      </c>
      <c r="F157" s="9" t="n">
        <v>2490</v>
      </c>
      <c r="G157" s="9" t="n">
        <v>2260</v>
      </c>
      <c r="H157" s="9" t="n">
        <v>1260</v>
      </c>
      <c r="I157" s="9" t="n">
        <v>2550</v>
      </c>
      <c r="J157" s="9" t="n">
        <v>2941</v>
      </c>
      <c r="K157" s="9" t="n">
        <v>1860</v>
      </c>
      <c r="L157" s="9" t="n">
        <v>2610</v>
      </c>
      <c r="M157" s="9" t="n">
        <v>1830</v>
      </c>
      <c r="N157" s="9" t="n">
        <v>2280</v>
      </c>
      <c r="O157" s="9" t="n">
        <v>1680</v>
      </c>
      <c r="P157" s="9" t="n">
        <v>3210</v>
      </c>
      <c r="Q157" s="9" t="n">
        <v>2550</v>
      </c>
      <c r="R157" s="9" t="n">
        <v>2490</v>
      </c>
      <c r="S157" s="9" t="n">
        <v>1950</v>
      </c>
      <c r="T157" s="9" t="n">
        <v>1650</v>
      </c>
      <c r="U157" s="9" t="n">
        <v>2440</v>
      </c>
      <c r="V157" s="9" t="n">
        <v>2190</v>
      </c>
      <c r="W157" s="9" t="n">
        <v>2700</v>
      </c>
      <c r="X157" s="9" t="n">
        <v>1680</v>
      </c>
      <c r="Y157" s="9" t="n">
        <v>2220</v>
      </c>
      <c r="Z157" s="9" t="n">
        <v>1870</v>
      </c>
      <c r="AA157" s="9" t="n">
        <v>2820</v>
      </c>
      <c r="AB157" s="9" t="n">
        <v>2190</v>
      </c>
      <c r="AC157" s="9" t="n">
        <v>2010</v>
      </c>
      <c r="AD157" s="9" t="n">
        <v>2850</v>
      </c>
      <c r="AE157" s="9" t="n">
        <v>2040</v>
      </c>
      <c r="AF157" s="9" t="n">
        <v>1646</v>
      </c>
      <c r="AG157" s="9" t="n">
        <v>3090</v>
      </c>
      <c r="AH157" s="9" t="n">
        <v>2640</v>
      </c>
      <c r="AI157" s="9" t="n">
        <v>2072</v>
      </c>
      <c r="AJ157" s="9" t="n">
        <v>3348</v>
      </c>
      <c r="AK157" s="9" t="n">
        <v>1752</v>
      </c>
      <c r="AL157" s="9" t="n">
        <v>3220</v>
      </c>
      <c r="AM157" s="9" t="n">
        <v>2550</v>
      </c>
      <c r="AN157" s="9" t="n">
        <v>2760</v>
      </c>
      <c r="AO157" s="9" t="n">
        <v>1560</v>
      </c>
      <c r="AP157" s="9" t="n">
        <v>3000</v>
      </c>
      <c r="AQ157" s="9" t="n">
        <v>1830</v>
      </c>
      <c r="AR157" s="9" t="n">
        <v>2670</v>
      </c>
      <c r="AS157" s="9" t="n">
        <v>2870</v>
      </c>
      <c r="AT157" s="9" t="n">
        <v>2370</v>
      </c>
      <c r="AU157" s="9" t="n">
        <v>1840</v>
      </c>
      <c r="AV157" s="9" t="n">
        <v>1460</v>
      </c>
      <c r="AW157" s="9" t="n">
        <v>2020</v>
      </c>
      <c r="AX157" s="9" t="n">
        <v>2370</v>
      </c>
      <c r="AY157" s="9" t="n">
        <v>1750</v>
      </c>
      <c r="AZ157" s="9" t="n">
        <v>1600</v>
      </c>
      <c r="BA157" s="9" t="n">
        <v>1440</v>
      </c>
      <c r="BB157" s="9" t="n">
        <v>1960</v>
      </c>
      <c r="BC157" s="9" t="n">
        <v>2070</v>
      </c>
      <c r="BD157" s="9" t="n">
        <v>2020</v>
      </c>
      <c r="BE157" s="9" t="n">
        <v>1190</v>
      </c>
      <c r="BF157" s="9" t="n">
        <v>2045</v>
      </c>
      <c r="BG157" s="9" t="n">
        <v>1905</v>
      </c>
      <c r="BH157" s="9" t="n">
        <v>1770</v>
      </c>
      <c r="BI157" s="9" t="n">
        <v>1695</v>
      </c>
      <c r="BJ157" s="9" t="n">
        <v>2125</v>
      </c>
      <c r="BK157" s="9" t="n">
        <v>1350</v>
      </c>
      <c r="BL157" s="9" t="n">
        <v>2100</v>
      </c>
      <c r="BM157" s="9" t="n">
        <v>2070</v>
      </c>
      <c r="BN157" s="9" t="n">
        <v>1590</v>
      </c>
      <c r="BO157" s="9" t="n">
        <v>2460</v>
      </c>
      <c r="BP157" s="9" t="n">
        <v>2160</v>
      </c>
      <c r="BQ157" s="9" t="n">
        <v>1680</v>
      </c>
      <c r="BR157" s="9" t="n">
        <v>1980</v>
      </c>
      <c r="BS157" s="9" t="n">
        <v>1575</v>
      </c>
      <c r="BT157" s="9" t="n">
        <v>1380</v>
      </c>
      <c r="BU157" s="10" t="n">
        <v>146604</v>
      </c>
      <c r="BV157" s="11" t="n">
        <f aca="false">IF(ISERROR(ROUND(MEDIAN(BQ157:BT157),0)),0,ROUND(MEDIAN(BQ157:BT157),0))</f>
        <v>1628</v>
      </c>
      <c r="BW157" s="11" t="n">
        <f aca="false">IF(ISERROR(ROUND(MEDIAN(BM157:BT157),0)),0,ROUND(MEDIAN(BM157:BT157),0))</f>
        <v>1830</v>
      </c>
      <c r="BX157" s="11" t="n">
        <f aca="false">IF(ISERROR(ROUND(MEDIAN(BI157:BT157),0)),0,ROUND(MEDIAN(BI157:BT157),0))</f>
        <v>1838</v>
      </c>
      <c r="BY157" s="11" t="n">
        <f aca="false">IF(ISERROR(ROUND(MEDIAN(BE157:BT157),0)),0,ROUND(MEDIAN(BE157:BT157),0))</f>
        <v>1838</v>
      </c>
      <c r="BZ157" s="11" t="n">
        <f aca="false">IF(ISERROR(ROUND(MEDIAN(AU157:BT157),0)),0,ROUND(MEDIAN(AU157:BT157),0))</f>
        <v>1873</v>
      </c>
      <c r="CA157" s="12" t="n">
        <f aca="false">IF(ISERROR(ROUND(MEDIAN(U157:BT157),0)),0,ROUND(MEDIAN(U157:BT157),0))</f>
        <v>2043</v>
      </c>
      <c r="CB157" s="12" t="n">
        <f aca="false">IF(ISERROR(ROUND(MEDIAN(BT157),0)),0,ROUND(MEDIAN(BT157),0))</f>
        <v>1380</v>
      </c>
      <c r="CC157" s="12" t="n">
        <f aca="false">IF(ISERROR(ROUND(MEDIAN(D157:BT157),0)),0,ROUND(MEDIAN(D157:BT157),0))</f>
        <v>2070</v>
      </c>
      <c r="CD157" s="12" t="n">
        <f aca="false">MAX(D157:BT157)</f>
        <v>3348</v>
      </c>
      <c r="CE157" s="7" t="n">
        <f aca="false">COUNTA(BQ157:BT157)</f>
        <v>4</v>
      </c>
      <c r="CF157" s="7" t="n">
        <f aca="false">COUNTA(BM157:BT157)</f>
        <v>8</v>
      </c>
      <c r="CG157" s="7" t="n">
        <f aca="false">COUNTA(BI157:BT157)</f>
        <v>12</v>
      </c>
      <c r="CH157" s="7" t="n">
        <f aca="false">COUNTA(BE157:BT157)</f>
        <v>16</v>
      </c>
      <c r="CI157" s="7" t="n">
        <f aca="false">COUNTA(AU157:BT157)</f>
        <v>26</v>
      </c>
      <c r="CJ157" s="7" t="n">
        <f aca="false">COUNTA(U157:BT157)</f>
        <v>52</v>
      </c>
      <c r="CK157" s="7" t="n">
        <f aca="false">COUNTA(BT157)</f>
        <v>1</v>
      </c>
      <c r="CL157" s="7" t="n">
        <f aca="false">COUNTA(D157:BT157)</f>
        <v>69</v>
      </c>
      <c r="CM157" s="13" t="str">
        <f aca="false">IF(AND(CE157=1,CJ157=1,BT157&lt;&gt;""),"5.ENTRANTES",IF(AND(CE157&lt;&gt;0,CE157/RIGHT($CE$1,1)&gt;=0.5,CJ157=CE157),"4.RECENTES",IF(AND(CF157&lt;&gt;0,CF157/RIGHT($CF$1,1)&gt;=0.5,CJ157=CF157),"4.RECENTES",IF(AND(CG157&lt;&gt;0,CG157/RIGHT($CG$1,2)&gt;=0.5,CJ157=CG157),"4.RECENTES",IF(AND(CH157&lt;&gt;0,CH157/RIGHT($CH$1,2)&gt;=0.5,CJ157=CH157),"4.RECENTES",IF(AND(CI157&lt;&gt;0,CI157/RIGHT($CI$1,2)&gt;=0.5,CJ157=CI157),"4.RECENTES",IF(AND(CE157=0,CF157=0,CG157=0,CH157=0),"3.INATIVOS",IF(CJ157/RIGHT($CJ$1,2)&lt;0.5,"2.INTERMITENTES","1.ORDINÁRIOS"))))))))</f>
        <v>1.ORDINÁRIOS</v>
      </c>
      <c r="CN157" s="14" t="n">
        <f aca="false">IF(AND(CE157=1,CJ157=1,BT157&lt;&gt;""),BT157,IF(AND(CE157&lt;&gt;0,CE157/RIGHT($CE$1,1)&gt;=0.5,CJ157=CE157),MAX(BV157:CC157),IF(AND(CF157&lt;&gt;0,CF157/RIGHT($CF$1,1)&gt;=0.5,CJ157=CF157),MAX(BV157:CC157),IF(AND(CG157&lt;&gt;0,CG157/RIGHT($CG$1,2)&gt;=0.5,CJ157=CG157),MAX(BV157:CC157),IF(AND(CH157&lt;&gt;0,CH157/RIGHT($CH$1,2)&gt;=0.5,CJ157=CH157),MAX(BV157:CC157),IF(AND(CI157&lt;&gt;0,CI157/RIGHT($CI$1,2)&gt;=0.5,CJ157=CI157),MAX(BV157:CC157),IF(AND(CE157=0,CF157=0,CG157=0,CH157=0),0,IF(CJ157/RIGHT($CJ$1,2)&lt;0.5,ROUND(BU157/RIGHT($CJ$1,2),0),MAX(BV157:CC157)))))))))</f>
        <v>2070</v>
      </c>
      <c r="CO157" s="14" t="n">
        <f aca="false">CN157*3</f>
        <v>6210</v>
      </c>
      <c r="CP157" s="15" t="n">
        <v>4430</v>
      </c>
      <c r="CQ157" s="16" t="n">
        <f aca="false">IF((CO157-CP157)&lt;0,0,(CO157-CP157))</f>
        <v>1780</v>
      </c>
      <c r="CR157" s="7"/>
    </row>
    <row r="158" customFormat="false" ht="12.75" hidden="false" customHeight="true" outlineLevel="0" collapsed="false">
      <c r="A158" s="7" t="s">
        <v>95</v>
      </c>
      <c r="B158" s="7" t="s">
        <v>252</v>
      </c>
      <c r="C158" s="8" t="n">
        <v>2000056</v>
      </c>
      <c r="D158" s="9" t="n">
        <v>9</v>
      </c>
      <c r="E158" s="9" t="n">
        <v>22</v>
      </c>
      <c r="F158" s="9" t="n">
        <v>35</v>
      </c>
      <c r="G158" s="9" t="n">
        <v>38</v>
      </c>
      <c r="H158" s="9" t="n">
        <v>20</v>
      </c>
      <c r="I158" s="9" t="n">
        <v>24</v>
      </c>
      <c r="J158" s="9" t="n">
        <v>33</v>
      </c>
      <c r="K158" s="9" t="n">
        <v>23</v>
      </c>
      <c r="L158" s="9" t="n">
        <v>33</v>
      </c>
      <c r="M158" s="9" t="n">
        <v>31</v>
      </c>
      <c r="N158" s="9" t="n">
        <v>28</v>
      </c>
      <c r="O158" s="9" t="n">
        <v>28</v>
      </c>
      <c r="P158" s="9" t="n">
        <v>37</v>
      </c>
      <c r="Q158" s="9" t="n">
        <v>15</v>
      </c>
      <c r="R158" s="9" t="n">
        <v>17</v>
      </c>
      <c r="S158" s="9" t="n">
        <v>7</v>
      </c>
      <c r="T158" s="9" t="n">
        <v>34</v>
      </c>
      <c r="U158" s="9" t="n">
        <v>35</v>
      </c>
      <c r="V158" s="9" t="n">
        <v>30</v>
      </c>
      <c r="W158" s="9" t="n">
        <v>33</v>
      </c>
      <c r="X158" s="9" t="n">
        <v>30</v>
      </c>
      <c r="Y158" s="9" t="n">
        <v>19</v>
      </c>
      <c r="Z158" s="9" t="n">
        <v>19</v>
      </c>
      <c r="AA158" s="9" t="n">
        <v>30</v>
      </c>
      <c r="AB158" s="9" t="n">
        <v>10</v>
      </c>
      <c r="AC158" s="9" t="n">
        <v>22</v>
      </c>
      <c r="AD158" s="9" t="n">
        <v>59</v>
      </c>
      <c r="AE158" s="9" t="n">
        <v>45</v>
      </c>
      <c r="AF158" s="9" t="n">
        <v>30</v>
      </c>
      <c r="AG158" s="9" t="n">
        <v>30</v>
      </c>
      <c r="AH158" s="9" t="n">
        <v>41</v>
      </c>
      <c r="AI158" s="9" t="n">
        <v>26</v>
      </c>
      <c r="AJ158" s="9" t="n">
        <v>22</v>
      </c>
      <c r="AK158" s="9" t="n">
        <v>21</v>
      </c>
      <c r="AL158" s="9" t="n">
        <v>39</v>
      </c>
      <c r="AM158" s="9" t="n">
        <v>31</v>
      </c>
      <c r="AN158" s="9" t="n">
        <v>30</v>
      </c>
      <c r="AO158" s="9" t="n">
        <v>8</v>
      </c>
      <c r="AP158" s="9" t="n">
        <v>27</v>
      </c>
      <c r="AQ158" s="9" t="n">
        <v>16</v>
      </c>
      <c r="AR158" s="9" t="n">
        <v>38</v>
      </c>
      <c r="AS158" s="9" t="n">
        <v>23</v>
      </c>
      <c r="AT158" s="9" t="n">
        <v>20</v>
      </c>
      <c r="AU158" s="9" t="n">
        <v>27</v>
      </c>
      <c r="AV158" s="9" t="n">
        <v>28</v>
      </c>
      <c r="AW158" s="9" t="n">
        <v>14</v>
      </c>
      <c r="AX158" s="9" t="n">
        <v>7</v>
      </c>
      <c r="AY158" s="9" t="n">
        <v>9</v>
      </c>
      <c r="AZ158" s="9" t="n">
        <v>21</v>
      </c>
      <c r="BA158" s="9" t="n">
        <v>30</v>
      </c>
      <c r="BB158" s="9" t="n">
        <v>28</v>
      </c>
      <c r="BC158" s="9" t="n">
        <v>24</v>
      </c>
      <c r="BD158" s="9" t="n">
        <v>14</v>
      </c>
      <c r="BE158" s="9" t="n">
        <v>17</v>
      </c>
      <c r="BF158" s="9" t="n">
        <v>20</v>
      </c>
      <c r="BG158" s="9" t="n">
        <v>21</v>
      </c>
      <c r="BH158" s="9" t="n">
        <v>19</v>
      </c>
      <c r="BI158" s="9" t="n">
        <v>15</v>
      </c>
      <c r="BJ158" s="9" t="n">
        <v>16</v>
      </c>
      <c r="BK158" s="9" t="n">
        <v>12</v>
      </c>
      <c r="BL158" s="9" t="n">
        <v>22</v>
      </c>
      <c r="BM158" s="9" t="n">
        <v>16</v>
      </c>
      <c r="BN158" s="9" t="n">
        <v>18</v>
      </c>
      <c r="BO158" s="9" t="n">
        <v>21</v>
      </c>
      <c r="BP158" s="9" t="n">
        <v>21</v>
      </c>
      <c r="BQ158" s="9" t="n">
        <v>14</v>
      </c>
      <c r="BR158" s="9" t="n">
        <v>20</v>
      </c>
      <c r="BS158" s="9" t="n">
        <v>3</v>
      </c>
      <c r="BT158" s="9" t="n">
        <v>10</v>
      </c>
      <c r="BU158" s="10" t="n">
        <v>1635</v>
      </c>
      <c r="BV158" s="11" t="n">
        <f aca="false">IF(ISERROR(ROUND(MEDIAN(BQ158:BT158),0)),0,ROUND(MEDIAN(BQ158:BT158),0))</f>
        <v>12</v>
      </c>
      <c r="BW158" s="11" t="n">
        <f aca="false">IF(ISERROR(ROUND(MEDIAN(BM158:BT158),0)),0,ROUND(MEDIAN(BM158:BT158),0))</f>
        <v>17</v>
      </c>
      <c r="BX158" s="11" t="n">
        <f aca="false">IF(ISERROR(ROUND(MEDIAN(BI158:BT158),0)),0,ROUND(MEDIAN(BI158:BT158),0))</f>
        <v>16</v>
      </c>
      <c r="BY158" s="11" t="n">
        <f aca="false">IF(ISERROR(ROUND(MEDIAN(BE158:BT158),0)),0,ROUND(MEDIAN(BE158:BT158),0))</f>
        <v>18</v>
      </c>
      <c r="BZ158" s="11" t="n">
        <f aca="false">IF(ISERROR(ROUND(MEDIAN(AU158:BT158),0)),0,ROUND(MEDIAN(AU158:BT158),0))</f>
        <v>19</v>
      </c>
      <c r="CA158" s="12" t="n">
        <f aca="false">IF(ISERROR(ROUND(MEDIAN(U158:BT158),0)),0,ROUND(MEDIAN(U158:BT158),0))</f>
        <v>21</v>
      </c>
      <c r="CB158" s="12" t="n">
        <f aca="false">IF(ISERROR(ROUND(MEDIAN(BT158),0)),0,ROUND(MEDIAN(BT158),0))</f>
        <v>10</v>
      </c>
      <c r="CC158" s="12" t="n">
        <f aca="false">IF(ISERROR(ROUND(MEDIAN(D158:BT158),0)),0,ROUND(MEDIAN(D158:BT158),0))</f>
        <v>22</v>
      </c>
      <c r="CD158" s="12" t="n">
        <f aca="false">MAX(D158:BT158)</f>
        <v>59</v>
      </c>
      <c r="CE158" s="7" t="n">
        <f aca="false">COUNTA(BQ158:BT158)</f>
        <v>4</v>
      </c>
      <c r="CF158" s="7" t="n">
        <f aca="false">COUNTA(BM158:BT158)</f>
        <v>8</v>
      </c>
      <c r="CG158" s="7" t="n">
        <f aca="false">COUNTA(BI158:BT158)</f>
        <v>12</v>
      </c>
      <c r="CH158" s="7" t="n">
        <f aca="false">COUNTA(BE158:BT158)</f>
        <v>16</v>
      </c>
      <c r="CI158" s="7" t="n">
        <f aca="false">COUNTA(AU158:BT158)</f>
        <v>26</v>
      </c>
      <c r="CJ158" s="7" t="n">
        <f aca="false">COUNTA(U158:BT158)</f>
        <v>52</v>
      </c>
      <c r="CK158" s="7" t="n">
        <f aca="false">COUNTA(BT158)</f>
        <v>1</v>
      </c>
      <c r="CL158" s="7" t="n">
        <f aca="false">COUNTA(D158:BT158)</f>
        <v>69</v>
      </c>
      <c r="CM158" s="13" t="str">
        <f aca="false">IF(AND(CE158=1,CJ158=1,BT158&lt;&gt;""),"5.ENTRANTES",IF(AND(CE158&lt;&gt;0,CE158/RIGHT($CE$1,1)&gt;=0.5,CJ158=CE158),"4.RECENTES",IF(AND(CF158&lt;&gt;0,CF158/RIGHT($CF$1,1)&gt;=0.5,CJ158=CF158),"4.RECENTES",IF(AND(CG158&lt;&gt;0,CG158/RIGHT($CG$1,2)&gt;=0.5,CJ158=CG158),"4.RECENTES",IF(AND(CH158&lt;&gt;0,CH158/RIGHT($CH$1,2)&gt;=0.5,CJ158=CH158),"4.RECENTES",IF(AND(CI158&lt;&gt;0,CI158/RIGHT($CI$1,2)&gt;=0.5,CJ158=CI158),"4.RECENTES",IF(AND(CE158=0,CF158=0,CG158=0,CH158=0),"3.INATIVOS",IF(CJ158/RIGHT($CJ$1,2)&lt;0.5,"2.INTERMITENTES","1.ORDINÁRIOS"))))))))</f>
        <v>1.ORDINÁRIOS</v>
      </c>
      <c r="CN158" s="14" t="n">
        <f aca="false">IF(AND(CE158=1,CJ158=1,BT158&lt;&gt;""),BT158,IF(AND(CE158&lt;&gt;0,CE158/RIGHT($CE$1,1)&gt;=0.5,CJ158=CE158),MAX(BV158:CC158),IF(AND(CF158&lt;&gt;0,CF158/RIGHT($CF$1,1)&gt;=0.5,CJ158=CF158),MAX(BV158:CC158),IF(AND(CG158&lt;&gt;0,CG158/RIGHT($CG$1,2)&gt;=0.5,CJ158=CG158),MAX(BV158:CC158),IF(AND(CH158&lt;&gt;0,CH158/RIGHT($CH$1,2)&gt;=0.5,CJ158=CH158),MAX(BV158:CC158),IF(AND(CI158&lt;&gt;0,CI158/RIGHT($CI$1,2)&gt;=0.5,CJ158=CI158),MAX(BV158:CC158),IF(AND(CE158=0,CF158=0,CG158=0,CH158=0),0,IF(CJ158/RIGHT($CJ$1,2)&lt;0.5,ROUND(BU158/RIGHT($CJ$1,2),0),MAX(BV158:CC158)))))))))</f>
        <v>22</v>
      </c>
      <c r="CO158" s="14" t="n">
        <f aca="false">CN158*3</f>
        <v>66</v>
      </c>
      <c r="CP158" s="15" t="n">
        <v>50</v>
      </c>
      <c r="CQ158" s="16" t="n">
        <f aca="false">IF((CO158-CP158)&lt;0,0,(CO158-CP158))</f>
        <v>16</v>
      </c>
      <c r="CR158" s="7"/>
    </row>
    <row r="159" customFormat="false" ht="12.75" hidden="false" customHeight="true" outlineLevel="0" collapsed="false">
      <c r="A159" s="7" t="s">
        <v>95</v>
      </c>
      <c r="B159" s="7" t="s">
        <v>253</v>
      </c>
      <c r="C159" s="8" t="n">
        <v>222001001</v>
      </c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 t="n">
        <v>60</v>
      </c>
      <c r="AE159" s="9"/>
      <c r="AF159" s="9"/>
      <c r="AG159" s="9"/>
      <c r="AH159" s="9"/>
      <c r="AI159" s="9"/>
      <c r="AJ159" s="9" t="n">
        <v>30</v>
      </c>
      <c r="AK159" s="9"/>
      <c r="AL159" s="9" t="n">
        <v>30</v>
      </c>
      <c r="AM159" s="9" t="n">
        <v>30</v>
      </c>
      <c r="AN159" s="9" t="n">
        <v>30</v>
      </c>
      <c r="AO159" s="9"/>
      <c r="AP159" s="9"/>
      <c r="AQ159" s="9"/>
      <c r="AR159" s="9" t="n">
        <v>30</v>
      </c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  <c r="BJ159" s="9"/>
      <c r="BK159" s="9"/>
      <c r="BL159" s="9"/>
      <c r="BM159" s="9"/>
      <c r="BN159" s="9"/>
      <c r="BO159" s="9"/>
      <c r="BP159" s="9"/>
      <c r="BQ159" s="9"/>
      <c r="BR159" s="9"/>
      <c r="BS159" s="9"/>
      <c r="BT159" s="9"/>
      <c r="BU159" s="10" t="n">
        <v>210</v>
      </c>
      <c r="BV159" s="11" t="n">
        <f aca="false">IF(ISERROR(ROUND(MEDIAN(BQ159:BT159),0)),0,ROUND(MEDIAN(BQ159:BT159),0))</f>
        <v>0</v>
      </c>
      <c r="BW159" s="11" t="n">
        <f aca="false">IF(ISERROR(ROUND(MEDIAN(BM159:BT159),0)),0,ROUND(MEDIAN(BM159:BT159),0))</f>
        <v>0</v>
      </c>
      <c r="BX159" s="11" t="n">
        <f aca="false">IF(ISERROR(ROUND(MEDIAN(BI159:BT159),0)),0,ROUND(MEDIAN(BI159:BT159),0))</f>
        <v>0</v>
      </c>
      <c r="BY159" s="11" t="n">
        <f aca="false">IF(ISERROR(ROUND(MEDIAN(BE159:BT159),0)),0,ROUND(MEDIAN(BE159:BT159),0))</f>
        <v>0</v>
      </c>
      <c r="BZ159" s="11" t="n">
        <f aca="false">IF(ISERROR(ROUND(MEDIAN(AU159:BT159),0)),0,ROUND(MEDIAN(AU159:BT159),0))</f>
        <v>0</v>
      </c>
      <c r="CA159" s="12" t="n">
        <f aca="false">IF(ISERROR(ROUND(MEDIAN(U159:BT159),0)),0,ROUND(MEDIAN(U159:BT159),0))</f>
        <v>30</v>
      </c>
      <c r="CB159" s="12" t="n">
        <f aca="false">IF(ISERROR(ROUND(MEDIAN(BT159),0)),0,ROUND(MEDIAN(BT159),0))</f>
        <v>0</v>
      </c>
      <c r="CC159" s="12" t="n">
        <f aca="false">IF(ISERROR(ROUND(MEDIAN(D159:BT159),0)),0,ROUND(MEDIAN(D159:BT159),0))</f>
        <v>30</v>
      </c>
      <c r="CD159" s="12" t="n">
        <f aca="false">MAX(D159:BT159)</f>
        <v>60</v>
      </c>
      <c r="CE159" s="7" t="n">
        <f aca="false">COUNTA(BQ159:BT159)</f>
        <v>0</v>
      </c>
      <c r="CF159" s="7" t="n">
        <f aca="false">COUNTA(BM159:BT159)</f>
        <v>0</v>
      </c>
      <c r="CG159" s="7" t="n">
        <f aca="false">COUNTA(BI159:BT159)</f>
        <v>0</v>
      </c>
      <c r="CH159" s="7" t="n">
        <f aca="false">COUNTA(BE159:BT159)</f>
        <v>0</v>
      </c>
      <c r="CI159" s="7" t="n">
        <f aca="false">COUNTA(AU159:BT159)</f>
        <v>0</v>
      </c>
      <c r="CJ159" s="7" t="n">
        <f aca="false">COUNTA(U159:BT159)</f>
        <v>6</v>
      </c>
      <c r="CK159" s="7" t="n">
        <f aca="false">COUNTA(BT159)</f>
        <v>0</v>
      </c>
      <c r="CL159" s="7" t="n">
        <f aca="false">COUNTA(D159:BT159)</f>
        <v>6</v>
      </c>
      <c r="CM159" s="19" t="str">
        <f aca="false">IF(AND(CE159=1,CJ159=1,BT159&lt;&gt;""),"5.ENTRANTES",IF(AND(CE159&lt;&gt;0,CE159/RIGHT($CE$1,1)&gt;=0.5,CJ159=CE159),"4.RECENTES",IF(AND(CF159&lt;&gt;0,CF159/RIGHT($CF$1,1)&gt;=0.5,CJ159=CF159),"4.RECENTES",IF(AND(CG159&lt;&gt;0,CG159/RIGHT($CG$1,2)&gt;=0.5,CJ159=CG159),"4.RECENTES",IF(AND(CH159&lt;&gt;0,CH159/RIGHT($CH$1,2)&gt;=0.5,CJ159=CH159),"4.RECENTES",IF(AND(CI159&lt;&gt;0,CI159/RIGHT($CI$1,2)&gt;=0.5,CJ159=CI159),"4.RECENTES",IF(AND(CE159=0,CF159=0,CG159=0,CH159=0),"3.INATIVOS",IF(CJ159/RIGHT($CJ$1,2)&lt;0.5,"2.INTERMITENTES","1.ORDINÁRIOS"))))))))</f>
        <v>3.INATIVOS</v>
      </c>
      <c r="CN159" s="20" t="n">
        <f aca="false">IF(AND(CE159=1,CJ159=1,BT159&lt;&gt;""),BT159,IF(AND(CE159&lt;&gt;0,CE159/RIGHT($CE$1,1)&gt;=0.5,CJ159=CE159),MAX(BV159:CC159),IF(AND(CF159&lt;&gt;0,CF159/RIGHT($CF$1,1)&gt;=0.5,CJ159=CF159),MAX(BV159:CC159),IF(AND(CG159&lt;&gt;0,CG159/RIGHT($CG$1,2)&gt;=0.5,CJ159=CG159),MAX(BV159:CC159),IF(AND(CH159&lt;&gt;0,CH159/RIGHT($CH$1,2)&gt;=0.5,CJ159=CH159),MAX(BV159:CC159),IF(AND(CI159&lt;&gt;0,CI159/RIGHT($CI$1,2)&gt;=0.5,CJ159=CI159),MAX(BV159:CC159),IF(AND(CE159=0,CF159=0,CG159=0,CH159=0),0,IF(CJ159/RIGHT($CJ$1,2)&lt;0.5,ROUND(BU159/RIGHT($CJ$1,2),0),MAX(BV159:CC159)))))))))</f>
        <v>0</v>
      </c>
      <c r="CO159" s="20" t="n">
        <f aca="false">CN159*3</f>
        <v>0</v>
      </c>
      <c r="CP159" s="15" t="n">
        <v>735</v>
      </c>
      <c r="CQ159" s="16" t="n">
        <f aca="false">IF((CO159-CP159)&lt;0,0,(CO159-CP159))</f>
        <v>0</v>
      </c>
      <c r="CR159" s="7"/>
    </row>
    <row r="160" customFormat="false" ht="12.75" hidden="false" customHeight="true" outlineLevel="0" collapsed="false">
      <c r="A160" s="7" t="s">
        <v>95</v>
      </c>
      <c r="B160" s="7" t="s">
        <v>254</v>
      </c>
      <c r="C160" s="8" t="n">
        <v>2000049</v>
      </c>
      <c r="D160" s="9"/>
      <c r="E160" s="9" t="n">
        <v>4</v>
      </c>
      <c r="F160" s="9" t="n">
        <v>13</v>
      </c>
      <c r="G160" s="9" t="n">
        <v>9</v>
      </c>
      <c r="H160" s="9" t="n">
        <v>5</v>
      </c>
      <c r="I160" s="9" t="n">
        <v>4</v>
      </c>
      <c r="J160" s="9" t="n">
        <v>4</v>
      </c>
      <c r="K160" s="9" t="n">
        <v>5</v>
      </c>
      <c r="L160" s="9" t="n">
        <v>7</v>
      </c>
      <c r="M160" s="9" t="n">
        <v>3</v>
      </c>
      <c r="N160" s="9" t="n">
        <v>10</v>
      </c>
      <c r="O160" s="9" t="n">
        <v>4</v>
      </c>
      <c r="P160" s="9" t="n">
        <v>1</v>
      </c>
      <c r="Q160" s="9"/>
      <c r="R160" s="9"/>
      <c r="S160" s="9"/>
      <c r="T160" s="9"/>
      <c r="U160" s="9" t="n">
        <v>3</v>
      </c>
      <c r="V160" s="9" t="n">
        <v>1</v>
      </c>
      <c r="W160" s="9" t="n">
        <v>2</v>
      </c>
      <c r="X160" s="9" t="n">
        <v>9</v>
      </c>
      <c r="Y160" s="9" t="n">
        <v>15</v>
      </c>
      <c r="Z160" s="9" t="n">
        <v>6</v>
      </c>
      <c r="AA160" s="9" t="n">
        <v>13</v>
      </c>
      <c r="AB160" s="9" t="n">
        <v>7</v>
      </c>
      <c r="AC160" s="9" t="n">
        <v>10</v>
      </c>
      <c r="AD160" s="9" t="n">
        <v>2</v>
      </c>
      <c r="AE160" s="9" t="n">
        <v>5</v>
      </c>
      <c r="AF160" s="9" t="n">
        <v>3</v>
      </c>
      <c r="AG160" s="9" t="n">
        <v>3</v>
      </c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9"/>
      <c r="BH160" s="9"/>
      <c r="BI160" s="9"/>
      <c r="BJ160" s="9"/>
      <c r="BK160" s="9"/>
      <c r="BL160" s="9"/>
      <c r="BM160" s="9"/>
      <c r="BN160" s="9"/>
      <c r="BO160" s="9"/>
      <c r="BP160" s="9"/>
      <c r="BQ160" s="9"/>
      <c r="BR160" s="9"/>
      <c r="BS160" s="9"/>
      <c r="BT160" s="9"/>
      <c r="BU160" s="10" t="n">
        <v>148</v>
      </c>
      <c r="BV160" s="11" t="n">
        <f aca="false">IF(ISERROR(ROUND(MEDIAN(BQ160:BT160),0)),0,ROUND(MEDIAN(BQ160:BT160),0))</f>
        <v>0</v>
      </c>
      <c r="BW160" s="11" t="n">
        <f aca="false">IF(ISERROR(ROUND(MEDIAN(BM160:BT160),0)),0,ROUND(MEDIAN(BM160:BT160),0))</f>
        <v>0</v>
      </c>
      <c r="BX160" s="11" t="n">
        <f aca="false">IF(ISERROR(ROUND(MEDIAN(BI160:BT160),0)),0,ROUND(MEDIAN(BI160:BT160),0))</f>
        <v>0</v>
      </c>
      <c r="BY160" s="11" t="n">
        <f aca="false">IF(ISERROR(ROUND(MEDIAN(BE160:BT160),0)),0,ROUND(MEDIAN(BE160:BT160),0))</f>
        <v>0</v>
      </c>
      <c r="BZ160" s="11" t="n">
        <f aca="false">IF(ISERROR(ROUND(MEDIAN(AU160:BT160),0)),0,ROUND(MEDIAN(AU160:BT160),0))</f>
        <v>0</v>
      </c>
      <c r="CA160" s="12" t="n">
        <f aca="false">IF(ISERROR(ROUND(MEDIAN(U160:BT160),0)),0,ROUND(MEDIAN(U160:BT160),0))</f>
        <v>5</v>
      </c>
      <c r="CB160" s="12" t="n">
        <f aca="false">IF(ISERROR(ROUND(MEDIAN(BT160),0)),0,ROUND(MEDIAN(BT160),0))</f>
        <v>0</v>
      </c>
      <c r="CC160" s="12" t="n">
        <f aca="false">IF(ISERROR(ROUND(MEDIAN(D160:BT160),0)),0,ROUND(MEDIAN(D160:BT160),0))</f>
        <v>5</v>
      </c>
      <c r="CD160" s="12" t="n">
        <f aca="false">MAX(D160:BT160)</f>
        <v>15</v>
      </c>
      <c r="CE160" s="7" t="n">
        <f aca="false">COUNTA(BQ160:BT160)</f>
        <v>0</v>
      </c>
      <c r="CF160" s="7" t="n">
        <f aca="false">COUNTA(BM160:BT160)</f>
        <v>0</v>
      </c>
      <c r="CG160" s="7" t="n">
        <f aca="false">COUNTA(BI160:BT160)</f>
        <v>0</v>
      </c>
      <c r="CH160" s="7" t="n">
        <f aca="false">COUNTA(BE160:BT160)</f>
        <v>0</v>
      </c>
      <c r="CI160" s="7" t="n">
        <f aca="false">COUNTA(AU160:BT160)</f>
        <v>0</v>
      </c>
      <c r="CJ160" s="7" t="n">
        <f aca="false">COUNTA(U160:BT160)</f>
        <v>13</v>
      </c>
      <c r="CK160" s="7" t="n">
        <f aca="false">COUNTA(BT160)</f>
        <v>0</v>
      </c>
      <c r="CL160" s="7" t="n">
        <f aca="false">COUNTA(D160:BT160)</f>
        <v>25</v>
      </c>
      <c r="CM160" s="19" t="str">
        <f aca="false">IF(AND(CE160=1,CJ160=1,BT160&lt;&gt;""),"5.ENTRANTES",IF(AND(CE160&lt;&gt;0,CE160/RIGHT($CE$1,1)&gt;=0.5,CJ160=CE160),"4.RECENTES",IF(AND(CF160&lt;&gt;0,CF160/RIGHT($CF$1,1)&gt;=0.5,CJ160=CF160),"4.RECENTES",IF(AND(CG160&lt;&gt;0,CG160/RIGHT($CG$1,2)&gt;=0.5,CJ160=CG160),"4.RECENTES",IF(AND(CH160&lt;&gt;0,CH160/RIGHT($CH$1,2)&gt;=0.5,CJ160=CH160),"4.RECENTES",IF(AND(CI160&lt;&gt;0,CI160/RIGHT($CI$1,2)&gt;=0.5,CJ160=CI160),"4.RECENTES",IF(AND(CE160=0,CF160=0,CG160=0,CH160=0),"3.INATIVOS",IF(CJ160/RIGHT($CJ$1,2)&lt;0.5,"2.INTERMITENTES","1.ORDINÁRIOS"))))))))</f>
        <v>3.INATIVOS</v>
      </c>
      <c r="CN160" s="20" t="n">
        <f aca="false">IF(AND(CE160=1,CJ160=1,BT160&lt;&gt;""),BT160,IF(AND(CE160&lt;&gt;0,CE160/RIGHT($CE$1,1)&gt;=0.5,CJ160=CE160),MAX(BV160:CC160),IF(AND(CF160&lt;&gt;0,CF160/RIGHT($CF$1,1)&gt;=0.5,CJ160=CF160),MAX(BV160:CC160),IF(AND(CG160&lt;&gt;0,CG160/RIGHT($CG$1,2)&gt;=0.5,CJ160=CG160),MAX(BV160:CC160),IF(AND(CH160&lt;&gt;0,CH160/RIGHT($CH$1,2)&gt;=0.5,CJ160=CH160),MAX(BV160:CC160),IF(AND(CI160&lt;&gt;0,CI160/RIGHT($CI$1,2)&gt;=0.5,CJ160=CI160),MAX(BV160:CC160),IF(AND(CE160=0,CF160=0,CG160=0,CH160=0),0,IF(CJ160/RIGHT($CJ$1,2)&lt;0.5,ROUND(BU160/RIGHT($CJ$1,2),0),MAX(BV160:CC160)))))))))</f>
        <v>0</v>
      </c>
      <c r="CO160" s="20" t="n">
        <f aca="false">CN160*3</f>
        <v>0</v>
      </c>
      <c r="CP160" s="15" t="n">
        <v>0</v>
      </c>
      <c r="CQ160" s="16" t="n">
        <f aca="false">IF((CO160-CP160)&lt;0,0,(CO160-CP160))</f>
        <v>0</v>
      </c>
      <c r="CR160" s="7"/>
    </row>
    <row r="161" customFormat="false" ht="12.75" hidden="false" customHeight="true" outlineLevel="0" collapsed="false">
      <c r="A161" s="7" t="s">
        <v>95</v>
      </c>
      <c r="B161" s="7" t="s">
        <v>255</v>
      </c>
      <c r="C161" s="8" t="n">
        <v>21001095</v>
      </c>
      <c r="D161" s="9"/>
      <c r="E161" s="9" t="n">
        <v>5</v>
      </c>
      <c r="F161" s="9" t="n">
        <v>5</v>
      </c>
      <c r="G161" s="9" t="n">
        <v>6</v>
      </c>
      <c r="H161" s="9"/>
      <c r="I161" s="9" t="n">
        <v>3</v>
      </c>
      <c r="J161" s="9" t="n">
        <v>7</v>
      </c>
      <c r="K161" s="9" t="n">
        <v>3</v>
      </c>
      <c r="L161" s="9" t="n">
        <v>4</v>
      </c>
      <c r="M161" s="9" t="n">
        <v>5</v>
      </c>
      <c r="N161" s="9" t="n">
        <v>3</v>
      </c>
      <c r="O161" s="9" t="n">
        <v>2</v>
      </c>
      <c r="P161" s="9" t="n">
        <v>12</v>
      </c>
      <c r="Q161" s="9" t="n">
        <v>5</v>
      </c>
      <c r="R161" s="9" t="n">
        <v>11</v>
      </c>
      <c r="S161" s="9" t="n">
        <v>5</v>
      </c>
      <c r="T161" s="9" t="n">
        <v>3</v>
      </c>
      <c r="U161" s="9" t="n">
        <v>3</v>
      </c>
      <c r="V161" s="9" t="n">
        <v>4</v>
      </c>
      <c r="W161" s="9" t="n">
        <v>2</v>
      </c>
      <c r="X161" s="9" t="n">
        <v>8</v>
      </c>
      <c r="Y161" s="9"/>
      <c r="Z161" s="9"/>
      <c r="AA161" s="9" t="n">
        <v>1</v>
      </c>
      <c r="AB161" s="9" t="n">
        <v>2</v>
      </c>
      <c r="AC161" s="9"/>
      <c r="AD161" s="9" t="n">
        <v>4</v>
      </c>
      <c r="AE161" s="9"/>
      <c r="AF161" s="9" t="n">
        <v>1</v>
      </c>
      <c r="AG161" s="9" t="n">
        <v>7</v>
      </c>
      <c r="AH161" s="9" t="n">
        <v>16</v>
      </c>
      <c r="AI161" s="9" t="n">
        <v>16</v>
      </c>
      <c r="AJ161" s="9" t="n">
        <v>10</v>
      </c>
      <c r="AK161" s="9" t="n">
        <v>8</v>
      </c>
      <c r="AL161" s="9" t="n">
        <v>16</v>
      </c>
      <c r="AM161" s="9" t="n">
        <v>13</v>
      </c>
      <c r="AN161" s="9" t="n">
        <v>11</v>
      </c>
      <c r="AO161" s="9" t="n">
        <v>9</v>
      </c>
      <c r="AP161" s="9" t="n">
        <v>6</v>
      </c>
      <c r="AQ161" s="9" t="n">
        <v>7</v>
      </c>
      <c r="AR161" s="9" t="n">
        <v>10</v>
      </c>
      <c r="AS161" s="9" t="n">
        <v>8</v>
      </c>
      <c r="AT161" s="9" t="n">
        <v>11</v>
      </c>
      <c r="AU161" s="9" t="n">
        <v>1</v>
      </c>
      <c r="AV161" s="9" t="n">
        <v>11</v>
      </c>
      <c r="AW161" s="9" t="n">
        <v>7</v>
      </c>
      <c r="AX161" s="9" t="n">
        <v>5</v>
      </c>
      <c r="AY161" s="9"/>
      <c r="AZ161" s="9" t="n">
        <v>6</v>
      </c>
      <c r="BA161" s="9" t="n">
        <v>5</v>
      </c>
      <c r="BB161" s="9" t="n">
        <v>7</v>
      </c>
      <c r="BC161" s="9" t="n">
        <v>12</v>
      </c>
      <c r="BD161" s="9" t="n">
        <v>6</v>
      </c>
      <c r="BE161" s="9" t="n">
        <v>11</v>
      </c>
      <c r="BF161" s="9" t="n">
        <v>5</v>
      </c>
      <c r="BG161" s="9" t="n">
        <v>15</v>
      </c>
      <c r="BH161" s="9" t="n">
        <v>4</v>
      </c>
      <c r="BI161" s="9" t="n">
        <v>1</v>
      </c>
      <c r="BJ161" s="9" t="n">
        <v>2</v>
      </c>
      <c r="BK161" s="9" t="n">
        <v>7</v>
      </c>
      <c r="BL161" s="9" t="n">
        <v>5</v>
      </c>
      <c r="BM161" s="9" t="n">
        <v>2</v>
      </c>
      <c r="BN161" s="9" t="n">
        <v>3</v>
      </c>
      <c r="BO161" s="9" t="n">
        <v>1</v>
      </c>
      <c r="BP161" s="9" t="n">
        <v>2</v>
      </c>
      <c r="BQ161" s="9" t="n">
        <v>3</v>
      </c>
      <c r="BR161" s="9" t="n">
        <v>7</v>
      </c>
      <c r="BS161" s="9"/>
      <c r="BT161" s="9" t="n">
        <v>2</v>
      </c>
      <c r="BU161" s="10" t="n">
        <v>382</v>
      </c>
      <c r="BV161" s="11" t="n">
        <f aca="false">IF(ISERROR(ROUND(MEDIAN(BQ161:BT161),0)),0,ROUND(MEDIAN(BQ161:BT161),0))</f>
        <v>3</v>
      </c>
      <c r="BW161" s="11" t="n">
        <f aca="false">IF(ISERROR(ROUND(MEDIAN(BM161:BT161),0)),0,ROUND(MEDIAN(BM161:BT161),0))</f>
        <v>2</v>
      </c>
      <c r="BX161" s="11" t="n">
        <f aca="false">IF(ISERROR(ROUND(MEDIAN(BI161:BT161),0)),0,ROUND(MEDIAN(BI161:BT161),0))</f>
        <v>2</v>
      </c>
      <c r="BY161" s="11" t="n">
        <f aca="false">IF(ISERROR(ROUND(MEDIAN(BE161:BT161),0)),0,ROUND(MEDIAN(BE161:BT161),0))</f>
        <v>3</v>
      </c>
      <c r="BZ161" s="11" t="n">
        <f aca="false">IF(ISERROR(ROUND(MEDIAN(AU161:BT161),0)),0,ROUND(MEDIAN(AU161:BT161),0))</f>
        <v>5</v>
      </c>
      <c r="CA161" s="12" t="n">
        <f aca="false">IF(ISERROR(ROUND(MEDIAN(U161:BT161),0)),0,ROUND(MEDIAN(U161:BT161),0))</f>
        <v>6</v>
      </c>
      <c r="CB161" s="12" t="n">
        <f aca="false">IF(ISERROR(ROUND(MEDIAN(BT161),0)),0,ROUND(MEDIAN(BT161),0))</f>
        <v>2</v>
      </c>
      <c r="CC161" s="12" t="n">
        <f aca="false">IF(ISERROR(ROUND(MEDIAN(D161:BT161),0)),0,ROUND(MEDIAN(D161:BT161),0))</f>
        <v>5</v>
      </c>
      <c r="CD161" s="12" t="n">
        <f aca="false">MAX(D161:BT161)</f>
        <v>16</v>
      </c>
      <c r="CE161" s="7" t="n">
        <f aca="false">COUNTA(BQ161:BT161)</f>
        <v>3</v>
      </c>
      <c r="CF161" s="7" t="n">
        <f aca="false">COUNTA(BM161:BT161)</f>
        <v>7</v>
      </c>
      <c r="CG161" s="7" t="n">
        <f aca="false">COUNTA(BI161:BT161)</f>
        <v>11</v>
      </c>
      <c r="CH161" s="7" t="n">
        <f aca="false">COUNTA(BE161:BT161)</f>
        <v>15</v>
      </c>
      <c r="CI161" s="7" t="n">
        <f aca="false">COUNTA(AU161:BT161)</f>
        <v>24</v>
      </c>
      <c r="CJ161" s="7" t="n">
        <f aca="false">COUNTA(U161:BT161)</f>
        <v>46</v>
      </c>
      <c r="CK161" s="7" t="n">
        <f aca="false">COUNTA(BT161)</f>
        <v>1</v>
      </c>
      <c r="CL161" s="7" t="n">
        <f aca="false">COUNTA(D161:BT161)</f>
        <v>61</v>
      </c>
      <c r="CM161" s="13" t="str">
        <f aca="false">IF(AND(CE161=1,CJ161=1,BT161&lt;&gt;""),"5.ENTRANTES",IF(AND(CE161&lt;&gt;0,CE161/RIGHT($CE$1,1)&gt;=0.5,CJ161=CE161),"4.RECENTES",IF(AND(CF161&lt;&gt;0,CF161/RIGHT($CF$1,1)&gt;=0.5,CJ161=CF161),"4.RECENTES",IF(AND(CG161&lt;&gt;0,CG161/RIGHT($CG$1,2)&gt;=0.5,CJ161=CG161),"4.RECENTES",IF(AND(CH161&lt;&gt;0,CH161/RIGHT($CH$1,2)&gt;=0.5,CJ161=CH161),"4.RECENTES",IF(AND(CI161&lt;&gt;0,CI161/RIGHT($CI$1,2)&gt;=0.5,CJ161=CI161),"4.RECENTES",IF(AND(CE161=0,CF161=0,CG161=0,CH161=0),"3.INATIVOS",IF(CJ161/RIGHT($CJ$1,2)&lt;0.5,"2.INTERMITENTES","1.ORDINÁRIOS"))))))))</f>
        <v>1.ORDINÁRIOS</v>
      </c>
      <c r="CN161" s="14" t="n">
        <f aca="false">IF(AND(CE161=1,CJ161=1,BT161&lt;&gt;""),BT161,IF(AND(CE161&lt;&gt;0,CE161/RIGHT($CE$1,1)&gt;=0.5,CJ161=CE161),MAX(BV161:CC161),IF(AND(CF161&lt;&gt;0,CF161/RIGHT($CF$1,1)&gt;=0.5,CJ161=CF161),MAX(BV161:CC161),IF(AND(CG161&lt;&gt;0,CG161/RIGHT($CG$1,2)&gt;=0.5,CJ161=CG161),MAX(BV161:CC161),IF(AND(CH161&lt;&gt;0,CH161/RIGHT($CH$1,2)&gt;=0.5,CJ161=CH161),MAX(BV161:CC161),IF(AND(CI161&lt;&gt;0,CI161/RIGHT($CI$1,2)&gt;=0.5,CJ161=CI161),MAX(BV161:CC161),IF(AND(CE161=0,CF161=0,CG161=0,CH161=0),0,IF(CJ161/RIGHT($CJ$1,2)&lt;0.5,ROUND(BU161/RIGHT($CJ$1,2),0),MAX(BV161:CC161)))))))))</f>
        <v>6</v>
      </c>
      <c r="CO161" s="14" t="n">
        <f aca="false">CN161*3</f>
        <v>18</v>
      </c>
      <c r="CP161" s="15" t="n">
        <v>53</v>
      </c>
      <c r="CQ161" s="16" t="n">
        <f aca="false">IF((CO161-CP161)&lt;0,0,(CO161-CP161))</f>
        <v>0</v>
      </c>
      <c r="CR161" s="7"/>
    </row>
    <row r="162" customFormat="false" ht="12.75" hidden="false" customHeight="true" outlineLevel="0" collapsed="false">
      <c r="A162" s="7" t="s">
        <v>95</v>
      </c>
      <c r="B162" s="7" t="s">
        <v>256</v>
      </c>
      <c r="C162" s="8" t="n">
        <v>9000002</v>
      </c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 t="n">
        <v>1</v>
      </c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 t="n">
        <v>1</v>
      </c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9"/>
      <c r="BH162" s="9"/>
      <c r="BI162" s="9"/>
      <c r="BJ162" s="9"/>
      <c r="BK162" s="9"/>
      <c r="BL162" s="9"/>
      <c r="BM162" s="9"/>
      <c r="BN162" s="9"/>
      <c r="BO162" s="9"/>
      <c r="BP162" s="9"/>
      <c r="BQ162" s="9"/>
      <c r="BR162" s="9"/>
      <c r="BS162" s="9"/>
      <c r="BT162" s="9"/>
      <c r="BU162" s="10" t="n">
        <v>2</v>
      </c>
      <c r="BV162" s="11" t="n">
        <f aca="false">IF(ISERROR(ROUND(MEDIAN(BQ162:BT162),0)),0,ROUND(MEDIAN(BQ162:BT162),0))</f>
        <v>0</v>
      </c>
      <c r="BW162" s="11" t="n">
        <f aca="false">IF(ISERROR(ROUND(MEDIAN(BM162:BT162),0)),0,ROUND(MEDIAN(BM162:BT162),0))</f>
        <v>0</v>
      </c>
      <c r="BX162" s="11" t="n">
        <f aca="false">IF(ISERROR(ROUND(MEDIAN(BI162:BT162),0)),0,ROUND(MEDIAN(BI162:BT162),0))</f>
        <v>0</v>
      </c>
      <c r="BY162" s="11" t="n">
        <f aca="false">IF(ISERROR(ROUND(MEDIAN(BE162:BT162),0)),0,ROUND(MEDIAN(BE162:BT162),0))</f>
        <v>0</v>
      </c>
      <c r="BZ162" s="11" t="n">
        <f aca="false">IF(ISERROR(ROUND(MEDIAN(AU162:BT162),0)),0,ROUND(MEDIAN(AU162:BT162),0))</f>
        <v>0</v>
      </c>
      <c r="CA162" s="12" t="n">
        <f aca="false">IF(ISERROR(ROUND(MEDIAN(U162:BT162),0)),0,ROUND(MEDIAN(U162:BT162),0))</f>
        <v>1</v>
      </c>
      <c r="CB162" s="12" t="n">
        <f aca="false">IF(ISERROR(ROUND(MEDIAN(BT162),0)),0,ROUND(MEDIAN(BT162),0))</f>
        <v>0</v>
      </c>
      <c r="CC162" s="12" t="n">
        <f aca="false">IF(ISERROR(ROUND(MEDIAN(D162:BT162),0)),0,ROUND(MEDIAN(D162:BT162),0))</f>
        <v>1</v>
      </c>
      <c r="CD162" s="12" t="n">
        <f aca="false">MAX(D162:BT162)</f>
        <v>1</v>
      </c>
      <c r="CE162" s="7" t="n">
        <f aca="false">COUNTA(BQ162:BT162)</f>
        <v>0</v>
      </c>
      <c r="CF162" s="7" t="n">
        <f aca="false">COUNTA(BM162:BT162)</f>
        <v>0</v>
      </c>
      <c r="CG162" s="7" t="n">
        <f aca="false">COUNTA(BI162:BT162)</f>
        <v>0</v>
      </c>
      <c r="CH162" s="7" t="n">
        <f aca="false">COUNTA(BE162:BT162)</f>
        <v>0</v>
      </c>
      <c r="CI162" s="7" t="n">
        <f aca="false">COUNTA(AU162:BT162)</f>
        <v>0</v>
      </c>
      <c r="CJ162" s="7" t="n">
        <f aca="false">COUNTA(U162:BT162)</f>
        <v>2</v>
      </c>
      <c r="CK162" s="7" t="n">
        <f aca="false">COUNTA(BT162)</f>
        <v>0</v>
      </c>
      <c r="CL162" s="7" t="n">
        <f aca="false">COUNTA(D162:BT162)</f>
        <v>2</v>
      </c>
      <c r="CM162" s="19" t="str">
        <f aca="false">IF(AND(CE162=1,CJ162=1,BT162&lt;&gt;""),"5.ENTRANTES",IF(AND(CE162&lt;&gt;0,CE162/RIGHT($CE$1,1)&gt;=0.5,CJ162=CE162),"4.RECENTES",IF(AND(CF162&lt;&gt;0,CF162/RIGHT($CF$1,1)&gt;=0.5,CJ162=CF162),"4.RECENTES",IF(AND(CG162&lt;&gt;0,CG162/RIGHT($CG$1,2)&gt;=0.5,CJ162=CG162),"4.RECENTES",IF(AND(CH162&lt;&gt;0,CH162/RIGHT($CH$1,2)&gt;=0.5,CJ162=CH162),"4.RECENTES",IF(AND(CI162&lt;&gt;0,CI162/RIGHT($CI$1,2)&gt;=0.5,CJ162=CI162),"4.RECENTES",IF(AND(CE162=0,CF162=0,CG162=0,CH162=0),"3.INATIVOS",IF(CJ162/RIGHT($CJ$1,2)&lt;0.5,"2.INTERMITENTES","1.ORDINÁRIOS"))))))))</f>
        <v>3.INATIVOS</v>
      </c>
      <c r="CN162" s="20" t="n">
        <f aca="false">IF(AND(CE162=1,CJ162=1,BT162&lt;&gt;""),BT162,IF(AND(CE162&lt;&gt;0,CE162/RIGHT($CE$1,1)&gt;=0.5,CJ162=CE162),MAX(BV162:CC162),IF(AND(CF162&lt;&gt;0,CF162/RIGHT($CF$1,1)&gt;=0.5,CJ162=CF162),MAX(BV162:CC162),IF(AND(CG162&lt;&gt;0,CG162/RIGHT($CG$1,2)&gt;=0.5,CJ162=CG162),MAX(BV162:CC162),IF(AND(CH162&lt;&gt;0,CH162/RIGHT($CH$1,2)&gt;=0.5,CJ162=CH162),MAX(BV162:CC162),IF(AND(CI162&lt;&gt;0,CI162/RIGHT($CI$1,2)&gt;=0.5,CJ162=CI162),MAX(BV162:CC162),IF(AND(CE162=0,CF162=0,CG162=0,CH162=0),0,IF(CJ162/RIGHT($CJ$1,2)&lt;0.5,ROUND(BU162/RIGHT($CJ$1,2),0),MAX(BV162:CC162)))))))))</f>
        <v>0</v>
      </c>
      <c r="CO162" s="20" t="n">
        <f aca="false">CN162*3</f>
        <v>0</v>
      </c>
      <c r="CP162" s="15" t="n">
        <v>0</v>
      </c>
      <c r="CQ162" s="16" t="n">
        <f aca="false">IF((CO162-CP162)&lt;0,0,(CO162-CP162))</f>
        <v>0</v>
      </c>
      <c r="CR162" s="7"/>
    </row>
    <row r="163" customFormat="false" ht="12.75" hidden="false" customHeight="true" outlineLevel="0" collapsed="false">
      <c r="A163" s="7" t="s">
        <v>95</v>
      </c>
      <c r="B163" s="7" t="s">
        <v>257</v>
      </c>
      <c r="C163" s="8" t="n">
        <v>2000036</v>
      </c>
      <c r="D163" s="9"/>
      <c r="E163" s="9"/>
      <c r="F163" s="9"/>
      <c r="G163" s="9" t="n">
        <v>4</v>
      </c>
      <c r="H163" s="9" t="n">
        <v>1</v>
      </c>
      <c r="I163" s="9" t="n">
        <v>6</v>
      </c>
      <c r="J163" s="9" t="n">
        <v>1</v>
      </c>
      <c r="K163" s="9" t="n">
        <v>2</v>
      </c>
      <c r="L163" s="9" t="n">
        <v>5</v>
      </c>
      <c r="M163" s="9" t="n">
        <v>8</v>
      </c>
      <c r="N163" s="9" t="n">
        <v>1</v>
      </c>
      <c r="O163" s="9" t="n">
        <v>2</v>
      </c>
      <c r="P163" s="9" t="n">
        <v>1</v>
      </c>
      <c r="Q163" s="9" t="n">
        <v>1</v>
      </c>
      <c r="R163" s="9" t="n">
        <v>6</v>
      </c>
      <c r="S163" s="9" t="n">
        <v>2</v>
      </c>
      <c r="T163" s="9" t="n">
        <v>1</v>
      </c>
      <c r="U163" s="9" t="n">
        <v>4</v>
      </c>
      <c r="V163" s="9" t="n">
        <v>1</v>
      </c>
      <c r="W163" s="9" t="n">
        <v>1</v>
      </c>
      <c r="X163" s="9"/>
      <c r="Y163" s="9" t="n">
        <v>1</v>
      </c>
      <c r="Z163" s="9" t="n">
        <v>2</v>
      </c>
      <c r="AA163" s="9" t="n">
        <v>2</v>
      </c>
      <c r="AB163" s="9" t="n">
        <v>1</v>
      </c>
      <c r="AC163" s="9"/>
      <c r="AD163" s="9"/>
      <c r="AE163" s="9"/>
      <c r="AF163" s="9"/>
      <c r="AG163" s="9"/>
      <c r="AH163" s="9" t="n">
        <v>2</v>
      </c>
      <c r="AI163" s="9"/>
      <c r="AJ163" s="9"/>
      <c r="AK163" s="9"/>
      <c r="AL163" s="9" t="n">
        <v>1</v>
      </c>
      <c r="AM163" s="9" t="n">
        <v>1</v>
      </c>
      <c r="AN163" s="9"/>
      <c r="AO163" s="9"/>
      <c r="AP163" s="9"/>
      <c r="AQ163" s="9"/>
      <c r="AR163" s="9" t="n">
        <v>1</v>
      </c>
      <c r="AS163" s="9"/>
      <c r="AT163" s="9" t="n">
        <v>2</v>
      </c>
      <c r="AU163" s="9"/>
      <c r="AV163" s="9"/>
      <c r="AW163" s="9"/>
      <c r="AX163" s="9"/>
      <c r="AY163" s="9" t="n">
        <v>1</v>
      </c>
      <c r="AZ163" s="9" t="n">
        <v>1</v>
      </c>
      <c r="BA163" s="9" t="n">
        <v>2</v>
      </c>
      <c r="BB163" s="9"/>
      <c r="BC163" s="9" t="n">
        <v>1</v>
      </c>
      <c r="BD163" s="9"/>
      <c r="BE163" s="9"/>
      <c r="BF163" s="9" t="n">
        <v>5</v>
      </c>
      <c r="BG163" s="9"/>
      <c r="BH163" s="9" t="n">
        <v>2</v>
      </c>
      <c r="BI163" s="9"/>
      <c r="BJ163" s="9"/>
      <c r="BK163" s="9"/>
      <c r="BL163" s="9"/>
      <c r="BM163" s="9"/>
      <c r="BN163" s="9" t="n">
        <v>1</v>
      </c>
      <c r="BO163" s="9" t="n">
        <v>1</v>
      </c>
      <c r="BP163" s="9"/>
      <c r="BQ163" s="9"/>
      <c r="BR163" s="9"/>
      <c r="BS163" s="9"/>
      <c r="BT163" s="9"/>
      <c r="BU163" s="10" t="n">
        <v>74</v>
      </c>
      <c r="BV163" s="11" t="n">
        <f aca="false">IF(ISERROR(ROUND(MEDIAN(BQ163:BT163),0)),0,ROUND(MEDIAN(BQ163:BT163),0))</f>
        <v>0</v>
      </c>
      <c r="BW163" s="11" t="n">
        <f aca="false">IF(ISERROR(ROUND(MEDIAN(BM163:BT163),0)),0,ROUND(MEDIAN(BM163:BT163),0))</f>
        <v>1</v>
      </c>
      <c r="BX163" s="11" t="n">
        <f aca="false">IF(ISERROR(ROUND(MEDIAN(BI163:BT163),0)),0,ROUND(MEDIAN(BI163:BT163),0))</f>
        <v>1</v>
      </c>
      <c r="BY163" s="11" t="n">
        <f aca="false">IF(ISERROR(ROUND(MEDIAN(BE163:BT163),0)),0,ROUND(MEDIAN(BE163:BT163),0))</f>
        <v>2</v>
      </c>
      <c r="BZ163" s="11" t="n">
        <f aca="false">IF(ISERROR(ROUND(MEDIAN(AU163:BT163),0)),0,ROUND(MEDIAN(AU163:BT163),0))</f>
        <v>1</v>
      </c>
      <c r="CA163" s="12" t="n">
        <f aca="false">IF(ISERROR(ROUND(MEDIAN(U163:BT163),0)),0,ROUND(MEDIAN(U163:BT163),0))</f>
        <v>1</v>
      </c>
      <c r="CB163" s="12" t="n">
        <f aca="false">IF(ISERROR(ROUND(MEDIAN(BT163),0)),0,ROUND(MEDIAN(BT163),0))</f>
        <v>0</v>
      </c>
      <c r="CC163" s="12" t="n">
        <f aca="false">IF(ISERROR(ROUND(MEDIAN(D163:BT163),0)),0,ROUND(MEDIAN(D163:BT163),0))</f>
        <v>1</v>
      </c>
      <c r="CD163" s="12" t="n">
        <f aca="false">MAX(D163:BT163)</f>
        <v>8</v>
      </c>
      <c r="CE163" s="7" t="n">
        <f aca="false">COUNTA(BQ163:BT163)</f>
        <v>0</v>
      </c>
      <c r="CF163" s="7" t="n">
        <f aca="false">COUNTA(BM163:BT163)</f>
        <v>2</v>
      </c>
      <c r="CG163" s="7" t="n">
        <f aca="false">COUNTA(BI163:BT163)</f>
        <v>2</v>
      </c>
      <c r="CH163" s="7" t="n">
        <f aca="false">COUNTA(BE163:BT163)</f>
        <v>4</v>
      </c>
      <c r="CI163" s="7" t="n">
        <f aca="false">COUNTA(AU163:BT163)</f>
        <v>8</v>
      </c>
      <c r="CJ163" s="7" t="n">
        <f aca="false">COUNTA(U163:BT163)</f>
        <v>20</v>
      </c>
      <c r="CK163" s="7" t="n">
        <f aca="false">COUNTA(BT163)</f>
        <v>0</v>
      </c>
      <c r="CL163" s="7" t="n">
        <f aca="false">COUNTA(D163:BT163)</f>
        <v>34</v>
      </c>
      <c r="CM163" s="17" t="str">
        <f aca="false">IF(AND(CE163=1,CJ163=1,BT163&lt;&gt;""),"5.ENTRANTES",IF(AND(CE163&lt;&gt;0,CE163/RIGHT($CE$1,1)&gt;=0.5,CJ163=CE163),"4.RECENTES",IF(AND(CF163&lt;&gt;0,CF163/RIGHT($CF$1,1)&gt;=0.5,CJ163=CF163),"4.RECENTES",IF(AND(CG163&lt;&gt;0,CG163/RIGHT($CG$1,2)&gt;=0.5,CJ163=CG163),"4.RECENTES",IF(AND(CH163&lt;&gt;0,CH163/RIGHT($CH$1,2)&gt;=0.5,CJ163=CH163),"4.RECENTES",IF(AND(CI163&lt;&gt;0,CI163/RIGHT($CI$1,2)&gt;=0.5,CJ163=CI163),"4.RECENTES",IF(AND(CE163=0,CF163=0,CG163=0,CH163=0),"3.INATIVOS",IF(CJ163/RIGHT($CJ$1,2)&lt;0.5,"2.INTERMITENTES","1.ORDINÁRIOS"))))))))</f>
        <v>2.INTERMITENTES</v>
      </c>
      <c r="CN163" s="18" t="n">
        <f aca="false">IF(AND(CE163=1,CJ163=1,BT163&lt;&gt;""),BT163,IF(AND(CE163&lt;&gt;0,CE163/RIGHT($CE$1,1)&gt;=0.5,CJ163=CE163),MAX(BV163:CC163),IF(AND(CF163&lt;&gt;0,CF163/RIGHT($CF$1,1)&gt;=0.5,CJ163=CF163),MAX(BV163:CC163),IF(AND(CG163&lt;&gt;0,CG163/RIGHT($CG$1,2)&gt;=0.5,CJ163=CG163),MAX(BV163:CC163),IF(AND(CH163&lt;&gt;0,CH163/RIGHT($CH$1,2)&gt;=0.5,CJ163=CH163),MAX(BV163:CC163),IF(AND(CI163&lt;&gt;0,CI163/RIGHT($CI$1,2)&gt;=0.5,CJ163=CI163),MAX(BV163:CC163),IF(AND(CE163=0,CF163=0,CG163=0,CH163=0),0,IF(CJ163/RIGHT($CJ$1,2)&lt;0.5,ROUND(BU163/RIGHT($CJ$1,2),0),MAX(BV163:CC163)))))))))</f>
        <v>1</v>
      </c>
      <c r="CO163" s="18" t="n">
        <f aca="false">CD163</f>
        <v>8</v>
      </c>
      <c r="CP163" s="15" t="n">
        <v>13</v>
      </c>
      <c r="CQ163" s="16" t="n">
        <f aca="false">IF((CO163-CP163)&lt;0,0,(CO163-CP163))</f>
        <v>0</v>
      </c>
      <c r="CR163" s="7"/>
    </row>
    <row r="164" customFormat="false" ht="12.75" hidden="false" customHeight="true" outlineLevel="0" collapsed="false">
      <c r="A164" s="7" t="s">
        <v>95</v>
      </c>
      <c r="B164" s="7" t="s">
        <v>258</v>
      </c>
      <c r="C164" s="8" t="n">
        <v>2000035</v>
      </c>
      <c r="D164" s="9" t="n">
        <v>20</v>
      </c>
      <c r="E164" s="9" t="n">
        <v>120</v>
      </c>
      <c r="F164" s="9" t="n">
        <v>100</v>
      </c>
      <c r="G164" s="9"/>
      <c r="H164" s="9" t="n">
        <v>70</v>
      </c>
      <c r="I164" s="9" t="n">
        <v>30</v>
      </c>
      <c r="J164" s="9" t="n">
        <v>50</v>
      </c>
      <c r="K164" s="9" t="n">
        <v>50</v>
      </c>
      <c r="L164" s="9" t="n">
        <v>10</v>
      </c>
      <c r="M164" s="9" t="n">
        <v>30</v>
      </c>
      <c r="N164" s="9" t="n">
        <v>60</v>
      </c>
      <c r="O164" s="9" t="n">
        <v>130</v>
      </c>
      <c r="P164" s="9" t="n">
        <v>110</v>
      </c>
      <c r="Q164" s="9" t="n">
        <v>80</v>
      </c>
      <c r="R164" s="9" t="n">
        <v>130</v>
      </c>
      <c r="S164" s="9" t="n">
        <v>70</v>
      </c>
      <c r="T164" s="9" t="n">
        <v>20</v>
      </c>
      <c r="U164" s="9" t="n">
        <v>50</v>
      </c>
      <c r="V164" s="9" t="n">
        <v>30</v>
      </c>
      <c r="W164" s="9" t="n">
        <v>20</v>
      </c>
      <c r="X164" s="9" t="n">
        <v>50</v>
      </c>
      <c r="Y164" s="9" t="n">
        <v>50</v>
      </c>
      <c r="Z164" s="9"/>
      <c r="AA164" s="9" t="n">
        <v>80</v>
      </c>
      <c r="AB164" s="9" t="n">
        <v>30</v>
      </c>
      <c r="AC164" s="9" t="n">
        <v>110</v>
      </c>
      <c r="AD164" s="9" t="n">
        <v>30</v>
      </c>
      <c r="AE164" s="9" t="n">
        <v>10</v>
      </c>
      <c r="AF164" s="9"/>
      <c r="AG164" s="9" t="n">
        <v>80</v>
      </c>
      <c r="AH164" s="9" t="n">
        <v>40</v>
      </c>
      <c r="AI164" s="9" t="n">
        <v>220</v>
      </c>
      <c r="AJ164" s="9" t="n">
        <v>150</v>
      </c>
      <c r="AK164" s="9" t="n">
        <v>50</v>
      </c>
      <c r="AL164" s="9" t="n">
        <v>70</v>
      </c>
      <c r="AM164" s="9"/>
      <c r="AN164" s="9" t="n">
        <v>30</v>
      </c>
      <c r="AO164" s="9" t="n">
        <v>60</v>
      </c>
      <c r="AP164" s="9" t="n">
        <v>60</v>
      </c>
      <c r="AQ164" s="9" t="n">
        <v>40</v>
      </c>
      <c r="AR164" s="9" t="n">
        <v>44</v>
      </c>
      <c r="AS164" s="9" t="n">
        <v>30</v>
      </c>
      <c r="AT164" s="9" t="n">
        <v>60</v>
      </c>
      <c r="AU164" s="9"/>
      <c r="AV164" s="9" t="n">
        <v>40</v>
      </c>
      <c r="AW164" s="9"/>
      <c r="AX164" s="9" t="n">
        <v>50</v>
      </c>
      <c r="AY164" s="9" t="n">
        <v>20</v>
      </c>
      <c r="AZ164" s="9" t="n">
        <v>40</v>
      </c>
      <c r="BA164" s="9" t="n">
        <v>50</v>
      </c>
      <c r="BB164" s="9" t="n">
        <v>50</v>
      </c>
      <c r="BC164" s="9" t="n">
        <v>10</v>
      </c>
      <c r="BD164" s="9" t="n">
        <v>30</v>
      </c>
      <c r="BE164" s="9" t="n">
        <v>50</v>
      </c>
      <c r="BF164" s="9" t="n">
        <v>90</v>
      </c>
      <c r="BG164" s="9" t="n">
        <v>40</v>
      </c>
      <c r="BH164" s="9"/>
      <c r="BI164" s="9"/>
      <c r="BJ164" s="9" t="n">
        <v>60</v>
      </c>
      <c r="BK164" s="9" t="n">
        <v>30</v>
      </c>
      <c r="BL164" s="9" t="n">
        <v>15</v>
      </c>
      <c r="BM164" s="9" t="n">
        <v>20</v>
      </c>
      <c r="BN164" s="9" t="n">
        <v>10</v>
      </c>
      <c r="BO164" s="9" t="n">
        <v>90</v>
      </c>
      <c r="BP164" s="9"/>
      <c r="BQ164" s="9"/>
      <c r="BR164" s="9" t="n">
        <v>110</v>
      </c>
      <c r="BS164" s="9"/>
      <c r="BT164" s="9" t="n">
        <v>50</v>
      </c>
      <c r="BU164" s="10" t="n">
        <v>3329</v>
      </c>
      <c r="BV164" s="11" t="n">
        <f aca="false">IF(ISERROR(ROUND(MEDIAN(BQ164:BT164),0)),0,ROUND(MEDIAN(BQ164:BT164),0))</f>
        <v>80</v>
      </c>
      <c r="BW164" s="11" t="n">
        <f aca="false">IF(ISERROR(ROUND(MEDIAN(BM164:BT164),0)),0,ROUND(MEDIAN(BM164:BT164),0))</f>
        <v>50</v>
      </c>
      <c r="BX164" s="11" t="n">
        <f aca="false">IF(ISERROR(ROUND(MEDIAN(BI164:BT164),0)),0,ROUND(MEDIAN(BI164:BT164),0))</f>
        <v>40</v>
      </c>
      <c r="BY164" s="11" t="n">
        <f aca="false">IF(ISERROR(ROUND(MEDIAN(BE164:BT164),0)),0,ROUND(MEDIAN(BE164:BT164),0))</f>
        <v>50</v>
      </c>
      <c r="BZ164" s="11" t="n">
        <f aca="false">IF(ISERROR(ROUND(MEDIAN(AU164:BT164),0)),0,ROUND(MEDIAN(AU164:BT164),0))</f>
        <v>40</v>
      </c>
      <c r="CA164" s="12" t="n">
        <f aca="false">IF(ISERROR(ROUND(MEDIAN(U164:BT164),0)),0,ROUND(MEDIAN(U164:BT164),0))</f>
        <v>50</v>
      </c>
      <c r="CB164" s="12" t="n">
        <f aca="false">IF(ISERROR(ROUND(MEDIAN(BT164),0)),0,ROUND(MEDIAN(BT164),0))</f>
        <v>50</v>
      </c>
      <c r="CC164" s="12" t="n">
        <f aca="false">IF(ISERROR(ROUND(MEDIAN(D164:BT164),0)),0,ROUND(MEDIAN(D164:BT164),0))</f>
        <v>50</v>
      </c>
      <c r="CD164" s="12" t="n">
        <f aca="false">MAX(D164:BT164)</f>
        <v>220</v>
      </c>
      <c r="CE164" s="7" t="n">
        <f aca="false">COUNTA(BQ164:BT164)</f>
        <v>2</v>
      </c>
      <c r="CF164" s="7" t="n">
        <f aca="false">COUNTA(BM164:BT164)</f>
        <v>5</v>
      </c>
      <c r="CG164" s="7" t="n">
        <f aca="false">COUNTA(BI164:BT164)</f>
        <v>8</v>
      </c>
      <c r="CH164" s="7" t="n">
        <f aca="false">COUNTA(BE164:BT164)</f>
        <v>11</v>
      </c>
      <c r="CI164" s="7" t="n">
        <f aca="false">COUNTA(AU164:BT164)</f>
        <v>19</v>
      </c>
      <c r="CJ164" s="7" t="n">
        <f aca="false">COUNTA(U164:BT164)</f>
        <v>42</v>
      </c>
      <c r="CK164" s="7" t="n">
        <f aca="false">COUNTA(BT164)</f>
        <v>1</v>
      </c>
      <c r="CL164" s="7" t="n">
        <f aca="false">COUNTA(D164:BT164)</f>
        <v>58</v>
      </c>
      <c r="CM164" s="13" t="str">
        <f aca="false">IF(AND(CE164=1,CJ164=1,BT164&lt;&gt;""),"5.ENTRANTES",IF(AND(CE164&lt;&gt;0,CE164/RIGHT($CE$1,1)&gt;=0.5,CJ164=CE164),"4.RECENTES",IF(AND(CF164&lt;&gt;0,CF164/RIGHT($CF$1,1)&gt;=0.5,CJ164=CF164),"4.RECENTES",IF(AND(CG164&lt;&gt;0,CG164/RIGHT($CG$1,2)&gt;=0.5,CJ164=CG164),"4.RECENTES",IF(AND(CH164&lt;&gt;0,CH164/RIGHT($CH$1,2)&gt;=0.5,CJ164=CH164),"4.RECENTES",IF(AND(CI164&lt;&gt;0,CI164/RIGHT($CI$1,2)&gt;=0.5,CJ164=CI164),"4.RECENTES",IF(AND(CE164=0,CF164=0,CG164=0,CH164=0),"3.INATIVOS",IF(CJ164/RIGHT($CJ$1,2)&lt;0.5,"2.INTERMITENTES","1.ORDINÁRIOS"))))))))</f>
        <v>1.ORDINÁRIOS</v>
      </c>
      <c r="CN164" s="14" t="n">
        <f aca="false">IF(AND(CE164=1,CJ164=1,BT164&lt;&gt;""),BT164,IF(AND(CE164&lt;&gt;0,CE164/RIGHT($CE$1,1)&gt;=0.5,CJ164=CE164),MAX(BV164:CC164),IF(AND(CF164&lt;&gt;0,CF164/RIGHT($CF$1,1)&gt;=0.5,CJ164=CF164),MAX(BV164:CC164),IF(AND(CG164&lt;&gt;0,CG164/RIGHT($CG$1,2)&gt;=0.5,CJ164=CG164),MAX(BV164:CC164),IF(AND(CH164&lt;&gt;0,CH164/RIGHT($CH$1,2)&gt;=0.5,CJ164=CH164),MAX(BV164:CC164),IF(AND(CI164&lt;&gt;0,CI164/RIGHT($CI$1,2)&gt;=0.5,CJ164=CI164),MAX(BV164:CC164),IF(AND(CE164=0,CF164=0,CG164=0,CH164=0),0,IF(CJ164/RIGHT($CJ$1,2)&lt;0.5,ROUND(BU164/RIGHT($CJ$1,2),0),MAX(BV164:CC164)))))))))</f>
        <v>80</v>
      </c>
      <c r="CO164" s="14" t="n">
        <f aca="false">CN164*3</f>
        <v>240</v>
      </c>
      <c r="CP164" s="15" t="n">
        <v>320</v>
      </c>
      <c r="CQ164" s="16" t="n">
        <f aca="false">IF((CO164-CP164)&lt;0,0,(CO164-CP164))</f>
        <v>0</v>
      </c>
      <c r="CR164" s="7"/>
    </row>
    <row r="165" customFormat="false" ht="12.75" hidden="false" customHeight="true" outlineLevel="0" collapsed="false">
      <c r="A165" s="7" t="s">
        <v>95</v>
      </c>
      <c r="B165" s="7" t="s">
        <v>259</v>
      </c>
      <c r="C165" s="8" t="n">
        <v>2000037</v>
      </c>
      <c r="D165" s="9" t="n">
        <v>3</v>
      </c>
      <c r="E165" s="9" t="n">
        <v>7</v>
      </c>
      <c r="F165" s="9" t="n">
        <v>2</v>
      </c>
      <c r="G165" s="9"/>
      <c r="H165" s="9"/>
      <c r="I165" s="9" t="n">
        <v>2</v>
      </c>
      <c r="J165" s="9"/>
      <c r="K165" s="9"/>
      <c r="L165" s="9" t="n">
        <v>7</v>
      </c>
      <c r="M165" s="9"/>
      <c r="N165" s="9" t="n">
        <v>1</v>
      </c>
      <c r="O165" s="9" t="n">
        <v>2</v>
      </c>
      <c r="P165" s="9" t="n">
        <v>9</v>
      </c>
      <c r="Q165" s="9" t="n">
        <v>2</v>
      </c>
      <c r="R165" s="9" t="n">
        <v>5</v>
      </c>
      <c r="S165" s="9" t="n">
        <v>2</v>
      </c>
      <c r="T165" s="9" t="n">
        <v>4</v>
      </c>
      <c r="U165" s="9" t="n">
        <v>9</v>
      </c>
      <c r="V165" s="9" t="n">
        <v>5</v>
      </c>
      <c r="W165" s="9" t="n">
        <v>4</v>
      </c>
      <c r="X165" s="9" t="n">
        <v>2</v>
      </c>
      <c r="Y165" s="9" t="n">
        <v>8</v>
      </c>
      <c r="Z165" s="9" t="n">
        <v>2</v>
      </c>
      <c r="AA165" s="9" t="n">
        <v>9</v>
      </c>
      <c r="AB165" s="9" t="n">
        <v>4</v>
      </c>
      <c r="AC165" s="9"/>
      <c r="AD165" s="9" t="n">
        <v>2</v>
      </c>
      <c r="AE165" s="9" t="n">
        <v>4</v>
      </c>
      <c r="AF165" s="9" t="n">
        <v>2</v>
      </c>
      <c r="AG165" s="9"/>
      <c r="AH165" s="9" t="n">
        <v>4</v>
      </c>
      <c r="AI165" s="9" t="n">
        <v>2</v>
      </c>
      <c r="AJ165" s="9" t="n">
        <v>3</v>
      </c>
      <c r="AK165" s="9" t="n">
        <v>7</v>
      </c>
      <c r="AL165" s="9" t="n">
        <v>4</v>
      </c>
      <c r="AM165" s="9" t="n">
        <v>4</v>
      </c>
      <c r="AN165" s="9" t="n">
        <v>7</v>
      </c>
      <c r="AO165" s="9"/>
      <c r="AP165" s="9" t="n">
        <v>2</v>
      </c>
      <c r="AQ165" s="9" t="n">
        <v>3</v>
      </c>
      <c r="AR165" s="9" t="n">
        <v>4</v>
      </c>
      <c r="AS165" s="9" t="n">
        <v>5</v>
      </c>
      <c r="AT165" s="9"/>
      <c r="AU165" s="9" t="n">
        <v>2</v>
      </c>
      <c r="AV165" s="9" t="n">
        <v>2</v>
      </c>
      <c r="AW165" s="9"/>
      <c r="AX165" s="9"/>
      <c r="AY165" s="9"/>
      <c r="AZ165" s="9" t="n">
        <v>2</v>
      </c>
      <c r="BA165" s="9" t="n">
        <v>1</v>
      </c>
      <c r="BB165" s="9" t="n">
        <v>1</v>
      </c>
      <c r="BC165" s="9" t="n">
        <v>1</v>
      </c>
      <c r="BD165" s="9"/>
      <c r="BE165" s="9" t="n">
        <v>2</v>
      </c>
      <c r="BF165" s="9" t="n">
        <v>1</v>
      </c>
      <c r="BG165" s="9"/>
      <c r="BH165" s="9" t="n">
        <v>2</v>
      </c>
      <c r="BI165" s="9"/>
      <c r="BJ165" s="9"/>
      <c r="BK165" s="9" t="n">
        <v>1</v>
      </c>
      <c r="BL165" s="9"/>
      <c r="BM165" s="9" t="n">
        <v>1</v>
      </c>
      <c r="BN165" s="9" t="n">
        <v>2</v>
      </c>
      <c r="BO165" s="9"/>
      <c r="BP165" s="9" t="n">
        <v>3</v>
      </c>
      <c r="BQ165" s="9"/>
      <c r="BR165" s="9"/>
      <c r="BS165" s="9"/>
      <c r="BT165" s="9"/>
      <c r="BU165" s="10" t="n">
        <v>163</v>
      </c>
      <c r="BV165" s="11" t="n">
        <f aca="false">IF(ISERROR(ROUND(MEDIAN(BQ165:BT165),0)),0,ROUND(MEDIAN(BQ165:BT165),0))</f>
        <v>0</v>
      </c>
      <c r="BW165" s="11" t="n">
        <f aca="false">IF(ISERROR(ROUND(MEDIAN(BM165:BT165),0)),0,ROUND(MEDIAN(BM165:BT165),0))</f>
        <v>2</v>
      </c>
      <c r="BX165" s="11" t="n">
        <f aca="false">IF(ISERROR(ROUND(MEDIAN(BI165:BT165),0)),0,ROUND(MEDIAN(BI165:BT165),0))</f>
        <v>2</v>
      </c>
      <c r="BY165" s="11" t="n">
        <f aca="false">IF(ISERROR(ROUND(MEDIAN(BE165:BT165),0)),0,ROUND(MEDIAN(BE165:BT165),0))</f>
        <v>2</v>
      </c>
      <c r="BZ165" s="11" t="n">
        <f aca="false">IF(ISERROR(ROUND(MEDIAN(AU165:BT165),0)),0,ROUND(MEDIAN(AU165:BT165),0))</f>
        <v>2</v>
      </c>
      <c r="CA165" s="12" t="n">
        <f aca="false">IF(ISERROR(ROUND(MEDIAN(U165:BT165),0)),0,ROUND(MEDIAN(U165:BT165),0))</f>
        <v>2</v>
      </c>
      <c r="CB165" s="12" t="n">
        <f aca="false">IF(ISERROR(ROUND(MEDIAN(BT165),0)),0,ROUND(MEDIAN(BT165),0))</f>
        <v>0</v>
      </c>
      <c r="CC165" s="12" t="n">
        <f aca="false">IF(ISERROR(ROUND(MEDIAN(D165:BT165),0)),0,ROUND(MEDIAN(D165:BT165),0))</f>
        <v>2</v>
      </c>
      <c r="CD165" s="12" t="n">
        <f aca="false">MAX(D165:BT165)</f>
        <v>9</v>
      </c>
      <c r="CE165" s="7" t="n">
        <f aca="false">COUNTA(BQ165:BT165)</f>
        <v>0</v>
      </c>
      <c r="CF165" s="7" t="n">
        <f aca="false">COUNTA(BM165:BT165)</f>
        <v>3</v>
      </c>
      <c r="CG165" s="7" t="n">
        <f aca="false">COUNTA(BI165:BT165)</f>
        <v>4</v>
      </c>
      <c r="CH165" s="7" t="n">
        <f aca="false">COUNTA(BE165:BT165)</f>
        <v>7</v>
      </c>
      <c r="CI165" s="7" t="n">
        <f aca="false">COUNTA(AU165:BT165)</f>
        <v>13</v>
      </c>
      <c r="CJ165" s="7" t="n">
        <f aca="false">COUNTA(U165:BT165)</f>
        <v>35</v>
      </c>
      <c r="CK165" s="7" t="n">
        <f aca="false">COUNTA(BT165)</f>
        <v>0</v>
      </c>
      <c r="CL165" s="7" t="n">
        <f aca="false">COUNTA(D165:BT165)</f>
        <v>47</v>
      </c>
      <c r="CM165" s="13" t="str">
        <f aca="false">IF(AND(CE165=1,CJ165=1,BT165&lt;&gt;""),"5.ENTRANTES",IF(AND(CE165&lt;&gt;0,CE165/RIGHT($CE$1,1)&gt;=0.5,CJ165=CE165),"4.RECENTES",IF(AND(CF165&lt;&gt;0,CF165/RIGHT($CF$1,1)&gt;=0.5,CJ165=CF165),"4.RECENTES",IF(AND(CG165&lt;&gt;0,CG165/RIGHT($CG$1,2)&gt;=0.5,CJ165=CG165),"4.RECENTES",IF(AND(CH165&lt;&gt;0,CH165/RIGHT($CH$1,2)&gt;=0.5,CJ165=CH165),"4.RECENTES",IF(AND(CI165&lt;&gt;0,CI165/RIGHT($CI$1,2)&gt;=0.5,CJ165=CI165),"4.RECENTES",IF(AND(CE165=0,CF165=0,CG165=0,CH165=0),"3.INATIVOS",IF(CJ165/RIGHT($CJ$1,2)&lt;0.5,"2.INTERMITENTES","1.ORDINÁRIOS"))))))))</f>
        <v>1.ORDINÁRIOS</v>
      </c>
      <c r="CN165" s="14" t="n">
        <f aca="false">IF(AND(CE165=1,CJ165=1,BT165&lt;&gt;""),BT165,IF(AND(CE165&lt;&gt;0,CE165/RIGHT($CE$1,1)&gt;=0.5,CJ165=CE165),MAX(BV165:CC165),IF(AND(CF165&lt;&gt;0,CF165/RIGHT($CF$1,1)&gt;=0.5,CJ165=CF165),MAX(BV165:CC165),IF(AND(CG165&lt;&gt;0,CG165/RIGHT($CG$1,2)&gt;=0.5,CJ165=CG165),MAX(BV165:CC165),IF(AND(CH165&lt;&gt;0,CH165/RIGHT($CH$1,2)&gt;=0.5,CJ165=CH165),MAX(BV165:CC165),IF(AND(CI165&lt;&gt;0,CI165/RIGHT($CI$1,2)&gt;=0.5,CJ165=CI165),MAX(BV165:CC165),IF(AND(CE165=0,CF165=0,CG165=0,CH165=0),0,IF(CJ165/RIGHT($CJ$1,2)&lt;0.5,ROUND(BU165/RIGHT($CJ$1,2),0),MAX(BV165:CC165)))))))))</f>
        <v>2</v>
      </c>
      <c r="CO165" s="14" t="n">
        <f aca="false">CN165*3</f>
        <v>6</v>
      </c>
      <c r="CP165" s="15" t="n">
        <v>16</v>
      </c>
      <c r="CQ165" s="16" t="n">
        <f aca="false">IF((CO165-CP165)&lt;0,0,(CO165-CP165))</f>
        <v>0</v>
      </c>
      <c r="CR165" s="7"/>
    </row>
    <row r="166" customFormat="false" ht="12.75" hidden="false" customHeight="true" outlineLevel="0" collapsed="false">
      <c r="A166" s="7" t="s">
        <v>95</v>
      </c>
      <c r="B166" s="7" t="s">
        <v>260</v>
      </c>
      <c r="C166" s="8" t="n">
        <v>2000046</v>
      </c>
      <c r="D166" s="9" t="n">
        <v>60</v>
      </c>
      <c r="E166" s="9" t="n">
        <v>280</v>
      </c>
      <c r="F166" s="9" t="n">
        <v>360</v>
      </c>
      <c r="G166" s="9" t="n">
        <v>450</v>
      </c>
      <c r="H166" s="9" t="n">
        <v>120</v>
      </c>
      <c r="I166" s="9" t="n">
        <v>310</v>
      </c>
      <c r="J166" s="9" t="n">
        <v>300</v>
      </c>
      <c r="K166" s="9" t="n">
        <v>30</v>
      </c>
      <c r="L166" s="9" t="n">
        <v>510</v>
      </c>
      <c r="M166" s="9" t="n">
        <v>550</v>
      </c>
      <c r="N166" s="9" t="n">
        <v>490</v>
      </c>
      <c r="O166" s="9" t="n">
        <v>210</v>
      </c>
      <c r="P166" s="9" t="n">
        <v>250</v>
      </c>
      <c r="Q166" s="9" t="n">
        <v>210</v>
      </c>
      <c r="R166" s="9" t="n">
        <v>510</v>
      </c>
      <c r="S166" s="9" t="n">
        <v>210</v>
      </c>
      <c r="T166" s="9" t="n">
        <v>370</v>
      </c>
      <c r="U166" s="9" t="n">
        <v>730</v>
      </c>
      <c r="V166" s="9" t="n">
        <v>370</v>
      </c>
      <c r="W166" s="9" t="n">
        <v>400</v>
      </c>
      <c r="X166" s="9" t="n">
        <v>300</v>
      </c>
      <c r="Y166" s="9" t="n">
        <v>310</v>
      </c>
      <c r="Z166" s="9" t="n">
        <v>150</v>
      </c>
      <c r="AA166" s="9" t="n">
        <v>260</v>
      </c>
      <c r="AB166" s="9" t="n">
        <v>460</v>
      </c>
      <c r="AC166" s="9" t="n">
        <v>400</v>
      </c>
      <c r="AD166" s="9" t="n">
        <v>380</v>
      </c>
      <c r="AE166" s="9" t="n">
        <v>600</v>
      </c>
      <c r="AF166" s="9" t="n">
        <v>140</v>
      </c>
      <c r="AG166" s="9" t="n">
        <v>220</v>
      </c>
      <c r="AH166" s="9" t="n">
        <v>290</v>
      </c>
      <c r="AI166" s="9" t="n">
        <v>350</v>
      </c>
      <c r="AJ166" s="9" t="n">
        <v>590</v>
      </c>
      <c r="AK166" s="9" t="n">
        <v>420</v>
      </c>
      <c r="AL166" s="9" t="n">
        <v>300</v>
      </c>
      <c r="AM166" s="9" t="n">
        <v>440</v>
      </c>
      <c r="AN166" s="9" t="n">
        <v>570</v>
      </c>
      <c r="AO166" s="9" t="n">
        <v>190</v>
      </c>
      <c r="AP166" s="9" t="n">
        <v>360</v>
      </c>
      <c r="AQ166" s="9" t="n">
        <v>210</v>
      </c>
      <c r="AR166" s="9" t="n">
        <v>440</v>
      </c>
      <c r="AS166" s="9" t="n">
        <v>190</v>
      </c>
      <c r="AT166" s="9" t="n">
        <v>270</v>
      </c>
      <c r="AU166" s="9" t="n">
        <v>390</v>
      </c>
      <c r="AV166" s="9" t="n">
        <v>300</v>
      </c>
      <c r="AW166" s="9" t="n">
        <v>210</v>
      </c>
      <c r="AX166" s="9" t="n">
        <v>90</v>
      </c>
      <c r="AY166" s="9" t="n">
        <v>180</v>
      </c>
      <c r="AZ166" s="9" t="n">
        <v>120</v>
      </c>
      <c r="BA166" s="9" t="n">
        <v>180</v>
      </c>
      <c r="BB166" s="9" t="n">
        <v>230</v>
      </c>
      <c r="BC166" s="9" t="n">
        <v>440</v>
      </c>
      <c r="BD166" s="9" t="n">
        <v>100</v>
      </c>
      <c r="BE166" s="9" t="n">
        <v>160</v>
      </c>
      <c r="BF166" s="9" t="n">
        <v>100</v>
      </c>
      <c r="BG166" s="9" t="n">
        <v>60</v>
      </c>
      <c r="BH166" s="9" t="n">
        <v>220</v>
      </c>
      <c r="BI166" s="9" t="n">
        <v>180</v>
      </c>
      <c r="BJ166" s="9" t="n">
        <v>90</v>
      </c>
      <c r="BK166" s="9" t="n">
        <v>30</v>
      </c>
      <c r="BL166" s="9" t="n">
        <v>300</v>
      </c>
      <c r="BM166" s="9" t="n">
        <v>92</v>
      </c>
      <c r="BN166" s="9" t="n">
        <v>420</v>
      </c>
      <c r="BO166" s="9" t="n">
        <v>250</v>
      </c>
      <c r="BP166" s="9" t="n">
        <v>300</v>
      </c>
      <c r="BQ166" s="9" t="n">
        <v>125</v>
      </c>
      <c r="BR166" s="9" t="n">
        <v>292</v>
      </c>
      <c r="BS166" s="9" t="n">
        <v>240</v>
      </c>
      <c r="BT166" s="9" t="n">
        <v>300</v>
      </c>
      <c r="BU166" s="10" t="n">
        <v>19959</v>
      </c>
      <c r="BV166" s="11" t="n">
        <f aca="false">IF(ISERROR(ROUND(MEDIAN(BQ166:BT166),0)),0,ROUND(MEDIAN(BQ166:BT166),0))</f>
        <v>266</v>
      </c>
      <c r="BW166" s="11" t="n">
        <f aca="false">IF(ISERROR(ROUND(MEDIAN(BM166:BT166),0)),0,ROUND(MEDIAN(BM166:BT166),0))</f>
        <v>271</v>
      </c>
      <c r="BX166" s="11" t="n">
        <f aca="false">IF(ISERROR(ROUND(MEDIAN(BI166:BT166),0)),0,ROUND(MEDIAN(BI166:BT166),0))</f>
        <v>245</v>
      </c>
      <c r="BY166" s="11" t="n">
        <f aca="false">IF(ISERROR(ROUND(MEDIAN(BE166:BT166),0)),0,ROUND(MEDIAN(BE166:BT166),0))</f>
        <v>200</v>
      </c>
      <c r="BZ166" s="11" t="n">
        <f aca="false">IF(ISERROR(ROUND(MEDIAN(AU166:BT166),0)),0,ROUND(MEDIAN(AU166:BT166),0))</f>
        <v>195</v>
      </c>
      <c r="CA166" s="12" t="n">
        <f aca="false">IF(ISERROR(ROUND(MEDIAN(U166:BT166),0)),0,ROUND(MEDIAN(U166:BT166),0))</f>
        <v>280</v>
      </c>
      <c r="CB166" s="12" t="n">
        <f aca="false">IF(ISERROR(ROUND(MEDIAN(BT166),0)),0,ROUND(MEDIAN(BT166),0))</f>
        <v>300</v>
      </c>
      <c r="CC166" s="12" t="n">
        <f aca="false">IF(ISERROR(ROUND(MEDIAN(D166:BT166),0)),0,ROUND(MEDIAN(D166:BT166),0))</f>
        <v>290</v>
      </c>
      <c r="CD166" s="12" t="n">
        <f aca="false">MAX(D166:BT166)</f>
        <v>730</v>
      </c>
      <c r="CE166" s="7" t="n">
        <f aca="false">COUNTA(BQ166:BT166)</f>
        <v>4</v>
      </c>
      <c r="CF166" s="7" t="n">
        <f aca="false">COUNTA(BM166:BT166)</f>
        <v>8</v>
      </c>
      <c r="CG166" s="7" t="n">
        <f aca="false">COUNTA(BI166:BT166)</f>
        <v>12</v>
      </c>
      <c r="CH166" s="7" t="n">
        <f aca="false">COUNTA(BE166:BT166)</f>
        <v>16</v>
      </c>
      <c r="CI166" s="7" t="n">
        <f aca="false">COUNTA(AU166:BT166)</f>
        <v>26</v>
      </c>
      <c r="CJ166" s="7" t="n">
        <f aca="false">COUNTA(U166:BT166)</f>
        <v>52</v>
      </c>
      <c r="CK166" s="7" t="n">
        <f aca="false">COUNTA(BT166)</f>
        <v>1</v>
      </c>
      <c r="CL166" s="7" t="n">
        <f aca="false">COUNTA(D166:BT166)</f>
        <v>69</v>
      </c>
      <c r="CM166" s="13" t="str">
        <f aca="false">IF(AND(CE166=1,CJ166=1,BT166&lt;&gt;""),"5.ENTRANTES",IF(AND(CE166&lt;&gt;0,CE166/RIGHT($CE$1,1)&gt;=0.5,CJ166=CE166),"4.RECENTES",IF(AND(CF166&lt;&gt;0,CF166/RIGHT($CF$1,1)&gt;=0.5,CJ166=CF166),"4.RECENTES",IF(AND(CG166&lt;&gt;0,CG166/RIGHT($CG$1,2)&gt;=0.5,CJ166=CG166),"4.RECENTES",IF(AND(CH166&lt;&gt;0,CH166/RIGHT($CH$1,2)&gt;=0.5,CJ166=CH166),"4.RECENTES",IF(AND(CI166&lt;&gt;0,CI166/RIGHT($CI$1,2)&gt;=0.5,CJ166=CI166),"4.RECENTES",IF(AND(CE166=0,CF166=0,CG166=0,CH166=0),"3.INATIVOS",IF(CJ166/RIGHT($CJ$1,2)&lt;0.5,"2.INTERMITENTES","1.ORDINÁRIOS"))))))))</f>
        <v>1.ORDINÁRIOS</v>
      </c>
      <c r="CN166" s="14" t="n">
        <f aca="false">IF(AND(CE166=1,CJ166=1,BT166&lt;&gt;""),BT166,IF(AND(CE166&lt;&gt;0,CE166/RIGHT($CE$1,1)&gt;=0.5,CJ166=CE166),MAX(BV166:CC166),IF(AND(CF166&lt;&gt;0,CF166/RIGHT($CF$1,1)&gt;=0.5,CJ166=CF166),MAX(BV166:CC166),IF(AND(CG166&lt;&gt;0,CG166/RIGHT($CG$1,2)&gt;=0.5,CJ166=CG166),MAX(BV166:CC166),IF(AND(CH166&lt;&gt;0,CH166/RIGHT($CH$1,2)&gt;=0.5,CJ166=CH166),MAX(BV166:CC166),IF(AND(CI166&lt;&gt;0,CI166/RIGHT($CI$1,2)&gt;=0.5,CJ166=CI166),MAX(BV166:CC166),IF(AND(CE166=0,CF166=0,CG166=0,CH166=0),0,IF(CJ166/RIGHT($CJ$1,2)&lt;0.5,ROUND(BU166/RIGHT($CJ$1,2),0),MAX(BV166:CC166)))))))))</f>
        <v>300</v>
      </c>
      <c r="CO166" s="14" t="n">
        <f aca="false">CN166*3</f>
        <v>900</v>
      </c>
      <c r="CP166" s="15" t="n">
        <v>593</v>
      </c>
      <c r="CQ166" s="16" t="n">
        <f aca="false">IF((CO166-CP166)&lt;0,0,(CO166-CP166))</f>
        <v>307</v>
      </c>
      <c r="CR166" s="7"/>
    </row>
    <row r="167" customFormat="false" ht="12.75" hidden="false" customHeight="true" outlineLevel="0" collapsed="false">
      <c r="A167" s="7" t="s">
        <v>95</v>
      </c>
      <c r="B167" s="7" t="s">
        <v>261</v>
      </c>
      <c r="C167" s="8" t="n">
        <v>2000038</v>
      </c>
      <c r="D167" s="9" t="n">
        <v>30</v>
      </c>
      <c r="E167" s="9" t="n">
        <v>330</v>
      </c>
      <c r="F167" s="9" t="n">
        <v>270</v>
      </c>
      <c r="G167" s="9" t="n">
        <v>50</v>
      </c>
      <c r="H167" s="9" t="n">
        <v>60</v>
      </c>
      <c r="I167" s="9" t="n">
        <v>240</v>
      </c>
      <c r="J167" s="9" t="n">
        <v>430</v>
      </c>
      <c r="K167" s="9" t="n">
        <v>200</v>
      </c>
      <c r="L167" s="9" t="n">
        <v>240</v>
      </c>
      <c r="M167" s="9" t="n">
        <v>550</v>
      </c>
      <c r="N167" s="9" t="n">
        <v>480</v>
      </c>
      <c r="O167" s="9" t="n">
        <v>300</v>
      </c>
      <c r="P167" s="9" t="n">
        <v>210</v>
      </c>
      <c r="Q167" s="9" t="n">
        <v>350</v>
      </c>
      <c r="R167" s="9" t="n">
        <v>500</v>
      </c>
      <c r="S167" s="9" t="n">
        <v>225</v>
      </c>
      <c r="T167" s="9" t="n">
        <v>125</v>
      </c>
      <c r="U167" s="9" t="n">
        <v>430</v>
      </c>
      <c r="V167" s="9" t="n">
        <v>600</v>
      </c>
      <c r="W167" s="9" t="n">
        <v>270</v>
      </c>
      <c r="X167" s="9" t="n">
        <v>225</v>
      </c>
      <c r="Y167" s="9" t="n">
        <v>700</v>
      </c>
      <c r="Z167" s="9" t="n">
        <v>550</v>
      </c>
      <c r="AA167" s="9" t="n">
        <v>200</v>
      </c>
      <c r="AB167" s="9" t="n">
        <v>723</v>
      </c>
      <c r="AC167" s="9" t="n">
        <v>400</v>
      </c>
      <c r="AD167" s="9" t="n">
        <v>100</v>
      </c>
      <c r="AE167" s="9" t="n">
        <v>375</v>
      </c>
      <c r="AF167" s="9" t="n">
        <v>225</v>
      </c>
      <c r="AG167" s="9" t="n">
        <v>640</v>
      </c>
      <c r="AH167" s="9" t="n">
        <v>100</v>
      </c>
      <c r="AI167" s="9" t="n">
        <v>125</v>
      </c>
      <c r="AJ167" s="9"/>
      <c r="AK167" s="9" t="n">
        <v>180</v>
      </c>
      <c r="AL167" s="9" t="n">
        <v>300</v>
      </c>
      <c r="AM167" s="9" t="n">
        <v>420</v>
      </c>
      <c r="AN167" s="9" t="n">
        <v>310</v>
      </c>
      <c r="AO167" s="9" t="n">
        <v>190</v>
      </c>
      <c r="AP167" s="9" t="n">
        <v>175</v>
      </c>
      <c r="AQ167" s="9" t="n">
        <v>140</v>
      </c>
      <c r="AR167" s="9" t="n">
        <v>315</v>
      </c>
      <c r="AS167" s="9" t="n">
        <v>125</v>
      </c>
      <c r="AT167" s="9" t="n">
        <v>85</v>
      </c>
      <c r="AU167" s="9" t="n">
        <v>335</v>
      </c>
      <c r="AV167" s="9" t="n">
        <v>275</v>
      </c>
      <c r="AW167" s="9" t="n">
        <v>245</v>
      </c>
      <c r="AX167" s="9" t="n">
        <v>495</v>
      </c>
      <c r="AY167" s="9" t="n">
        <v>110</v>
      </c>
      <c r="AZ167" s="9" t="n">
        <v>145</v>
      </c>
      <c r="BA167" s="9" t="n">
        <v>229</v>
      </c>
      <c r="BB167" s="9" t="n">
        <v>175</v>
      </c>
      <c r="BC167" s="9" t="n">
        <v>175</v>
      </c>
      <c r="BD167" s="9" t="n">
        <v>100</v>
      </c>
      <c r="BE167" s="9" t="n">
        <v>125</v>
      </c>
      <c r="BF167" s="9" t="n">
        <v>260</v>
      </c>
      <c r="BG167" s="9" t="n">
        <v>30</v>
      </c>
      <c r="BH167" s="9" t="n">
        <v>175</v>
      </c>
      <c r="BI167" s="9" t="n">
        <v>230</v>
      </c>
      <c r="BJ167" s="9" t="n">
        <v>175</v>
      </c>
      <c r="BK167" s="9" t="n">
        <v>130</v>
      </c>
      <c r="BL167" s="9" t="n">
        <v>300</v>
      </c>
      <c r="BM167" s="9" t="n">
        <v>50</v>
      </c>
      <c r="BN167" s="9" t="n">
        <v>360</v>
      </c>
      <c r="BO167" s="9" t="n">
        <v>145</v>
      </c>
      <c r="BP167" s="9" t="n">
        <v>400</v>
      </c>
      <c r="BQ167" s="9" t="n">
        <v>220</v>
      </c>
      <c r="BR167" s="9" t="n">
        <v>180</v>
      </c>
      <c r="BS167" s="9"/>
      <c r="BT167" s="9" t="n">
        <v>135</v>
      </c>
      <c r="BU167" s="10" t="n">
        <v>17692</v>
      </c>
      <c r="BV167" s="11" t="n">
        <f aca="false">IF(ISERROR(ROUND(MEDIAN(BQ167:BT167),0)),0,ROUND(MEDIAN(BQ167:BT167),0))</f>
        <v>180</v>
      </c>
      <c r="BW167" s="11" t="n">
        <f aca="false">IF(ISERROR(ROUND(MEDIAN(BM167:BT167),0)),0,ROUND(MEDIAN(BM167:BT167),0))</f>
        <v>180</v>
      </c>
      <c r="BX167" s="11" t="n">
        <f aca="false">IF(ISERROR(ROUND(MEDIAN(BI167:BT167),0)),0,ROUND(MEDIAN(BI167:BT167),0))</f>
        <v>180</v>
      </c>
      <c r="BY167" s="11" t="n">
        <f aca="false">IF(ISERROR(ROUND(MEDIAN(BE167:BT167),0)),0,ROUND(MEDIAN(BE167:BT167),0))</f>
        <v>175</v>
      </c>
      <c r="BZ167" s="11" t="n">
        <f aca="false">IF(ISERROR(ROUND(MEDIAN(AU167:BT167),0)),0,ROUND(MEDIAN(AU167:BT167),0))</f>
        <v>175</v>
      </c>
      <c r="CA167" s="12" t="n">
        <f aca="false">IF(ISERROR(ROUND(MEDIAN(U167:BT167),0)),0,ROUND(MEDIAN(U167:BT167),0))</f>
        <v>223</v>
      </c>
      <c r="CB167" s="12" t="n">
        <f aca="false">IF(ISERROR(ROUND(MEDIAN(BT167),0)),0,ROUND(MEDIAN(BT167),0))</f>
        <v>135</v>
      </c>
      <c r="CC167" s="12" t="n">
        <f aca="false">IF(ISERROR(ROUND(MEDIAN(D167:BT167),0)),0,ROUND(MEDIAN(D167:BT167),0))</f>
        <v>225</v>
      </c>
      <c r="CD167" s="12" t="n">
        <f aca="false">MAX(D167:BT167)</f>
        <v>723</v>
      </c>
      <c r="CE167" s="7" t="n">
        <f aca="false">COUNTA(BQ167:BT167)</f>
        <v>3</v>
      </c>
      <c r="CF167" s="7" t="n">
        <f aca="false">COUNTA(BM167:BT167)</f>
        <v>7</v>
      </c>
      <c r="CG167" s="7" t="n">
        <f aca="false">COUNTA(BI167:BT167)</f>
        <v>11</v>
      </c>
      <c r="CH167" s="7" t="n">
        <f aca="false">COUNTA(BE167:BT167)</f>
        <v>15</v>
      </c>
      <c r="CI167" s="7" t="n">
        <f aca="false">COUNTA(AU167:BT167)</f>
        <v>25</v>
      </c>
      <c r="CJ167" s="7" t="n">
        <f aca="false">COUNTA(U167:BT167)</f>
        <v>50</v>
      </c>
      <c r="CK167" s="7" t="n">
        <f aca="false">COUNTA(BT167)</f>
        <v>1</v>
      </c>
      <c r="CL167" s="7" t="n">
        <f aca="false">COUNTA(D167:BT167)</f>
        <v>67</v>
      </c>
      <c r="CM167" s="13" t="str">
        <f aca="false">IF(AND(CE167=1,CJ167=1,BT167&lt;&gt;""),"5.ENTRANTES",IF(AND(CE167&lt;&gt;0,CE167/RIGHT($CE$1,1)&gt;=0.5,CJ167=CE167),"4.RECENTES",IF(AND(CF167&lt;&gt;0,CF167/RIGHT($CF$1,1)&gt;=0.5,CJ167=CF167),"4.RECENTES",IF(AND(CG167&lt;&gt;0,CG167/RIGHT($CG$1,2)&gt;=0.5,CJ167=CG167),"4.RECENTES",IF(AND(CH167&lt;&gt;0,CH167/RIGHT($CH$1,2)&gt;=0.5,CJ167=CH167),"4.RECENTES",IF(AND(CI167&lt;&gt;0,CI167/RIGHT($CI$1,2)&gt;=0.5,CJ167=CI167),"4.RECENTES",IF(AND(CE167=0,CF167=0,CG167=0,CH167=0),"3.INATIVOS",IF(CJ167/RIGHT($CJ$1,2)&lt;0.5,"2.INTERMITENTES","1.ORDINÁRIOS"))))))))</f>
        <v>1.ORDINÁRIOS</v>
      </c>
      <c r="CN167" s="14" t="n">
        <f aca="false">IF(AND(CE167=1,CJ167=1,BT167&lt;&gt;""),BT167,IF(AND(CE167&lt;&gt;0,CE167/RIGHT($CE$1,1)&gt;=0.5,CJ167=CE167),MAX(BV167:CC167),IF(AND(CF167&lt;&gt;0,CF167/RIGHT($CF$1,1)&gt;=0.5,CJ167=CF167),MAX(BV167:CC167),IF(AND(CG167&lt;&gt;0,CG167/RIGHT($CG$1,2)&gt;=0.5,CJ167=CG167),MAX(BV167:CC167),IF(AND(CH167&lt;&gt;0,CH167/RIGHT($CH$1,2)&gt;=0.5,CJ167=CH167),MAX(BV167:CC167),IF(AND(CI167&lt;&gt;0,CI167/RIGHT($CI$1,2)&gt;=0.5,CJ167=CI167),MAX(BV167:CC167),IF(AND(CE167=0,CF167=0,CG167=0,CH167=0),0,IF(CJ167/RIGHT($CJ$1,2)&lt;0.5,ROUND(BU167/RIGHT($CJ$1,2),0),MAX(BV167:CC167)))))))))</f>
        <v>225</v>
      </c>
      <c r="CO167" s="14" t="n">
        <f aca="false">CN167*3</f>
        <v>675</v>
      </c>
      <c r="CP167" s="15" t="n">
        <v>280</v>
      </c>
      <c r="CQ167" s="16" t="n">
        <f aca="false">IF((CO167-CP167)&lt;0,0,(CO167-CP167))</f>
        <v>395</v>
      </c>
      <c r="CR167" s="7"/>
    </row>
    <row r="168" customFormat="false" ht="12.75" hidden="false" customHeight="true" outlineLevel="0" collapsed="false">
      <c r="A168" s="7" t="s">
        <v>95</v>
      </c>
      <c r="B168" s="7" t="s">
        <v>262</v>
      </c>
      <c r="C168" s="8" t="n">
        <v>308003001</v>
      </c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 t="n">
        <v>30</v>
      </c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 s="9"/>
      <c r="BJ168" s="9"/>
      <c r="BK168" s="9"/>
      <c r="BL168" s="9"/>
      <c r="BM168" s="9"/>
      <c r="BN168" s="9"/>
      <c r="BO168" s="9"/>
      <c r="BP168" s="9"/>
      <c r="BQ168" s="9"/>
      <c r="BR168" s="9"/>
      <c r="BS168" s="9"/>
      <c r="BT168" s="9"/>
      <c r="BU168" s="10" t="n">
        <v>30</v>
      </c>
      <c r="BV168" s="11" t="n">
        <f aca="false">IF(ISERROR(ROUND(MEDIAN(BQ168:BT168),0)),0,ROUND(MEDIAN(BQ168:BT168),0))</f>
        <v>0</v>
      </c>
      <c r="BW168" s="11" t="n">
        <f aca="false">IF(ISERROR(ROUND(MEDIAN(BM168:BT168),0)),0,ROUND(MEDIAN(BM168:BT168),0))</f>
        <v>0</v>
      </c>
      <c r="BX168" s="11" t="n">
        <f aca="false">IF(ISERROR(ROUND(MEDIAN(BI168:BT168),0)),0,ROUND(MEDIAN(BI168:BT168),0))</f>
        <v>0</v>
      </c>
      <c r="BY168" s="11" t="n">
        <f aca="false">IF(ISERROR(ROUND(MEDIAN(BE168:BT168),0)),0,ROUND(MEDIAN(BE168:BT168),0))</f>
        <v>0</v>
      </c>
      <c r="BZ168" s="11" t="n">
        <f aca="false">IF(ISERROR(ROUND(MEDIAN(AU168:BT168),0)),0,ROUND(MEDIAN(AU168:BT168),0))</f>
        <v>0</v>
      </c>
      <c r="CA168" s="12" t="n">
        <f aca="false">IF(ISERROR(ROUND(MEDIAN(U168:BT168),0)),0,ROUND(MEDIAN(U168:BT168),0))</f>
        <v>30</v>
      </c>
      <c r="CB168" s="12" t="n">
        <f aca="false">IF(ISERROR(ROUND(MEDIAN(BT168),0)),0,ROUND(MEDIAN(BT168),0))</f>
        <v>0</v>
      </c>
      <c r="CC168" s="12" t="n">
        <f aca="false">IF(ISERROR(ROUND(MEDIAN(D168:BT168),0)),0,ROUND(MEDIAN(D168:BT168),0))</f>
        <v>30</v>
      </c>
      <c r="CD168" s="12" t="n">
        <f aca="false">MAX(D168:BT168)</f>
        <v>30</v>
      </c>
      <c r="CE168" s="7" t="n">
        <f aca="false">COUNTA(BQ168:BT168)</f>
        <v>0</v>
      </c>
      <c r="CF168" s="7" t="n">
        <f aca="false">COUNTA(BM168:BT168)</f>
        <v>0</v>
      </c>
      <c r="CG168" s="7" t="n">
        <f aca="false">COUNTA(BI168:BT168)</f>
        <v>0</v>
      </c>
      <c r="CH168" s="7" t="n">
        <f aca="false">COUNTA(BE168:BT168)</f>
        <v>0</v>
      </c>
      <c r="CI168" s="7" t="n">
        <f aca="false">COUNTA(AU168:BT168)</f>
        <v>0</v>
      </c>
      <c r="CJ168" s="7" t="n">
        <f aca="false">COUNTA(U168:BT168)</f>
        <v>1</v>
      </c>
      <c r="CK168" s="7" t="n">
        <f aca="false">COUNTA(BT168)</f>
        <v>0</v>
      </c>
      <c r="CL168" s="7" t="n">
        <f aca="false">COUNTA(D168:BT168)</f>
        <v>1</v>
      </c>
      <c r="CM168" s="19" t="str">
        <f aca="false">IF(AND(CE168=1,CJ168=1,BT168&lt;&gt;""),"5.ENTRANTES",IF(AND(CE168&lt;&gt;0,CE168/RIGHT($CE$1,1)&gt;=0.5,CJ168=CE168),"4.RECENTES",IF(AND(CF168&lt;&gt;0,CF168/RIGHT($CF$1,1)&gt;=0.5,CJ168=CF168),"4.RECENTES",IF(AND(CG168&lt;&gt;0,CG168/RIGHT($CG$1,2)&gt;=0.5,CJ168=CG168),"4.RECENTES",IF(AND(CH168&lt;&gt;0,CH168/RIGHT($CH$1,2)&gt;=0.5,CJ168=CH168),"4.RECENTES",IF(AND(CI168&lt;&gt;0,CI168/RIGHT($CI$1,2)&gt;=0.5,CJ168=CI168),"4.RECENTES",IF(AND(CE168=0,CF168=0,CG168=0,CH168=0),"3.INATIVOS",IF(CJ168/RIGHT($CJ$1,2)&lt;0.5,"2.INTERMITENTES","1.ORDINÁRIOS"))))))))</f>
        <v>3.INATIVOS</v>
      </c>
      <c r="CN168" s="20" t="n">
        <f aca="false">IF(AND(CE168=1,CJ168=1,BT168&lt;&gt;""),BT168,IF(AND(CE168&lt;&gt;0,CE168/RIGHT($CE$1,1)&gt;=0.5,CJ168=CE168),MAX(BV168:CC168),IF(AND(CF168&lt;&gt;0,CF168/RIGHT($CF$1,1)&gt;=0.5,CJ168=CF168),MAX(BV168:CC168),IF(AND(CG168&lt;&gt;0,CG168/RIGHT($CG$1,2)&gt;=0.5,CJ168=CG168),MAX(BV168:CC168),IF(AND(CH168&lt;&gt;0,CH168/RIGHT($CH$1,2)&gt;=0.5,CJ168=CH168),MAX(BV168:CC168),IF(AND(CI168&lt;&gt;0,CI168/RIGHT($CI$1,2)&gt;=0.5,CJ168=CI168),MAX(BV168:CC168),IF(AND(CE168=0,CF168=0,CG168=0,CH168=0),0,IF(CJ168/RIGHT($CJ$1,2)&lt;0.5,ROUND(BU168/RIGHT($CJ$1,2),0),MAX(BV168:CC168)))))))))</f>
        <v>0</v>
      </c>
      <c r="CO168" s="20" t="n">
        <f aca="false">CN168*3</f>
        <v>0</v>
      </c>
      <c r="CP168" s="15" t="n">
        <v>200</v>
      </c>
      <c r="CQ168" s="16" t="n">
        <f aca="false">IF((CO168-CP168)&lt;0,0,(CO168-CP168))</f>
        <v>0</v>
      </c>
      <c r="CR168" s="7"/>
    </row>
    <row r="169" customFormat="false" ht="12.75" hidden="false" customHeight="true" outlineLevel="0" collapsed="false">
      <c r="A169" s="7" t="s">
        <v>95</v>
      </c>
      <c r="B169" s="7" t="s">
        <v>263</v>
      </c>
      <c r="C169" s="8" t="n">
        <v>6000002</v>
      </c>
      <c r="D169" s="9" t="n">
        <v>60</v>
      </c>
      <c r="E169" s="9" t="n">
        <v>360</v>
      </c>
      <c r="F169" s="9" t="n">
        <v>300</v>
      </c>
      <c r="G169" s="9" t="n">
        <v>211</v>
      </c>
      <c r="H169" s="9" t="n">
        <v>90</v>
      </c>
      <c r="I169" s="9" t="n">
        <v>390</v>
      </c>
      <c r="J169" s="9" t="n">
        <v>300</v>
      </c>
      <c r="K169" s="9" t="n">
        <v>150</v>
      </c>
      <c r="L169" s="9" t="n">
        <v>240</v>
      </c>
      <c r="M169" s="9" t="n">
        <v>420</v>
      </c>
      <c r="N169" s="9" t="n">
        <v>559</v>
      </c>
      <c r="O169" s="9" t="n">
        <v>330</v>
      </c>
      <c r="P169" s="9" t="n">
        <v>140</v>
      </c>
      <c r="Q169" s="9" t="n">
        <v>240</v>
      </c>
      <c r="R169" s="9" t="n">
        <v>240</v>
      </c>
      <c r="S169" s="9" t="n">
        <v>330</v>
      </c>
      <c r="T169" s="9" t="n">
        <v>200</v>
      </c>
      <c r="U169" s="9" t="n">
        <v>480</v>
      </c>
      <c r="V169" s="9" t="n">
        <v>400</v>
      </c>
      <c r="W169" s="9" t="n">
        <v>240</v>
      </c>
      <c r="X169" s="9" t="n">
        <v>240</v>
      </c>
      <c r="Y169" s="9" t="n">
        <v>180</v>
      </c>
      <c r="Z169" s="9" t="n">
        <v>180</v>
      </c>
      <c r="AA169" s="9" t="n">
        <v>210</v>
      </c>
      <c r="AB169" s="9" t="n">
        <v>180</v>
      </c>
      <c r="AC169" s="9" t="n">
        <v>30</v>
      </c>
      <c r="AD169" s="9" t="n">
        <v>350</v>
      </c>
      <c r="AE169" s="9" t="n">
        <v>220</v>
      </c>
      <c r="AF169" s="9"/>
      <c r="AG169" s="9"/>
      <c r="AH169" s="9"/>
      <c r="AI169" s="9" t="n">
        <v>270</v>
      </c>
      <c r="AJ169" s="9"/>
      <c r="AK169" s="9" t="n">
        <v>150</v>
      </c>
      <c r="AL169" s="9" t="n">
        <v>180</v>
      </c>
      <c r="AM169" s="9" t="n">
        <v>270</v>
      </c>
      <c r="AN169" s="9" t="n">
        <v>240</v>
      </c>
      <c r="AO169" s="9" t="n">
        <v>210</v>
      </c>
      <c r="AP169" s="9" t="n">
        <v>240</v>
      </c>
      <c r="AQ169" s="9" t="n">
        <v>170</v>
      </c>
      <c r="AR169" s="9" t="n">
        <v>280</v>
      </c>
      <c r="AS169" s="9" t="n">
        <v>90</v>
      </c>
      <c r="AT169" s="9" t="n">
        <v>90</v>
      </c>
      <c r="AU169" s="9" t="n">
        <v>50</v>
      </c>
      <c r="AV169" s="9" t="n">
        <v>150</v>
      </c>
      <c r="AW169" s="9" t="n">
        <v>120</v>
      </c>
      <c r="AX169" s="9" t="n">
        <v>120</v>
      </c>
      <c r="AY169" s="9" t="n">
        <v>110</v>
      </c>
      <c r="AZ169" s="9" t="n">
        <v>110</v>
      </c>
      <c r="BA169" s="9" t="n">
        <v>150</v>
      </c>
      <c r="BB169" s="9" t="n">
        <v>150</v>
      </c>
      <c r="BC169" s="9" t="n">
        <v>90</v>
      </c>
      <c r="BD169" s="9" t="n">
        <v>90</v>
      </c>
      <c r="BE169" s="9" t="n">
        <v>90</v>
      </c>
      <c r="BF169" s="9" t="n">
        <v>240</v>
      </c>
      <c r="BG169" s="9" t="n">
        <v>150</v>
      </c>
      <c r="BH169" s="9" t="n">
        <v>160</v>
      </c>
      <c r="BI169" s="9" t="n">
        <v>90</v>
      </c>
      <c r="BJ169" s="9" t="n">
        <v>120</v>
      </c>
      <c r="BK169" s="9" t="n">
        <v>60</v>
      </c>
      <c r="BL169" s="9" t="n">
        <v>90</v>
      </c>
      <c r="BM169" s="9" t="n">
        <v>180</v>
      </c>
      <c r="BN169" s="9" t="n">
        <v>270</v>
      </c>
      <c r="BO169" s="9" t="n">
        <v>370</v>
      </c>
      <c r="BP169" s="9" t="n">
        <v>170</v>
      </c>
      <c r="BQ169" s="9" t="n">
        <v>150</v>
      </c>
      <c r="BR169" s="9" t="n">
        <v>120</v>
      </c>
      <c r="BS169" s="9" t="n">
        <v>90</v>
      </c>
      <c r="BT169" s="9" t="n">
        <v>120</v>
      </c>
      <c r="BU169" s="10" t="n">
        <v>13070</v>
      </c>
      <c r="BV169" s="11" t="n">
        <f aca="false">IF(ISERROR(ROUND(MEDIAN(BQ169:BT169),0)),0,ROUND(MEDIAN(BQ169:BT169),0))</f>
        <v>120</v>
      </c>
      <c r="BW169" s="11" t="n">
        <f aca="false">IF(ISERROR(ROUND(MEDIAN(BM169:BT169),0)),0,ROUND(MEDIAN(BM169:BT169),0))</f>
        <v>160</v>
      </c>
      <c r="BX169" s="11" t="n">
        <f aca="false">IF(ISERROR(ROUND(MEDIAN(BI169:BT169),0)),0,ROUND(MEDIAN(BI169:BT169),0))</f>
        <v>120</v>
      </c>
      <c r="BY169" s="11" t="n">
        <f aca="false">IF(ISERROR(ROUND(MEDIAN(BE169:BT169),0)),0,ROUND(MEDIAN(BE169:BT169),0))</f>
        <v>135</v>
      </c>
      <c r="BZ169" s="11" t="n">
        <f aca="false">IF(ISERROR(ROUND(MEDIAN(AU169:BT169),0)),0,ROUND(MEDIAN(AU169:BT169),0))</f>
        <v>120</v>
      </c>
      <c r="CA169" s="12" t="n">
        <f aca="false">IF(ISERROR(ROUND(MEDIAN(U169:BT169),0)),0,ROUND(MEDIAN(U169:BT169),0))</f>
        <v>155</v>
      </c>
      <c r="CB169" s="12" t="n">
        <f aca="false">IF(ISERROR(ROUND(MEDIAN(BT169),0)),0,ROUND(MEDIAN(BT169),0))</f>
        <v>120</v>
      </c>
      <c r="CC169" s="12" t="n">
        <f aca="false">IF(ISERROR(ROUND(MEDIAN(D169:BT169),0)),0,ROUND(MEDIAN(D169:BT169),0))</f>
        <v>180</v>
      </c>
      <c r="CD169" s="12" t="n">
        <f aca="false">MAX(D169:BT169)</f>
        <v>559</v>
      </c>
      <c r="CE169" s="7" t="n">
        <f aca="false">COUNTA(BQ169:BT169)</f>
        <v>4</v>
      </c>
      <c r="CF169" s="7" t="n">
        <f aca="false">COUNTA(BM169:BT169)</f>
        <v>8</v>
      </c>
      <c r="CG169" s="7" t="n">
        <f aca="false">COUNTA(BI169:BT169)</f>
        <v>12</v>
      </c>
      <c r="CH169" s="7" t="n">
        <f aca="false">COUNTA(BE169:BT169)</f>
        <v>16</v>
      </c>
      <c r="CI169" s="7" t="n">
        <f aca="false">COUNTA(AU169:BT169)</f>
        <v>26</v>
      </c>
      <c r="CJ169" s="7" t="n">
        <f aca="false">COUNTA(U169:BT169)</f>
        <v>48</v>
      </c>
      <c r="CK169" s="7" t="n">
        <f aca="false">COUNTA(BT169)</f>
        <v>1</v>
      </c>
      <c r="CL169" s="7" t="n">
        <f aca="false">COUNTA(D169:BT169)</f>
        <v>65</v>
      </c>
      <c r="CM169" s="13" t="str">
        <f aca="false">IF(AND(CE169=1,CJ169=1,BT169&lt;&gt;""),"5.ENTRANTES",IF(AND(CE169&lt;&gt;0,CE169/RIGHT($CE$1,1)&gt;=0.5,CJ169=CE169),"4.RECENTES",IF(AND(CF169&lt;&gt;0,CF169/RIGHT($CF$1,1)&gt;=0.5,CJ169=CF169),"4.RECENTES",IF(AND(CG169&lt;&gt;0,CG169/RIGHT($CG$1,2)&gt;=0.5,CJ169=CG169),"4.RECENTES",IF(AND(CH169&lt;&gt;0,CH169/RIGHT($CH$1,2)&gt;=0.5,CJ169=CH169),"4.RECENTES",IF(AND(CI169&lt;&gt;0,CI169/RIGHT($CI$1,2)&gt;=0.5,CJ169=CI169),"4.RECENTES",IF(AND(CE169=0,CF169=0,CG169=0,CH169=0),"3.INATIVOS",IF(CJ169/RIGHT($CJ$1,2)&lt;0.5,"2.INTERMITENTES","1.ORDINÁRIOS"))))))))</f>
        <v>1.ORDINÁRIOS</v>
      </c>
      <c r="CN169" s="14" t="n">
        <f aca="false">IF(AND(CE169=1,CJ169=1,BT169&lt;&gt;""),BT169,IF(AND(CE169&lt;&gt;0,CE169/RIGHT($CE$1,1)&gt;=0.5,CJ169=CE169),MAX(BV169:CC169),IF(AND(CF169&lt;&gt;0,CF169/RIGHT($CF$1,1)&gt;=0.5,CJ169=CF169),MAX(BV169:CC169),IF(AND(CG169&lt;&gt;0,CG169/RIGHT($CG$1,2)&gt;=0.5,CJ169=CG169),MAX(BV169:CC169),IF(AND(CH169&lt;&gt;0,CH169/RIGHT($CH$1,2)&gt;=0.5,CJ169=CH169),MAX(BV169:CC169),IF(AND(CI169&lt;&gt;0,CI169/RIGHT($CI$1,2)&gt;=0.5,CJ169=CI169),MAX(BV169:CC169),IF(AND(CE169=0,CF169=0,CG169=0,CH169=0),0,IF(CJ169/RIGHT($CJ$1,2)&lt;0.5,ROUND(BU169/RIGHT($CJ$1,2),0),MAX(BV169:CC169)))))))))</f>
        <v>180</v>
      </c>
      <c r="CO169" s="14" t="n">
        <f aca="false">CN169*3</f>
        <v>540</v>
      </c>
      <c r="CP169" s="15" t="n">
        <v>850</v>
      </c>
      <c r="CQ169" s="16" t="n">
        <f aca="false">IF((CO169-CP169)&lt;0,0,(CO169-CP169))</f>
        <v>0</v>
      </c>
      <c r="CR169" s="7"/>
    </row>
    <row r="170" customFormat="false" ht="12.75" hidden="false" customHeight="true" outlineLevel="0" collapsed="false">
      <c r="A170" s="7" t="s">
        <v>95</v>
      </c>
      <c r="B170" s="7" t="s">
        <v>264</v>
      </c>
      <c r="C170" s="8" t="n">
        <v>308001001</v>
      </c>
      <c r="D170" s="9"/>
      <c r="E170" s="9" t="n">
        <v>35</v>
      </c>
      <c r="F170" s="9"/>
      <c r="G170" s="9"/>
      <c r="H170" s="9" t="n">
        <v>70</v>
      </c>
      <c r="I170" s="9" t="n">
        <v>70</v>
      </c>
      <c r="J170" s="9"/>
      <c r="K170" s="9" t="n">
        <v>70</v>
      </c>
      <c r="L170" s="9" t="n">
        <v>60</v>
      </c>
      <c r="M170" s="9" t="n">
        <v>210</v>
      </c>
      <c r="N170" s="9"/>
      <c r="O170" s="9"/>
      <c r="P170" s="9"/>
      <c r="Q170" s="9" t="n">
        <v>70</v>
      </c>
      <c r="R170" s="9"/>
      <c r="S170" s="9"/>
      <c r="T170" s="9" t="n">
        <v>245</v>
      </c>
      <c r="U170" s="9"/>
      <c r="V170" s="9" t="n">
        <v>140</v>
      </c>
      <c r="W170" s="9"/>
      <c r="X170" s="9" t="n">
        <v>70</v>
      </c>
      <c r="Y170" s="9"/>
      <c r="Z170" s="9" t="n">
        <v>70</v>
      </c>
      <c r="AA170" s="9"/>
      <c r="AB170" s="9" t="n">
        <v>35</v>
      </c>
      <c r="AC170" s="9"/>
      <c r="AD170" s="9" t="n">
        <v>70</v>
      </c>
      <c r="AE170" s="9" t="n">
        <v>70</v>
      </c>
      <c r="AF170" s="9" t="n">
        <v>105</v>
      </c>
      <c r="AG170" s="9"/>
      <c r="AH170" s="9" t="n">
        <v>70</v>
      </c>
      <c r="AI170" s="9" t="n">
        <v>95</v>
      </c>
      <c r="AJ170" s="9"/>
      <c r="AK170" s="9" t="n">
        <v>35</v>
      </c>
      <c r="AL170" s="9" t="n">
        <v>70</v>
      </c>
      <c r="AM170" s="9" t="n">
        <v>145</v>
      </c>
      <c r="AN170" s="9"/>
      <c r="AO170" s="9"/>
      <c r="AP170" s="9"/>
      <c r="AQ170" s="9" t="n">
        <v>35</v>
      </c>
      <c r="AR170" s="9" t="n">
        <v>175</v>
      </c>
      <c r="AS170" s="9"/>
      <c r="AT170" s="9" t="n">
        <v>35</v>
      </c>
      <c r="AU170" s="9"/>
      <c r="AV170" s="9" t="n">
        <v>105</v>
      </c>
      <c r="AW170" s="9" t="n">
        <v>70</v>
      </c>
      <c r="AX170" s="9"/>
      <c r="AY170" s="9"/>
      <c r="AZ170" s="9" t="n">
        <v>105</v>
      </c>
      <c r="BA170" s="9" t="n">
        <v>35</v>
      </c>
      <c r="BB170" s="9"/>
      <c r="BC170" s="9" t="n">
        <v>70</v>
      </c>
      <c r="BD170" s="9"/>
      <c r="BE170" s="9" t="n">
        <v>95</v>
      </c>
      <c r="BF170" s="9" t="n">
        <v>70</v>
      </c>
      <c r="BG170" s="9"/>
      <c r="BH170" s="9" t="n">
        <v>70</v>
      </c>
      <c r="BI170" s="9" t="n">
        <v>140</v>
      </c>
      <c r="BJ170" s="9" t="n">
        <v>35</v>
      </c>
      <c r="BK170" s="9"/>
      <c r="BL170" s="9"/>
      <c r="BM170" s="9" t="n">
        <v>70</v>
      </c>
      <c r="BN170" s="9" t="n">
        <v>70</v>
      </c>
      <c r="BO170" s="9" t="n">
        <v>140</v>
      </c>
      <c r="BP170" s="9"/>
      <c r="BQ170" s="9" t="n">
        <v>70</v>
      </c>
      <c r="BR170" s="9" t="n">
        <v>105</v>
      </c>
      <c r="BS170" s="9"/>
      <c r="BT170" s="9" t="n">
        <v>30</v>
      </c>
      <c r="BU170" s="10" t="n">
        <v>3330</v>
      </c>
      <c r="BV170" s="11" t="n">
        <f aca="false">IF(ISERROR(ROUND(MEDIAN(BQ170:BT170),0)),0,ROUND(MEDIAN(BQ170:BT170),0))</f>
        <v>70</v>
      </c>
      <c r="BW170" s="11" t="n">
        <f aca="false">IF(ISERROR(ROUND(MEDIAN(BM170:BT170),0)),0,ROUND(MEDIAN(BM170:BT170),0))</f>
        <v>70</v>
      </c>
      <c r="BX170" s="11" t="n">
        <f aca="false">IF(ISERROR(ROUND(MEDIAN(BI170:BT170),0)),0,ROUND(MEDIAN(BI170:BT170),0))</f>
        <v>70</v>
      </c>
      <c r="BY170" s="11" t="n">
        <f aca="false">IF(ISERROR(ROUND(MEDIAN(BE170:BT170),0)),0,ROUND(MEDIAN(BE170:BT170),0))</f>
        <v>70</v>
      </c>
      <c r="BZ170" s="11" t="n">
        <f aca="false">IF(ISERROR(ROUND(MEDIAN(AU170:BT170),0)),0,ROUND(MEDIAN(AU170:BT170),0))</f>
        <v>70</v>
      </c>
      <c r="CA170" s="12" t="n">
        <f aca="false">IF(ISERROR(ROUND(MEDIAN(U170:BT170),0)),0,ROUND(MEDIAN(U170:BT170),0))</f>
        <v>70</v>
      </c>
      <c r="CB170" s="12" t="n">
        <f aca="false">IF(ISERROR(ROUND(MEDIAN(BT170),0)),0,ROUND(MEDIAN(BT170),0))</f>
        <v>30</v>
      </c>
      <c r="CC170" s="12" t="n">
        <f aca="false">IF(ISERROR(ROUND(MEDIAN(D170:BT170),0)),0,ROUND(MEDIAN(D170:BT170),0))</f>
        <v>70</v>
      </c>
      <c r="CD170" s="12" t="n">
        <f aca="false">MAX(D170:BT170)</f>
        <v>245</v>
      </c>
      <c r="CE170" s="7" t="n">
        <f aca="false">COUNTA(BQ170:BT170)</f>
        <v>3</v>
      </c>
      <c r="CF170" s="7" t="n">
        <f aca="false">COUNTA(BM170:BT170)</f>
        <v>6</v>
      </c>
      <c r="CG170" s="7" t="n">
        <f aca="false">COUNTA(BI170:BT170)</f>
        <v>8</v>
      </c>
      <c r="CH170" s="7" t="n">
        <f aca="false">COUNTA(BE170:BT170)</f>
        <v>11</v>
      </c>
      <c r="CI170" s="7" t="n">
        <f aca="false">COUNTA(AU170:BT170)</f>
        <v>16</v>
      </c>
      <c r="CJ170" s="7" t="n">
        <f aca="false">COUNTA(U170:BT170)</f>
        <v>31</v>
      </c>
      <c r="CK170" s="7" t="n">
        <f aca="false">COUNTA(BT170)</f>
        <v>1</v>
      </c>
      <c r="CL170" s="7" t="n">
        <f aca="false">COUNTA(D170:BT170)</f>
        <v>39</v>
      </c>
      <c r="CM170" s="13" t="str">
        <f aca="false">IF(AND(CE170=1,CJ170=1,BT170&lt;&gt;""),"5.ENTRANTES",IF(AND(CE170&lt;&gt;0,CE170/RIGHT($CE$1,1)&gt;=0.5,CJ170=CE170),"4.RECENTES",IF(AND(CF170&lt;&gt;0,CF170/RIGHT($CF$1,1)&gt;=0.5,CJ170=CF170),"4.RECENTES",IF(AND(CG170&lt;&gt;0,CG170/RIGHT($CG$1,2)&gt;=0.5,CJ170=CG170),"4.RECENTES",IF(AND(CH170&lt;&gt;0,CH170/RIGHT($CH$1,2)&gt;=0.5,CJ170=CH170),"4.RECENTES",IF(AND(CI170&lt;&gt;0,CI170/RIGHT($CI$1,2)&gt;=0.5,CJ170=CI170),"4.RECENTES",IF(AND(CE170=0,CF170=0,CG170=0,CH170=0),"3.INATIVOS",IF(CJ170/RIGHT($CJ$1,2)&lt;0.5,"2.INTERMITENTES","1.ORDINÁRIOS"))))))))</f>
        <v>1.ORDINÁRIOS</v>
      </c>
      <c r="CN170" s="14" t="n">
        <f aca="false">IF(AND(CE170=1,CJ170=1,BT170&lt;&gt;""),BT170,IF(AND(CE170&lt;&gt;0,CE170/RIGHT($CE$1,1)&gt;=0.5,CJ170=CE170),MAX(BV170:CC170),IF(AND(CF170&lt;&gt;0,CF170/RIGHT($CF$1,1)&gt;=0.5,CJ170=CF170),MAX(BV170:CC170),IF(AND(CG170&lt;&gt;0,CG170/RIGHT($CG$1,2)&gt;=0.5,CJ170=CG170),MAX(BV170:CC170),IF(AND(CH170&lt;&gt;0,CH170/RIGHT($CH$1,2)&gt;=0.5,CJ170=CH170),MAX(BV170:CC170),IF(AND(CI170&lt;&gt;0,CI170/RIGHT($CI$1,2)&gt;=0.5,CJ170=CI170),MAX(BV170:CC170),IF(AND(CE170=0,CF170=0,CG170=0,CH170=0),0,IF(CJ170/RIGHT($CJ$1,2)&lt;0.5,ROUND(BU170/RIGHT($CJ$1,2),0),MAX(BV170:CC170)))))))))</f>
        <v>70</v>
      </c>
      <c r="CO170" s="14" t="n">
        <f aca="false">CN170*3</f>
        <v>210</v>
      </c>
      <c r="CP170" s="15" t="n">
        <v>250</v>
      </c>
      <c r="CQ170" s="16" t="n">
        <f aca="false">IF((CO170-CP170)&lt;0,0,(CO170-CP170))</f>
        <v>0</v>
      </c>
      <c r="CR170" s="7"/>
    </row>
    <row r="171" customFormat="false" ht="12.75" hidden="false" customHeight="true" outlineLevel="0" collapsed="false">
      <c r="A171" s="7" t="s">
        <v>95</v>
      </c>
      <c r="B171" s="7" t="s">
        <v>265</v>
      </c>
      <c r="C171" s="8" t="n">
        <v>315001002</v>
      </c>
      <c r="D171" s="9"/>
      <c r="E171" s="9" t="n">
        <v>5</v>
      </c>
      <c r="F171" s="9" t="n">
        <v>2</v>
      </c>
      <c r="G171" s="9"/>
      <c r="H171" s="9" t="n">
        <v>1</v>
      </c>
      <c r="I171" s="9" t="n">
        <v>10</v>
      </c>
      <c r="J171" s="9" t="n">
        <v>3</v>
      </c>
      <c r="K171" s="9" t="n">
        <v>2</v>
      </c>
      <c r="L171" s="9" t="n">
        <v>7</v>
      </c>
      <c r="M171" s="9" t="n">
        <v>9</v>
      </c>
      <c r="N171" s="9" t="n">
        <v>3</v>
      </c>
      <c r="O171" s="9" t="n">
        <v>6</v>
      </c>
      <c r="P171" s="9" t="n">
        <v>4</v>
      </c>
      <c r="Q171" s="9" t="n">
        <v>2</v>
      </c>
      <c r="R171" s="9" t="n">
        <v>3</v>
      </c>
      <c r="S171" s="9" t="n">
        <v>7</v>
      </c>
      <c r="T171" s="9" t="n">
        <v>2</v>
      </c>
      <c r="U171" s="9" t="n">
        <v>2</v>
      </c>
      <c r="V171" s="9" t="n">
        <v>3</v>
      </c>
      <c r="W171" s="9" t="n">
        <v>3</v>
      </c>
      <c r="X171" s="9" t="n">
        <v>2</v>
      </c>
      <c r="Y171" s="9" t="n">
        <v>1</v>
      </c>
      <c r="Z171" s="9"/>
      <c r="AA171" s="9" t="n">
        <v>2</v>
      </c>
      <c r="AB171" s="9" t="n">
        <v>1</v>
      </c>
      <c r="AC171" s="9" t="n">
        <v>2</v>
      </c>
      <c r="AD171" s="9" t="n">
        <v>3</v>
      </c>
      <c r="AE171" s="9" t="n">
        <v>3</v>
      </c>
      <c r="AF171" s="9" t="n">
        <v>1</v>
      </c>
      <c r="AG171" s="9" t="n">
        <v>1</v>
      </c>
      <c r="AH171" s="9" t="n">
        <v>2</v>
      </c>
      <c r="AI171" s="9" t="n">
        <v>5</v>
      </c>
      <c r="AJ171" s="9" t="n">
        <v>1</v>
      </c>
      <c r="AK171" s="9" t="n">
        <v>5</v>
      </c>
      <c r="AL171" s="9" t="n">
        <v>1</v>
      </c>
      <c r="AM171" s="9" t="n">
        <v>3</v>
      </c>
      <c r="AN171" s="9"/>
      <c r="AO171" s="9" t="n">
        <v>3</v>
      </c>
      <c r="AP171" s="9" t="n">
        <v>2</v>
      </c>
      <c r="AQ171" s="9" t="n">
        <v>2</v>
      </c>
      <c r="AR171" s="9" t="n">
        <v>4</v>
      </c>
      <c r="AS171" s="9" t="n">
        <v>5</v>
      </c>
      <c r="AT171" s="9" t="n">
        <v>5</v>
      </c>
      <c r="AU171" s="9" t="n">
        <v>4</v>
      </c>
      <c r="AV171" s="9" t="n">
        <v>5</v>
      </c>
      <c r="AW171" s="9" t="n">
        <v>1</v>
      </c>
      <c r="AX171" s="9" t="n">
        <v>4</v>
      </c>
      <c r="AY171" s="9" t="n">
        <v>4</v>
      </c>
      <c r="AZ171" s="9" t="n">
        <v>4</v>
      </c>
      <c r="BA171" s="9" t="n">
        <v>3</v>
      </c>
      <c r="BB171" s="9" t="n">
        <v>3</v>
      </c>
      <c r="BC171" s="9" t="n">
        <v>3</v>
      </c>
      <c r="BD171" s="9" t="n">
        <v>7</v>
      </c>
      <c r="BE171" s="9" t="n">
        <v>4</v>
      </c>
      <c r="BF171" s="9" t="n">
        <v>7</v>
      </c>
      <c r="BG171" s="9" t="n">
        <v>5</v>
      </c>
      <c r="BH171" s="9" t="n">
        <v>6</v>
      </c>
      <c r="BI171" s="9" t="n">
        <v>5</v>
      </c>
      <c r="BJ171" s="9" t="n">
        <v>4</v>
      </c>
      <c r="BK171" s="9" t="n">
        <v>3</v>
      </c>
      <c r="BL171" s="9" t="n">
        <v>4</v>
      </c>
      <c r="BM171" s="9" t="n">
        <v>2</v>
      </c>
      <c r="BN171" s="9" t="n">
        <v>6</v>
      </c>
      <c r="BO171" s="9" t="n">
        <v>5</v>
      </c>
      <c r="BP171" s="9" t="n">
        <v>7</v>
      </c>
      <c r="BQ171" s="9" t="n">
        <v>5</v>
      </c>
      <c r="BR171" s="9" t="n">
        <v>7</v>
      </c>
      <c r="BS171" s="9" t="n">
        <v>3</v>
      </c>
      <c r="BT171" s="9" t="n">
        <v>4</v>
      </c>
      <c r="BU171" s="10" t="n">
        <v>243</v>
      </c>
      <c r="BV171" s="11" t="n">
        <f aca="false">IF(ISERROR(ROUND(MEDIAN(BQ171:BT171),0)),0,ROUND(MEDIAN(BQ171:BT171),0))</f>
        <v>5</v>
      </c>
      <c r="BW171" s="11" t="n">
        <f aca="false">IF(ISERROR(ROUND(MEDIAN(BM171:BT171),0)),0,ROUND(MEDIAN(BM171:BT171),0))</f>
        <v>5</v>
      </c>
      <c r="BX171" s="11" t="n">
        <f aca="false">IF(ISERROR(ROUND(MEDIAN(BI171:BT171),0)),0,ROUND(MEDIAN(BI171:BT171),0))</f>
        <v>5</v>
      </c>
      <c r="BY171" s="11" t="n">
        <f aca="false">IF(ISERROR(ROUND(MEDIAN(BE171:BT171),0)),0,ROUND(MEDIAN(BE171:BT171),0))</f>
        <v>5</v>
      </c>
      <c r="BZ171" s="11" t="n">
        <f aca="false">IF(ISERROR(ROUND(MEDIAN(AU171:BT171),0)),0,ROUND(MEDIAN(AU171:BT171),0))</f>
        <v>4</v>
      </c>
      <c r="CA171" s="12" t="n">
        <f aca="false">IF(ISERROR(ROUND(MEDIAN(U171:BT171),0)),0,ROUND(MEDIAN(U171:BT171),0))</f>
        <v>3</v>
      </c>
      <c r="CB171" s="12" t="n">
        <f aca="false">IF(ISERROR(ROUND(MEDIAN(BT171),0)),0,ROUND(MEDIAN(BT171),0))</f>
        <v>4</v>
      </c>
      <c r="CC171" s="12" t="n">
        <f aca="false">IF(ISERROR(ROUND(MEDIAN(D171:BT171),0)),0,ROUND(MEDIAN(D171:BT171),0))</f>
        <v>3</v>
      </c>
      <c r="CD171" s="12" t="n">
        <f aca="false">MAX(D171:BT171)</f>
        <v>10</v>
      </c>
      <c r="CE171" s="7" t="n">
        <f aca="false">COUNTA(BQ171:BT171)</f>
        <v>4</v>
      </c>
      <c r="CF171" s="7" t="n">
        <f aca="false">COUNTA(BM171:BT171)</f>
        <v>8</v>
      </c>
      <c r="CG171" s="7" t="n">
        <f aca="false">COUNTA(BI171:BT171)</f>
        <v>12</v>
      </c>
      <c r="CH171" s="7" t="n">
        <f aca="false">COUNTA(BE171:BT171)</f>
        <v>16</v>
      </c>
      <c r="CI171" s="7" t="n">
        <f aca="false">COUNTA(AU171:BT171)</f>
        <v>26</v>
      </c>
      <c r="CJ171" s="7" t="n">
        <f aca="false">COUNTA(U171:BT171)</f>
        <v>50</v>
      </c>
      <c r="CK171" s="7" t="n">
        <f aca="false">COUNTA(BT171)</f>
        <v>1</v>
      </c>
      <c r="CL171" s="7" t="n">
        <f aca="false">COUNTA(D171:BT171)</f>
        <v>65</v>
      </c>
      <c r="CM171" s="13" t="str">
        <f aca="false">IF(AND(CE171=1,CJ171=1,BT171&lt;&gt;""),"5.ENTRANTES",IF(AND(CE171&lt;&gt;0,CE171/RIGHT($CE$1,1)&gt;=0.5,CJ171=CE171),"4.RECENTES",IF(AND(CF171&lt;&gt;0,CF171/RIGHT($CF$1,1)&gt;=0.5,CJ171=CF171),"4.RECENTES",IF(AND(CG171&lt;&gt;0,CG171/RIGHT($CG$1,2)&gt;=0.5,CJ171=CG171),"4.RECENTES",IF(AND(CH171&lt;&gt;0,CH171/RIGHT($CH$1,2)&gt;=0.5,CJ171=CH171),"4.RECENTES",IF(AND(CI171&lt;&gt;0,CI171/RIGHT($CI$1,2)&gt;=0.5,CJ171=CI171),"4.RECENTES",IF(AND(CE171=0,CF171=0,CG171=0,CH171=0),"3.INATIVOS",IF(CJ171/RIGHT($CJ$1,2)&lt;0.5,"2.INTERMITENTES","1.ORDINÁRIOS"))))))))</f>
        <v>1.ORDINÁRIOS</v>
      </c>
      <c r="CN171" s="14" t="n">
        <f aca="false">IF(AND(CE171=1,CJ171=1,BT171&lt;&gt;""),BT171,IF(AND(CE171&lt;&gt;0,CE171/RIGHT($CE$1,1)&gt;=0.5,CJ171=CE171),MAX(BV171:CC171),IF(AND(CF171&lt;&gt;0,CF171/RIGHT($CF$1,1)&gt;=0.5,CJ171=CF171),MAX(BV171:CC171),IF(AND(CG171&lt;&gt;0,CG171/RIGHT($CG$1,2)&gt;=0.5,CJ171=CG171),MAX(BV171:CC171),IF(AND(CH171&lt;&gt;0,CH171/RIGHT($CH$1,2)&gt;=0.5,CJ171=CH171),MAX(BV171:CC171),IF(AND(CI171&lt;&gt;0,CI171/RIGHT($CI$1,2)&gt;=0.5,CJ171=CI171),MAX(BV171:CC171),IF(AND(CE171=0,CF171=0,CG171=0,CH171=0),0,IF(CJ171/RIGHT($CJ$1,2)&lt;0.5,ROUND(BU171/RIGHT($CJ$1,2),0),MAX(BV171:CC171)))))))))</f>
        <v>5</v>
      </c>
      <c r="CO171" s="14" t="n">
        <f aca="false">CN171*3</f>
        <v>15</v>
      </c>
      <c r="CP171" s="15" t="n">
        <v>17</v>
      </c>
      <c r="CQ171" s="16" t="n">
        <f aca="false">IF((CO171-CP171)&lt;0,0,(CO171-CP171))</f>
        <v>0</v>
      </c>
      <c r="CR171" s="7"/>
    </row>
    <row r="172" customFormat="false" ht="12.75" hidden="false" customHeight="true" outlineLevel="0" collapsed="false">
      <c r="A172" s="7" t="s">
        <v>95</v>
      </c>
      <c r="B172" s="7" t="s">
        <v>266</v>
      </c>
      <c r="C172" s="8" t="n">
        <v>13001001</v>
      </c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 t="n">
        <v>30</v>
      </c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10" t="n">
        <v>30</v>
      </c>
      <c r="BV172" s="11" t="n">
        <f aca="false">IF(ISERROR(ROUND(MEDIAN(BQ172:BT172),0)),0,ROUND(MEDIAN(BQ172:BT172),0))</f>
        <v>0</v>
      </c>
      <c r="BW172" s="11" t="n">
        <f aca="false">IF(ISERROR(ROUND(MEDIAN(BM172:BT172),0)),0,ROUND(MEDIAN(BM172:BT172),0))</f>
        <v>0</v>
      </c>
      <c r="BX172" s="11" t="n">
        <f aca="false">IF(ISERROR(ROUND(MEDIAN(BI172:BT172),0)),0,ROUND(MEDIAN(BI172:BT172),0))</f>
        <v>0</v>
      </c>
      <c r="BY172" s="11" t="n">
        <f aca="false">IF(ISERROR(ROUND(MEDIAN(BE172:BT172),0)),0,ROUND(MEDIAN(BE172:BT172),0))</f>
        <v>0</v>
      </c>
      <c r="BZ172" s="11" t="n">
        <f aca="false">IF(ISERROR(ROUND(MEDIAN(AU172:BT172),0)),0,ROUND(MEDIAN(AU172:BT172),0))</f>
        <v>0</v>
      </c>
      <c r="CA172" s="12" t="n">
        <f aca="false">IF(ISERROR(ROUND(MEDIAN(U172:BT172),0)),0,ROUND(MEDIAN(U172:BT172),0))</f>
        <v>30</v>
      </c>
      <c r="CB172" s="12" t="n">
        <f aca="false">IF(ISERROR(ROUND(MEDIAN(BT172),0)),0,ROUND(MEDIAN(BT172),0))</f>
        <v>0</v>
      </c>
      <c r="CC172" s="12" t="n">
        <f aca="false">IF(ISERROR(ROUND(MEDIAN(D172:BT172),0)),0,ROUND(MEDIAN(D172:BT172),0))</f>
        <v>30</v>
      </c>
      <c r="CD172" s="12" t="n">
        <f aca="false">MAX(D172:BT172)</f>
        <v>30</v>
      </c>
      <c r="CE172" s="7" t="n">
        <f aca="false">COUNTA(BQ172:BT172)</f>
        <v>0</v>
      </c>
      <c r="CF172" s="7" t="n">
        <f aca="false">COUNTA(BM172:BT172)</f>
        <v>0</v>
      </c>
      <c r="CG172" s="7" t="n">
        <f aca="false">COUNTA(BI172:BT172)</f>
        <v>0</v>
      </c>
      <c r="CH172" s="7" t="n">
        <f aca="false">COUNTA(BE172:BT172)</f>
        <v>0</v>
      </c>
      <c r="CI172" s="7" t="n">
        <f aca="false">COUNTA(AU172:BT172)</f>
        <v>0</v>
      </c>
      <c r="CJ172" s="7" t="n">
        <f aca="false">COUNTA(U172:BT172)</f>
        <v>1</v>
      </c>
      <c r="CK172" s="7" t="n">
        <f aca="false">COUNTA(BT172)</f>
        <v>0</v>
      </c>
      <c r="CL172" s="7" t="n">
        <f aca="false">COUNTA(D172:BT172)</f>
        <v>1</v>
      </c>
      <c r="CM172" s="19" t="str">
        <f aca="false">IF(AND(CE172=1,CJ172=1,BT172&lt;&gt;""),"5.ENTRANTES",IF(AND(CE172&lt;&gt;0,CE172/RIGHT($CE$1,1)&gt;=0.5,CJ172=CE172),"4.RECENTES",IF(AND(CF172&lt;&gt;0,CF172/RIGHT($CF$1,1)&gt;=0.5,CJ172=CF172),"4.RECENTES",IF(AND(CG172&lt;&gt;0,CG172/RIGHT($CG$1,2)&gt;=0.5,CJ172=CG172),"4.RECENTES",IF(AND(CH172&lt;&gt;0,CH172/RIGHT($CH$1,2)&gt;=0.5,CJ172=CH172),"4.RECENTES",IF(AND(CI172&lt;&gt;0,CI172/RIGHT($CI$1,2)&gt;=0.5,CJ172=CI172),"4.RECENTES",IF(AND(CE172=0,CF172=0,CG172=0,CH172=0),"3.INATIVOS",IF(CJ172/RIGHT($CJ$1,2)&lt;0.5,"2.INTERMITENTES","1.ORDINÁRIOS"))))))))</f>
        <v>3.INATIVOS</v>
      </c>
      <c r="CN172" s="20" t="n">
        <f aca="false">IF(AND(CE172=1,CJ172=1,BT172&lt;&gt;""),BT172,IF(AND(CE172&lt;&gt;0,CE172/RIGHT($CE$1,1)&gt;=0.5,CJ172=CE172),MAX(BV172:CC172),IF(AND(CF172&lt;&gt;0,CF172/RIGHT($CF$1,1)&gt;=0.5,CJ172=CF172),MAX(BV172:CC172),IF(AND(CG172&lt;&gt;0,CG172/RIGHT($CG$1,2)&gt;=0.5,CJ172=CG172),MAX(BV172:CC172),IF(AND(CH172&lt;&gt;0,CH172/RIGHT($CH$1,2)&gt;=0.5,CJ172=CH172),MAX(BV172:CC172),IF(AND(CI172&lt;&gt;0,CI172/RIGHT($CI$1,2)&gt;=0.5,CJ172=CI172),MAX(BV172:CC172),IF(AND(CE172=0,CF172=0,CG172=0,CH172=0),0,IF(CJ172/RIGHT($CJ$1,2)&lt;0.5,ROUND(BU172/RIGHT($CJ$1,2),0),MAX(BV172:CC172)))))))))</f>
        <v>0</v>
      </c>
      <c r="CO172" s="20" t="n">
        <f aca="false">CN172*3</f>
        <v>0</v>
      </c>
      <c r="CP172" s="15" t="n">
        <v>0</v>
      </c>
      <c r="CQ172" s="16" t="n">
        <f aca="false">IF((CO172-CP172)&lt;0,0,(CO172-CP172))</f>
        <v>0</v>
      </c>
      <c r="CR172" s="7"/>
    </row>
    <row r="173" customFormat="false" ht="12.75" hidden="false" customHeight="true" outlineLevel="0" collapsed="false">
      <c r="A173" s="7" t="s">
        <v>95</v>
      </c>
      <c r="B173" s="7" t="s">
        <v>267</v>
      </c>
      <c r="C173" s="8" t="n">
        <v>5000021</v>
      </c>
      <c r="D173" s="9"/>
      <c r="E173" s="9" t="n">
        <v>9</v>
      </c>
      <c r="F173" s="9"/>
      <c r="G173" s="9" t="n">
        <v>12</v>
      </c>
      <c r="H173" s="9" t="n">
        <v>8</v>
      </c>
      <c r="I173" s="9" t="n">
        <v>6</v>
      </c>
      <c r="J173" s="9"/>
      <c r="K173" s="9" t="n">
        <v>11</v>
      </c>
      <c r="L173" s="9" t="n">
        <v>19</v>
      </c>
      <c r="M173" s="9"/>
      <c r="N173" s="9" t="n">
        <v>19</v>
      </c>
      <c r="O173" s="9"/>
      <c r="P173" s="9" t="n">
        <v>11</v>
      </c>
      <c r="Q173" s="9"/>
      <c r="R173" s="9"/>
      <c r="S173" s="9" t="n">
        <v>6</v>
      </c>
      <c r="T173" s="9"/>
      <c r="U173" s="9" t="n">
        <v>8</v>
      </c>
      <c r="V173" s="9" t="n">
        <v>19</v>
      </c>
      <c r="W173" s="9" t="n">
        <v>7</v>
      </c>
      <c r="X173" s="9" t="n">
        <v>6</v>
      </c>
      <c r="Y173" s="9" t="n">
        <v>10</v>
      </c>
      <c r="Z173" s="9" t="n">
        <v>6</v>
      </c>
      <c r="AA173" s="9"/>
      <c r="AB173" s="9" t="n">
        <v>6</v>
      </c>
      <c r="AC173" s="9" t="n">
        <v>27</v>
      </c>
      <c r="AD173" s="9"/>
      <c r="AE173" s="9"/>
      <c r="AF173" s="9" t="n">
        <v>6</v>
      </c>
      <c r="AG173" s="9"/>
      <c r="AH173" s="9" t="n">
        <v>23</v>
      </c>
      <c r="AI173" s="9"/>
      <c r="AJ173" s="9" t="n">
        <v>7</v>
      </c>
      <c r="AK173" s="9" t="n">
        <v>7</v>
      </c>
      <c r="AL173" s="9"/>
      <c r="AM173" s="9" t="n">
        <v>13</v>
      </c>
      <c r="AN173" s="9"/>
      <c r="AO173" s="9" t="n">
        <v>8</v>
      </c>
      <c r="AP173" s="9" t="n">
        <v>7</v>
      </c>
      <c r="AQ173" s="9" t="n">
        <v>15</v>
      </c>
      <c r="AR173" s="9"/>
      <c r="AS173" s="9" t="n">
        <v>13</v>
      </c>
      <c r="AT173" s="9" t="n">
        <v>8</v>
      </c>
      <c r="AU173" s="9" t="n">
        <v>1</v>
      </c>
      <c r="AV173" s="9" t="n">
        <v>10</v>
      </c>
      <c r="AW173" s="9"/>
      <c r="AX173" s="9" t="n">
        <v>20</v>
      </c>
      <c r="AY173" s="9"/>
      <c r="AZ173" s="9" t="n">
        <v>12</v>
      </c>
      <c r="BA173" s="9"/>
      <c r="BB173" s="9" t="n">
        <v>3</v>
      </c>
      <c r="BC173" s="9" t="n">
        <v>16</v>
      </c>
      <c r="BD173" s="9"/>
      <c r="BE173" s="9" t="n">
        <v>13</v>
      </c>
      <c r="BF173" s="9" t="n">
        <v>6</v>
      </c>
      <c r="BG173" s="9" t="n">
        <v>8</v>
      </c>
      <c r="BH173" s="9" t="n">
        <v>8</v>
      </c>
      <c r="BI173" s="9"/>
      <c r="BJ173" s="9" t="n">
        <v>19</v>
      </c>
      <c r="BK173" s="9"/>
      <c r="BL173" s="9"/>
      <c r="BM173" s="9" t="n">
        <v>8</v>
      </c>
      <c r="BN173" s="9" t="n">
        <v>6</v>
      </c>
      <c r="BO173" s="9"/>
      <c r="BP173" s="9" t="n">
        <v>22</v>
      </c>
      <c r="BQ173" s="9" t="n">
        <v>8</v>
      </c>
      <c r="BR173" s="9" t="n">
        <v>6</v>
      </c>
      <c r="BS173" s="9"/>
      <c r="BT173" s="9" t="n">
        <v>13</v>
      </c>
      <c r="BU173" s="10" t="n">
        <v>476</v>
      </c>
      <c r="BV173" s="11" t="n">
        <f aca="false">IF(ISERROR(ROUND(MEDIAN(BQ173:BT173),0)),0,ROUND(MEDIAN(BQ173:BT173),0))</f>
        <v>8</v>
      </c>
      <c r="BW173" s="11" t="n">
        <f aca="false">IF(ISERROR(ROUND(MEDIAN(BM173:BT173),0)),0,ROUND(MEDIAN(BM173:BT173),0))</f>
        <v>8</v>
      </c>
      <c r="BX173" s="11" t="n">
        <f aca="false">IF(ISERROR(ROUND(MEDIAN(BI173:BT173),0)),0,ROUND(MEDIAN(BI173:BT173),0))</f>
        <v>8</v>
      </c>
      <c r="BY173" s="11" t="n">
        <f aca="false">IF(ISERROR(ROUND(MEDIAN(BE173:BT173),0)),0,ROUND(MEDIAN(BE173:BT173),0))</f>
        <v>8</v>
      </c>
      <c r="BZ173" s="11" t="n">
        <f aca="false">IF(ISERROR(ROUND(MEDIAN(AU173:BT173),0)),0,ROUND(MEDIAN(AU173:BT173),0))</f>
        <v>8</v>
      </c>
      <c r="CA173" s="12" t="n">
        <f aca="false">IF(ISERROR(ROUND(MEDIAN(U173:BT173),0)),0,ROUND(MEDIAN(U173:BT173),0))</f>
        <v>8</v>
      </c>
      <c r="CB173" s="12" t="n">
        <f aca="false">IF(ISERROR(ROUND(MEDIAN(BT173),0)),0,ROUND(MEDIAN(BT173),0))</f>
        <v>13</v>
      </c>
      <c r="CC173" s="12" t="n">
        <f aca="false">IF(ISERROR(ROUND(MEDIAN(D173:BT173),0)),0,ROUND(MEDIAN(D173:BT173),0))</f>
        <v>8</v>
      </c>
      <c r="CD173" s="12" t="n">
        <f aca="false">MAX(D173:BT173)</f>
        <v>27</v>
      </c>
      <c r="CE173" s="7" t="n">
        <f aca="false">COUNTA(BQ173:BT173)</f>
        <v>3</v>
      </c>
      <c r="CF173" s="7" t="n">
        <f aca="false">COUNTA(BM173:BT173)</f>
        <v>6</v>
      </c>
      <c r="CG173" s="7" t="n">
        <f aca="false">COUNTA(BI173:BT173)</f>
        <v>7</v>
      </c>
      <c r="CH173" s="7" t="n">
        <f aca="false">COUNTA(BE173:BT173)</f>
        <v>11</v>
      </c>
      <c r="CI173" s="7" t="n">
        <f aca="false">COUNTA(AU173:BT173)</f>
        <v>17</v>
      </c>
      <c r="CJ173" s="7" t="n">
        <f aca="false">COUNTA(U173:BT173)</f>
        <v>35</v>
      </c>
      <c r="CK173" s="7" t="n">
        <f aca="false">COUNTA(BT173)</f>
        <v>1</v>
      </c>
      <c r="CL173" s="7" t="n">
        <f aca="false">COUNTA(D173:BT173)</f>
        <v>44</v>
      </c>
      <c r="CM173" s="13" t="str">
        <f aca="false">IF(AND(CE173=1,CJ173=1,BT173&lt;&gt;""),"5.ENTRANTES",IF(AND(CE173&lt;&gt;0,CE173/RIGHT($CE$1,1)&gt;=0.5,CJ173=CE173),"4.RECENTES",IF(AND(CF173&lt;&gt;0,CF173/RIGHT($CF$1,1)&gt;=0.5,CJ173=CF173),"4.RECENTES",IF(AND(CG173&lt;&gt;0,CG173/RIGHT($CG$1,2)&gt;=0.5,CJ173=CG173),"4.RECENTES",IF(AND(CH173&lt;&gt;0,CH173/RIGHT($CH$1,2)&gt;=0.5,CJ173=CH173),"4.RECENTES",IF(AND(CI173&lt;&gt;0,CI173/RIGHT($CI$1,2)&gt;=0.5,CJ173=CI173),"4.RECENTES",IF(AND(CE173=0,CF173=0,CG173=0,CH173=0),"3.INATIVOS",IF(CJ173/RIGHT($CJ$1,2)&lt;0.5,"2.INTERMITENTES","1.ORDINÁRIOS"))))))))</f>
        <v>1.ORDINÁRIOS</v>
      </c>
      <c r="CN173" s="14" t="n">
        <f aca="false">IF(AND(CE173=1,CJ173=1,BT173&lt;&gt;""),BT173,IF(AND(CE173&lt;&gt;0,CE173/RIGHT($CE$1,1)&gt;=0.5,CJ173=CE173),MAX(BV173:CC173),IF(AND(CF173&lt;&gt;0,CF173/RIGHT($CF$1,1)&gt;=0.5,CJ173=CF173),MAX(BV173:CC173),IF(AND(CG173&lt;&gt;0,CG173/RIGHT($CG$1,2)&gt;=0.5,CJ173=CG173),MAX(BV173:CC173),IF(AND(CH173&lt;&gt;0,CH173/RIGHT($CH$1,2)&gt;=0.5,CJ173=CH173),MAX(BV173:CC173),IF(AND(CI173&lt;&gt;0,CI173/RIGHT($CI$1,2)&gt;=0.5,CJ173=CI173),MAX(BV173:CC173),IF(AND(CE173=0,CF173=0,CG173=0,CH173=0),0,IF(CJ173/RIGHT($CJ$1,2)&lt;0.5,ROUND(BU173/RIGHT($CJ$1,2),0),MAX(BV173:CC173)))))))))</f>
        <v>13</v>
      </c>
      <c r="CO173" s="14" t="n">
        <f aca="false">CN173*3</f>
        <v>39</v>
      </c>
      <c r="CP173" s="15" t="n">
        <v>24</v>
      </c>
      <c r="CQ173" s="16" t="n">
        <f aca="false">IF((CO173-CP173)&lt;0,0,(CO173-CP173))</f>
        <v>15</v>
      </c>
      <c r="CR173" s="7"/>
    </row>
    <row r="174" customFormat="false" ht="12.75" hidden="false" customHeight="true" outlineLevel="0" collapsed="false">
      <c r="A174" s="7" t="s">
        <v>95</v>
      </c>
      <c r="B174" s="7" t="s">
        <v>268</v>
      </c>
      <c r="C174" s="8" t="n">
        <v>304001004</v>
      </c>
      <c r="D174" s="9" t="n">
        <v>150</v>
      </c>
      <c r="E174" s="9" t="n">
        <v>30</v>
      </c>
      <c r="F174" s="9" t="n">
        <v>150</v>
      </c>
      <c r="G174" s="9"/>
      <c r="H174" s="9"/>
      <c r="I174" s="9" t="n">
        <v>60</v>
      </c>
      <c r="J174" s="9" t="n">
        <v>120</v>
      </c>
      <c r="K174" s="9"/>
      <c r="L174" s="9"/>
      <c r="M174" s="9"/>
      <c r="N174" s="9" t="n">
        <v>30</v>
      </c>
      <c r="O174" s="9" t="n">
        <v>30</v>
      </c>
      <c r="P174" s="9"/>
      <c r="Q174" s="9"/>
      <c r="R174" s="9" t="n">
        <v>150</v>
      </c>
      <c r="S174" s="9" t="n">
        <v>90</v>
      </c>
      <c r="T174" s="9" t="n">
        <v>60</v>
      </c>
      <c r="U174" s="9" t="n">
        <v>30</v>
      </c>
      <c r="V174" s="9" t="n">
        <v>60</v>
      </c>
      <c r="W174" s="9" t="n">
        <v>60</v>
      </c>
      <c r="X174" s="9"/>
      <c r="Y174" s="9" t="n">
        <v>30</v>
      </c>
      <c r="Z174" s="9" t="n">
        <v>60</v>
      </c>
      <c r="AA174" s="9" t="n">
        <v>90</v>
      </c>
      <c r="AB174" s="9" t="n">
        <v>90</v>
      </c>
      <c r="AC174" s="9" t="n">
        <v>60</v>
      </c>
      <c r="AD174" s="9" t="n">
        <v>60</v>
      </c>
      <c r="AE174" s="9" t="n">
        <v>180</v>
      </c>
      <c r="AF174" s="9" t="n">
        <v>30</v>
      </c>
      <c r="AG174" s="9" t="n">
        <v>120</v>
      </c>
      <c r="AH174" s="9"/>
      <c r="AI174" s="9" t="n">
        <v>90</v>
      </c>
      <c r="AJ174" s="9" t="n">
        <v>60</v>
      </c>
      <c r="AK174" s="9" t="n">
        <v>120</v>
      </c>
      <c r="AL174" s="9" t="n">
        <v>120</v>
      </c>
      <c r="AM174" s="9" t="n">
        <v>90</v>
      </c>
      <c r="AN174" s="9"/>
      <c r="AO174" s="9" t="n">
        <v>130</v>
      </c>
      <c r="AP174" s="9" t="n">
        <v>60</v>
      </c>
      <c r="AQ174" s="9" t="n">
        <v>120</v>
      </c>
      <c r="AR174" s="9" t="n">
        <v>30</v>
      </c>
      <c r="AS174" s="9" t="n">
        <v>60</v>
      </c>
      <c r="AT174" s="9" t="n">
        <v>120</v>
      </c>
      <c r="AU174" s="9" t="n">
        <v>30</v>
      </c>
      <c r="AV174" s="9" t="n">
        <v>180</v>
      </c>
      <c r="AW174" s="9" t="n">
        <v>30</v>
      </c>
      <c r="AX174" s="9"/>
      <c r="AY174" s="9" t="n">
        <v>60</v>
      </c>
      <c r="AZ174" s="9" t="n">
        <v>120</v>
      </c>
      <c r="BA174" s="9"/>
      <c r="BB174" s="9" t="n">
        <v>160</v>
      </c>
      <c r="BC174" s="9" t="n">
        <v>120</v>
      </c>
      <c r="BD174" s="9" t="n">
        <v>30</v>
      </c>
      <c r="BE174" s="9" t="n">
        <v>120</v>
      </c>
      <c r="BF174" s="9"/>
      <c r="BG174" s="9" t="n">
        <v>90</v>
      </c>
      <c r="BH174" s="9" t="n">
        <v>30</v>
      </c>
      <c r="BI174" s="9" t="n">
        <v>90</v>
      </c>
      <c r="BJ174" s="9" t="n">
        <v>90</v>
      </c>
      <c r="BK174" s="9" t="n">
        <v>30</v>
      </c>
      <c r="BL174" s="9" t="n">
        <v>90</v>
      </c>
      <c r="BM174" s="9" t="n">
        <v>30</v>
      </c>
      <c r="BN174" s="9" t="n">
        <v>180</v>
      </c>
      <c r="BO174" s="9" t="n">
        <v>30</v>
      </c>
      <c r="BP174" s="9"/>
      <c r="BQ174" s="9" t="n">
        <v>120</v>
      </c>
      <c r="BR174" s="9" t="n">
        <v>120</v>
      </c>
      <c r="BS174" s="9" t="n">
        <v>90</v>
      </c>
      <c r="BT174" s="9"/>
      <c r="BU174" s="10" t="n">
        <v>4580</v>
      </c>
      <c r="BV174" s="11" t="n">
        <f aca="false">IF(ISERROR(ROUND(MEDIAN(BQ174:BT174),0)),0,ROUND(MEDIAN(BQ174:BT174),0))</f>
        <v>120</v>
      </c>
      <c r="BW174" s="11" t="n">
        <f aca="false">IF(ISERROR(ROUND(MEDIAN(BM174:BT174),0)),0,ROUND(MEDIAN(BM174:BT174),0))</f>
        <v>105</v>
      </c>
      <c r="BX174" s="11" t="n">
        <f aca="false">IF(ISERROR(ROUND(MEDIAN(BI174:BT174),0)),0,ROUND(MEDIAN(BI174:BT174),0))</f>
        <v>90</v>
      </c>
      <c r="BY174" s="11" t="n">
        <f aca="false">IF(ISERROR(ROUND(MEDIAN(BE174:BT174),0)),0,ROUND(MEDIAN(BE174:BT174),0))</f>
        <v>90</v>
      </c>
      <c r="BZ174" s="11" t="n">
        <f aca="false">IF(ISERROR(ROUND(MEDIAN(AU174:BT174),0)),0,ROUND(MEDIAN(AU174:BT174),0))</f>
        <v>90</v>
      </c>
      <c r="CA174" s="12" t="n">
        <f aca="false">IF(ISERROR(ROUND(MEDIAN(U174:BT174),0)),0,ROUND(MEDIAN(U174:BT174),0))</f>
        <v>90</v>
      </c>
      <c r="CB174" s="12" t="n">
        <f aca="false">IF(ISERROR(ROUND(MEDIAN(BT174),0)),0,ROUND(MEDIAN(BT174),0))</f>
        <v>0</v>
      </c>
      <c r="CC174" s="12" t="n">
        <f aca="false">IF(ISERROR(ROUND(MEDIAN(D174:BT174),0)),0,ROUND(MEDIAN(D174:BT174),0))</f>
        <v>90</v>
      </c>
      <c r="CD174" s="12" t="n">
        <f aca="false">MAX(D174:BT174)</f>
        <v>180</v>
      </c>
      <c r="CE174" s="7" t="n">
        <f aca="false">COUNTA(BQ174:BT174)</f>
        <v>3</v>
      </c>
      <c r="CF174" s="7" t="n">
        <f aca="false">COUNTA(BM174:BT174)</f>
        <v>6</v>
      </c>
      <c r="CG174" s="7" t="n">
        <f aca="false">COUNTA(BI174:BT174)</f>
        <v>10</v>
      </c>
      <c r="CH174" s="7" t="n">
        <f aca="false">COUNTA(BE174:BT174)</f>
        <v>13</v>
      </c>
      <c r="CI174" s="7" t="n">
        <f aca="false">COUNTA(AU174:BT174)</f>
        <v>21</v>
      </c>
      <c r="CJ174" s="7" t="n">
        <f aca="false">COUNTA(U174:BT174)</f>
        <v>44</v>
      </c>
      <c r="CK174" s="7" t="n">
        <f aca="false">COUNTA(BT174)</f>
        <v>0</v>
      </c>
      <c r="CL174" s="7" t="n">
        <f aca="false">COUNTA(D174:BT174)</f>
        <v>54</v>
      </c>
      <c r="CM174" s="13" t="str">
        <f aca="false">IF(AND(CE174=1,CJ174=1,BT174&lt;&gt;""),"5.ENTRANTES",IF(AND(CE174&lt;&gt;0,CE174/RIGHT($CE$1,1)&gt;=0.5,CJ174=CE174),"4.RECENTES",IF(AND(CF174&lt;&gt;0,CF174/RIGHT($CF$1,1)&gt;=0.5,CJ174=CF174),"4.RECENTES",IF(AND(CG174&lt;&gt;0,CG174/RIGHT($CG$1,2)&gt;=0.5,CJ174=CG174),"4.RECENTES",IF(AND(CH174&lt;&gt;0,CH174/RIGHT($CH$1,2)&gt;=0.5,CJ174=CH174),"4.RECENTES",IF(AND(CI174&lt;&gt;0,CI174/RIGHT($CI$1,2)&gt;=0.5,CJ174=CI174),"4.RECENTES",IF(AND(CE174=0,CF174=0,CG174=0,CH174=0),"3.INATIVOS",IF(CJ174/RIGHT($CJ$1,2)&lt;0.5,"2.INTERMITENTES","1.ORDINÁRIOS"))))))))</f>
        <v>1.ORDINÁRIOS</v>
      </c>
      <c r="CN174" s="14" t="n">
        <f aca="false">IF(AND(CE174=1,CJ174=1,BT174&lt;&gt;""),BT174,IF(AND(CE174&lt;&gt;0,CE174/RIGHT($CE$1,1)&gt;=0.5,CJ174=CE174),MAX(BV174:CC174),IF(AND(CF174&lt;&gt;0,CF174/RIGHT($CF$1,1)&gt;=0.5,CJ174=CF174),MAX(BV174:CC174),IF(AND(CG174&lt;&gt;0,CG174/RIGHT($CG$1,2)&gt;=0.5,CJ174=CG174),MAX(BV174:CC174),IF(AND(CH174&lt;&gt;0,CH174/RIGHT($CH$1,2)&gt;=0.5,CJ174=CH174),MAX(BV174:CC174),IF(AND(CI174&lt;&gt;0,CI174/RIGHT($CI$1,2)&gt;=0.5,CJ174=CI174),MAX(BV174:CC174),IF(AND(CE174=0,CF174=0,CG174=0,CH174=0),0,IF(CJ174/RIGHT($CJ$1,2)&lt;0.5,ROUND(BU174/RIGHT($CJ$1,2),0),MAX(BV174:CC174)))))))))</f>
        <v>120</v>
      </c>
      <c r="CO174" s="14" t="n">
        <f aca="false">CN174*3</f>
        <v>360</v>
      </c>
      <c r="CP174" s="15" t="n">
        <v>390</v>
      </c>
      <c r="CQ174" s="16" t="n">
        <f aca="false">IF((CO174-CP174)&lt;0,0,(CO174-CP174))</f>
        <v>0</v>
      </c>
      <c r="CR174" s="7"/>
    </row>
    <row r="175" customFormat="false" ht="12.75" hidden="false" customHeight="true" outlineLevel="0" collapsed="false">
      <c r="A175" s="7" t="s">
        <v>95</v>
      </c>
      <c r="B175" s="7" t="s">
        <v>269</v>
      </c>
      <c r="C175" s="8" t="n">
        <v>230001001</v>
      </c>
      <c r="D175" s="9" t="n">
        <v>90</v>
      </c>
      <c r="E175" s="9" t="n">
        <v>60</v>
      </c>
      <c r="F175" s="9" t="n">
        <v>180</v>
      </c>
      <c r="G175" s="9" t="n">
        <v>120</v>
      </c>
      <c r="H175" s="9" t="n">
        <v>35</v>
      </c>
      <c r="I175" s="9" t="n">
        <v>555</v>
      </c>
      <c r="J175" s="9" t="n">
        <v>60</v>
      </c>
      <c r="K175" s="9" t="n">
        <v>150</v>
      </c>
      <c r="L175" s="9" t="n">
        <v>310</v>
      </c>
      <c r="M175" s="9" t="n">
        <v>60</v>
      </c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 t="n">
        <v>117</v>
      </c>
      <c r="AB175" s="9" t="n">
        <v>50</v>
      </c>
      <c r="AC175" s="9" t="n">
        <v>69</v>
      </c>
      <c r="AD175" s="9" t="n">
        <v>88</v>
      </c>
      <c r="AE175" s="9" t="n">
        <v>102</v>
      </c>
      <c r="AF175" s="9" t="n">
        <v>12</v>
      </c>
      <c r="AG175" s="9" t="n">
        <v>108</v>
      </c>
      <c r="AH175" s="9" t="n">
        <v>179</v>
      </c>
      <c r="AI175" s="9" t="n">
        <v>91</v>
      </c>
      <c r="AJ175" s="9" t="n">
        <v>53</v>
      </c>
      <c r="AK175" s="9" t="n">
        <v>128</v>
      </c>
      <c r="AL175" s="9" t="n">
        <v>238</v>
      </c>
      <c r="AM175" s="9" t="n">
        <v>29</v>
      </c>
      <c r="AN175" s="9" t="n">
        <v>61</v>
      </c>
      <c r="AO175" s="9" t="n">
        <v>5</v>
      </c>
      <c r="AP175" s="9" t="n">
        <v>19</v>
      </c>
      <c r="AQ175" s="9" t="n">
        <v>125</v>
      </c>
      <c r="AR175" s="9" t="n">
        <v>76</v>
      </c>
      <c r="AS175" s="9" t="n">
        <v>20</v>
      </c>
      <c r="AT175" s="9" t="n">
        <v>60</v>
      </c>
      <c r="AU175" s="9" t="n">
        <v>80</v>
      </c>
      <c r="AV175" s="9" t="n">
        <v>105</v>
      </c>
      <c r="AW175" s="9" t="n">
        <v>50</v>
      </c>
      <c r="AX175" s="9" t="n">
        <v>65</v>
      </c>
      <c r="AY175" s="9" t="n">
        <v>160</v>
      </c>
      <c r="AZ175" s="9" t="n">
        <v>75</v>
      </c>
      <c r="BA175" s="9" t="n">
        <v>34</v>
      </c>
      <c r="BB175" s="9" t="n">
        <v>131</v>
      </c>
      <c r="BC175" s="9" t="n">
        <v>126</v>
      </c>
      <c r="BD175" s="9" t="n">
        <v>45</v>
      </c>
      <c r="BE175" s="9" t="n">
        <v>135</v>
      </c>
      <c r="BF175" s="9" t="n">
        <v>85</v>
      </c>
      <c r="BG175" s="9" t="n">
        <v>110</v>
      </c>
      <c r="BH175" s="9" t="n">
        <v>60</v>
      </c>
      <c r="BI175" s="9" t="n">
        <v>175</v>
      </c>
      <c r="BJ175" s="9" t="n">
        <v>265</v>
      </c>
      <c r="BK175" s="9" t="n">
        <v>60</v>
      </c>
      <c r="BL175" s="9" t="n">
        <v>270</v>
      </c>
      <c r="BM175" s="9" t="n">
        <v>105</v>
      </c>
      <c r="BN175" s="9" t="n">
        <v>194</v>
      </c>
      <c r="BO175" s="9" t="n">
        <v>245</v>
      </c>
      <c r="BP175" s="9" t="n">
        <v>220</v>
      </c>
      <c r="BQ175" s="9" t="n">
        <v>105</v>
      </c>
      <c r="BR175" s="9" t="n">
        <v>150</v>
      </c>
      <c r="BS175" s="9" t="n">
        <v>30</v>
      </c>
      <c r="BT175" s="9" t="n">
        <v>45</v>
      </c>
      <c r="BU175" s="10" t="n">
        <v>6375</v>
      </c>
      <c r="BV175" s="11" t="n">
        <f aca="false">IF(ISERROR(ROUND(MEDIAN(BQ175:BT175),0)),0,ROUND(MEDIAN(BQ175:BT175),0))</f>
        <v>75</v>
      </c>
      <c r="BW175" s="11" t="n">
        <f aca="false">IF(ISERROR(ROUND(MEDIAN(BM175:BT175),0)),0,ROUND(MEDIAN(BM175:BT175),0))</f>
        <v>128</v>
      </c>
      <c r="BX175" s="11" t="n">
        <f aca="false">IF(ISERROR(ROUND(MEDIAN(BI175:BT175),0)),0,ROUND(MEDIAN(BI175:BT175),0))</f>
        <v>163</v>
      </c>
      <c r="BY175" s="11" t="n">
        <f aca="false">IF(ISERROR(ROUND(MEDIAN(BE175:BT175),0)),0,ROUND(MEDIAN(BE175:BT175),0))</f>
        <v>123</v>
      </c>
      <c r="BZ175" s="11" t="n">
        <f aca="false">IF(ISERROR(ROUND(MEDIAN(AU175:BT175),0)),0,ROUND(MEDIAN(AU175:BT175),0))</f>
        <v>105</v>
      </c>
      <c r="CA175" s="12" t="n">
        <f aca="false">IF(ISERROR(ROUND(MEDIAN(U175:BT175),0)),0,ROUND(MEDIAN(U175:BT175),0))</f>
        <v>90</v>
      </c>
      <c r="CB175" s="12" t="n">
        <f aca="false">IF(ISERROR(ROUND(MEDIAN(BT175),0)),0,ROUND(MEDIAN(BT175),0))</f>
        <v>45</v>
      </c>
      <c r="CC175" s="12" t="n">
        <f aca="false">IF(ISERROR(ROUND(MEDIAN(D175:BT175),0)),0,ROUND(MEDIAN(D175:BT175),0))</f>
        <v>91</v>
      </c>
      <c r="CD175" s="12" t="n">
        <f aca="false">MAX(D175:BT175)</f>
        <v>555</v>
      </c>
      <c r="CE175" s="7" t="n">
        <f aca="false">COUNTA(BQ175:BT175)</f>
        <v>4</v>
      </c>
      <c r="CF175" s="7" t="n">
        <f aca="false">COUNTA(BM175:BT175)</f>
        <v>8</v>
      </c>
      <c r="CG175" s="7" t="n">
        <f aca="false">COUNTA(BI175:BT175)</f>
        <v>12</v>
      </c>
      <c r="CH175" s="7" t="n">
        <f aca="false">COUNTA(BE175:BT175)</f>
        <v>16</v>
      </c>
      <c r="CI175" s="7" t="n">
        <f aca="false">COUNTA(AU175:BT175)</f>
        <v>26</v>
      </c>
      <c r="CJ175" s="7" t="n">
        <f aca="false">COUNTA(U175:BT175)</f>
        <v>46</v>
      </c>
      <c r="CK175" s="7" t="n">
        <f aca="false">COUNTA(BT175)</f>
        <v>1</v>
      </c>
      <c r="CL175" s="7" t="n">
        <f aca="false">COUNTA(D175:BT175)</f>
        <v>56</v>
      </c>
      <c r="CM175" s="13" t="str">
        <f aca="false">IF(AND(CE175=1,CJ175=1,BT175&lt;&gt;""),"5.ENTRANTES",IF(AND(CE175&lt;&gt;0,CE175/RIGHT($CE$1,1)&gt;=0.5,CJ175=CE175),"4.RECENTES",IF(AND(CF175&lt;&gt;0,CF175/RIGHT($CF$1,1)&gt;=0.5,CJ175=CF175),"4.RECENTES",IF(AND(CG175&lt;&gt;0,CG175/RIGHT($CG$1,2)&gt;=0.5,CJ175=CG175),"4.RECENTES",IF(AND(CH175&lt;&gt;0,CH175/RIGHT($CH$1,2)&gt;=0.5,CJ175=CH175),"4.RECENTES",IF(AND(CI175&lt;&gt;0,CI175/RIGHT($CI$1,2)&gt;=0.5,CJ175=CI175),"4.RECENTES",IF(AND(CE175=0,CF175=0,CG175=0,CH175=0),"3.INATIVOS",IF(CJ175/RIGHT($CJ$1,2)&lt;0.5,"2.INTERMITENTES","1.ORDINÁRIOS"))))))))</f>
        <v>1.ORDINÁRIOS</v>
      </c>
      <c r="CN175" s="14" t="n">
        <f aca="false">IF(AND(CE175=1,CJ175=1,BT175&lt;&gt;""),BT175,IF(AND(CE175&lt;&gt;0,CE175/RIGHT($CE$1,1)&gt;=0.5,CJ175=CE175),MAX(BV175:CC175),IF(AND(CF175&lt;&gt;0,CF175/RIGHT($CF$1,1)&gt;=0.5,CJ175=CF175),MAX(BV175:CC175),IF(AND(CG175&lt;&gt;0,CG175/RIGHT($CG$1,2)&gt;=0.5,CJ175=CG175),MAX(BV175:CC175),IF(AND(CH175&lt;&gt;0,CH175/RIGHT($CH$1,2)&gt;=0.5,CJ175=CH175),MAX(BV175:CC175),IF(AND(CI175&lt;&gt;0,CI175/RIGHT($CI$1,2)&gt;=0.5,CJ175=CI175),MAX(BV175:CC175),IF(AND(CE175=0,CF175=0,CG175=0,CH175=0),0,IF(CJ175/RIGHT($CJ$1,2)&lt;0.5,ROUND(BU175/RIGHT($CJ$1,2),0),MAX(BV175:CC175)))))))))</f>
        <v>163</v>
      </c>
      <c r="CO175" s="14" t="n">
        <f aca="false">CN175*3</f>
        <v>489</v>
      </c>
      <c r="CP175" s="15" t="n">
        <v>370</v>
      </c>
      <c r="CQ175" s="16" t="n">
        <f aca="false">IF((CO175-CP175)&lt;0,0,(CO175-CP175))</f>
        <v>119</v>
      </c>
      <c r="CR175" s="7"/>
    </row>
    <row r="176" customFormat="false" ht="12.75" hidden="false" customHeight="true" outlineLevel="0" collapsed="false">
      <c r="A176" s="7" t="s">
        <v>270</v>
      </c>
      <c r="B176" s="7" t="s">
        <v>271</v>
      </c>
      <c r="C176" s="8" t="n">
        <v>8001004</v>
      </c>
      <c r="D176" s="9"/>
      <c r="E176" s="9" t="n">
        <v>20</v>
      </c>
      <c r="F176" s="9" t="n">
        <v>40</v>
      </c>
      <c r="G176" s="9"/>
      <c r="H176" s="9"/>
      <c r="I176" s="9" t="n">
        <v>10</v>
      </c>
      <c r="J176" s="9"/>
      <c r="K176" s="9"/>
      <c r="L176" s="9" t="n">
        <v>30</v>
      </c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G176" s="9"/>
      <c r="BH176" s="9"/>
      <c r="BI176" s="9"/>
      <c r="BJ176" s="9"/>
      <c r="BK176" s="9"/>
      <c r="BL176" s="9"/>
      <c r="BM176" s="9"/>
      <c r="BN176" s="9"/>
      <c r="BO176" s="9"/>
      <c r="BP176" s="9"/>
      <c r="BQ176" s="9"/>
      <c r="BR176" s="9"/>
      <c r="BS176" s="9"/>
      <c r="BT176" s="9"/>
      <c r="BU176" s="10" t="n">
        <v>100</v>
      </c>
      <c r="BV176" s="11" t="n">
        <f aca="false">IF(ISERROR(ROUND(MEDIAN(BQ176:BT176),0)),0,ROUND(MEDIAN(BQ176:BT176),0))</f>
        <v>0</v>
      </c>
      <c r="BW176" s="11" t="n">
        <f aca="false">IF(ISERROR(ROUND(MEDIAN(BM176:BT176),0)),0,ROUND(MEDIAN(BM176:BT176),0))</f>
        <v>0</v>
      </c>
      <c r="BX176" s="11" t="n">
        <f aca="false">IF(ISERROR(ROUND(MEDIAN(BI176:BT176),0)),0,ROUND(MEDIAN(BI176:BT176),0))</f>
        <v>0</v>
      </c>
      <c r="BY176" s="11" t="n">
        <f aca="false">IF(ISERROR(ROUND(MEDIAN(BE176:BT176),0)),0,ROUND(MEDIAN(BE176:BT176),0))</f>
        <v>0</v>
      </c>
      <c r="BZ176" s="11" t="n">
        <f aca="false">IF(ISERROR(ROUND(MEDIAN(AU176:BT176),0)),0,ROUND(MEDIAN(AU176:BT176),0))</f>
        <v>0</v>
      </c>
      <c r="CA176" s="12" t="n">
        <f aca="false">IF(ISERROR(ROUND(MEDIAN(U176:BT176),0)),0,ROUND(MEDIAN(U176:BT176),0))</f>
        <v>0</v>
      </c>
      <c r="CB176" s="12" t="n">
        <f aca="false">IF(ISERROR(ROUND(MEDIAN(BT176),0)),0,ROUND(MEDIAN(BT176),0))</f>
        <v>0</v>
      </c>
      <c r="CC176" s="12" t="n">
        <f aca="false">IF(ISERROR(ROUND(MEDIAN(D176:BT176),0)),0,ROUND(MEDIAN(D176:BT176),0))</f>
        <v>25</v>
      </c>
      <c r="CD176" s="12" t="n">
        <f aca="false">MAX(D176:BT176)</f>
        <v>40</v>
      </c>
      <c r="CE176" s="7" t="n">
        <f aca="false">COUNTA(BQ176:BT176)</f>
        <v>0</v>
      </c>
      <c r="CF176" s="7" t="n">
        <f aca="false">COUNTA(BM176:BT176)</f>
        <v>0</v>
      </c>
      <c r="CG176" s="7" t="n">
        <f aca="false">COUNTA(BI176:BT176)</f>
        <v>0</v>
      </c>
      <c r="CH176" s="7" t="n">
        <f aca="false">COUNTA(BE176:BT176)</f>
        <v>0</v>
      </c>
      <c r="CI176" s="7" t="n">
        <f aca="false">COUNTA(AU176:BT176)</f>
        <v>0</v>
      </c>
      <c r="CJ176" s="7" t="n">
        <f aca="false">COUNTA(U176:BT176)</f>
        <v>0</v>
      </c>
      <c r="CK176" s="7" t="n">
        <f aca="false">COUNTA(BT176)</f>
        <v>0</v>
      </c>
      <c r="CL176" s="7" t="n">
        <f aca="false">COUNTA(D176:BT176)</f>
        <v>4</v>
      </c>
      <c r="CM176" s="19" t="str">
        <f aca="false">IF(AND(CE176=1,CJ176=1,BT176&lt;&gt;""),"5.ENTRANTES",IF(AND(CE176&lt;&gt;0,CE176/RIGHT($CE$1,1)&gt;=0.5,CJ176=CE176),"4.RECENTES",IF(AND(CF176&lt;&gt;0,CF176/RIGHT($CF$1,1)&gt;=0.5,CJ176=CF176),"4.RECENTES",IF(AND(CG176&lt;&gt;0,CG176/RIGHT($CG$1,2)&gt;=0.5,CJ176=CG176),"4.RECENTES",IF(AND(CH176&lt;&gt;0,CH176/RIGHT($CH$1,2)&gt;=0.5,CJ176=CH176),"4.RECENTES",IF(AND(CI176&lt;&gt;0,CI176/RIGHT($CI$1,2)&gt;=0.5,CJ176=CI176),"4.RECENTES",IF(AND(CE176=0,CF176=0,CG176=0,CH176=0),"3.INATIVOS",IF(CJ176/RIGHT($CJ$1,2)&lt;0.5,"2.INTERMITENTES","1.ORDINÁRIOS"))))))))</f>
        <v>3.INATIVOS</v>
      </c>
      <c r="CN176" s="20" t="n">
        <f aca="false">IF(AND(CE176=1,CJ176=1,BT176&lt;&gt;""),BT176,IF(AND(CE176&lt;&gt;0,CE176/RIGHT($CE$1,1)&gt;=0.5,CJ176=CE176),MAX(BV176:CC176),IF(AND(CF176&lt;&gt;0,CF176/RIGHT($CF$1,1)&gt;=0.5,CJ176=CF176),MAX(BV176:CC176),IF(AND(CG176&lt;&gt;0,CG176/RIGHT($CG$1,2)&gt;=0.5,CJ176=CG176),MAX(BV176:CC176),IF(AND(CH176&lt;&gt;0,CH176/RIGHT($CH$1,2)&gt;=0.5,CJ176=CH176),MAX(BV176:CC176),IF(AND(CI176&lt;&gt;0,CI176/RIGHT($CI$1,2)&gt;=0.5,CJ176=CI176),MAX(BV176:CC176),IF(AND(CE176=0,CF176=0,CG176=0,CH176=0),0,IF(CJ176/RIGHT($CJ$1,2)&lt;0.5,ROUND(BU176/RIGHT($CJ$1,2),0),MAX(BV176:CC176)))))))))</f>
        <v>0</v>
      </c>
      <c r="CO176" s="20" t="n">
        <f aca="false">CN176*3</f>
        <v>0</v>
      </c>
      <c r="CP176" s="15" t="n">
        <v>0</v>
      </c>
      <c r="CQ176" s="16" t="n">
        <f aca="false">IF((CO176-CP176)&lt;0,0,(CO176-CP176))</f>
        <v>0</v>
      </c>
      <c r="CR176" s="7"/>
    </row>
    <row r="177" customFormat="false" ht="12.75" hidden="false" customHeight="true" outlineLevel="0" collapsed="false">
      <c r="A177" s="7" t="s">
        <v>270</v>
      </c>
      <c r="B177" s="7" t="s">
        <v>272</v>
      </c>
      <c r="C177" s="8" t="n">
        <v>2000119</v>
      </c>
      <c r="D177" s="9"/>
      <c r="E177" s="9"/>
      <c r="F177" s="9" t="n">
        <v>20</v>
      </c>
      <c r="G177" s="9"/>
      <c r="H177" s="9"/>
      <c r="I177" s="9"/>
      <c r="J177" s="9" t="n">
        <v>1</v>
      </c>
      <c r="K177" s="9"/>
      <c r="L177" s="9"/>
      <c r="M177" s="9" t="n">
        <v>29</v>
      </c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  <c r="BG177" s="9"/>
      <c r="BH177" s="9"/>
      <c r="BI177" s="9"/>
      <c r="BJ177" s="9"/>
      <c r="BK177" s="9"/>
      <c r="BL177" s="9"/>
      <c r="BM177" s="9"/>
      <c r="BN177" s="9"/>
      <c r="BO177" s="9"/>
      <c r="BP177" s="9"/>
      <c r="BQ177" s="9"/>
      <c r="BR177" s="9"/>
      <c r="BS177" s="9"/>
      <c r="BT177" s="9"/>
      <c r="BU177" s="10" t="n">
        <v>50</v>
      </c>
      <c r="BV177" s="11" t="n">
        <f aca="false">IF(ISERROR(ROUND(MEDIAN(BQ177:BT177),0)),0,ROUND(MEDIAN(BQ177:BT177),0))</f>
        <v>0</v>
      </c>
      <c r="BW177" s="11" t="n">
        <f aca="false">IF(ISERROR(ROUND(MEDIAN(BM177:BT177),0)),0,ROUND(MEDIAN(BM177:BT177),0))</f>
        <v>0</v>
      </c>
      <c r="BX177" s="11" t="n">
        <f aca="false">IF(ISERROR(ROUND(MEDIAN(BI177:BT177),0)),0,ROUND(MEDIAN(BI177:BT177),0))</f>
        <v>0</v>
      </c>
      <c r="BY177" s="11" t="n">
        <f aca="false">IF(ISERROR(ROUND(MEDIAN(BE177:BT177),0)),0,ROUND(MEDIAN(BE177:BT177),0))</f>
        <v>0</v>
      </c>
      <c r="BZ177" s="11" t="n">
        <f aca="false">IF(ISERROR(ROUND(MEDIAN(AU177:BT177),0)),0,ROUND(MEDIAN(AU177:BT177),0))</f>
        <v>0</v>
      </c>
      <c r="CA177" s="12" t="n">
        <f aca="false">IF(ISERROR(ROUND(MEDIAN(U177:BT177),0)),0,ROUND(MEDIAN(U177:BT177),0))</f>
        <v>0</v>
      </c>
      <c r="CB177" s="12" t="n">
        <f aca="false">IF(ISERROR(ROUND(MEDIAN(BT177),0)),0,ROUND(MEDIAN(BT177),0))</f>
        <v>0</v>
      </c>
      <c r="CC177" s="12" t="n">
        <f aca="false">IF(ISERROR(ROUND(MEDIAN(D177:BT177),0)),0,ROUND(MEDIAN(D177:BT177),0))</f>
        <v>20</v>
      </c>
      <c r="CD177" s="12" t="n">
        <f aca="false">MAX(D177:BT177)</f>
        <v>29</v>
      </c>
      <c r="CE177" s="7" t="n">
        <f aca="false">COUNTA(BQ177:BT177)</f>
        <v>0</v>
      </c>
      <c r="CF177" s="7" t="n">
        <f aca="false">COUNTA(BM177:BT177)</f>
        <v>0</v>
      </c>
      <c r="CG177" s="7" t="n">
        <f aca="false">COUNTA(BI177:BT177)</f>
        <v>0</v>
      </c>
      <c r="CH177" s="7" t="n">
        <f aca="false">COUNTA(BE177:BT177)</f>
        <v>0</v>
      </c>
      <c r="CI177" s="7" t="n">
        <f aca="false">COUNTA(AU177:BT177)</f>
        <v>0</v>
      </c>
      <c r="CJ177" s="7" t="n">
        <f aca="false">COUNTA(U177:BT177)</f>
        <v>0</v>
      </c>
      <c r="CK177" s="7" t="n">
        <f aca="false">COUNTA(BT177)</f>
        <v>0</v>
      </c>
      <c r="CL177" s="7" t="n">
        <f aca="false">COUNTA(D177:BT177)</f>
        <v>3</v>
      </c>
      <c r="CM177" s="19" t="str">
        <f aca="false">IF(AND(CE177=1,CJ177=1,BT177&lt;&gt;""),"5.ENTRANTES",IF(AND(CE177&lt;&gt;0,CE177/RIGHT($CE$1,1)&gt;=0.5,CJ177=CE177),"4.RECENTES",IF(AND(CF177&lt;&gt;0,CF177/RIGHT($CF$1,1)&gt;=0.5,CJ177=CF177),"4.RECENTES",IF(AND(CG177&lt;&gt;0,CG177/RIGHT($CG$1,2)&gt;=0.5,CJ177=CG177),"4.RECENTES",IF(AND(CH177&lt;&gt;0,CH177/RIGHT($CH$1,2)&gt;=0.5,CJ177=CH177),"4.RECENTES",IF(AND(CI177&lt;&gt;0,CI177/RIGHT($CI$1,2)&gt;=0.5,CJ177=CI177),"4.RECENTES",IF(AND(CE177=0,CF177=0,CG177=0,CH177=0),"3.INATIVOS",IF(CJ177/RIGHT($CJ$1,2)&lt;0.5,"2.INTERMITENTES","1.ORDINÁRIOS"))))))))</f>
        <v>3.INATIVOS</v>
      </c>
      <c r="CN177" s="20" t="n">
        <f aca="false">IF(AND(CE177=1,CJ177=1,BT177&lt;&gt;""),BT177,IF(AND(CE177&lt;&gt;0,CE177/RIGHT($CE$1,1)&gt;=0.5,CJ177=CE177),MAX(BV177:CC177),IF(AND(CF177&lt;&gt;0,CF177/RIGHT($CF$1,1)&gt;=0.5,CJ177=CF177),MAX(BV177:CC177),IF(AND(CG177&lt;&gt;0,CG177/RIGHT($CG$1,2)&gt;=0.5,CJ177=CG177),MAX(BV177:CC177),IF(AND(CH177&lt;&gt;0,CH177/RIGHT($CH$1,2)&gt;=0.5,CJ177=CH177),MAX(BV177:CC177),IF(AND(CI177&lt;&gt;0,CI177/RIGHT($CI$1,2)&gt;=0.5,CJ177=CI177),MAX(BV177:CC177),IF(AND(CE177=0,CF177=0,CG177=0,CH177=0),0,IF(CJ177/RIGHT($CJ$1,2)&lt;0.5,ROUND(BU177/RIGHT($CJ$1,2),0),MAX(BV177:CC177)))))))))</f>
        <v>0</v>
      </c>
      <c r="CO177" s="20" t="n">
        <f aca="false">CN177*3</f>
        <v>0</v>
      </c>
      <c r="CP177" s="15" t="n">
        <v>0</v>
      </c>
      <c r="CQ177" s="16" t="n">
        <f aca="false">IF((CO177-CP177)&lt;0,0,(CO177-CP177))</f>
        <v>0</v>
      </c>
      <c r="CR177" s="7"/>
    </row>
    <row r="178" customFormat="false" ht="12.75" hidden="false" customHeight="true" outlineLevel="0" collapsed="false">
      <c r="A178" s="7" t="s">
        <v>273</v>
      </c>
      <c r="B178" s="7" t="s">
        <v>274</v>
      </c>
      <c r="C178" s="8" t="n">
        <v>305001003</v>
      </c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 t="n">
        <v>5</v>
      </c>
      <c r="AY178" s="9"/>
      <c r="AZ178" s="9"/>
      <c r="BA178" s="9"/>
      <c r="BB178" s="9"/>
      <c r="BC178" s="9"/>
      <c r="BD178" s="9"/>
      <c r="BE178" s="9"/>
      <c r="BF178" s="9"/>
      <c r="BG178" s="9"/>
      <c r="BH178" s="9"/>
      <c r="BI178" s="9"/>
      <c r="BJ178" s="9"/>
      <c r="BK178" s="9"/>
      <c r="BL178" s="9"/>
      <c r="BM178" s="9"/>
      <c r="BN178" s="9"/>
      <c r="BO178" s="9"/>
      <c r="BP178" s="9"/>
      <c r="BQ178" s="9"/>
      <c r="BR178" s="9"/>
      <c r="BS178" s="9"/>
      <c r="BT178" s="9"/>
      <c r="BU178" s="10" t="n">
        <v>5</v>
      </c>
      <c r="BV178" s="11" t="n">
        <f aca="false">IF(ISERROR(ROUND(MEDIAN(BQ178:BT178),0)),0,ROUND(MEDIAN(BQ178:BT178),0))</f>
        <v>0</v>
      </c>
      <c r="BW178" s="11" t="n">
        <f aca="false">IF(ISERROR(ROUND(MEDIAN(BM178:BT178),0)),0,ROUND(MEDIAN(BM178:BT178),0))</f>
        <v>0</v>
      </c>
      <c r="BX178" s="11" t="n">
        <f aca="false">IF(ISERROR(ROUND(MEDIAN(BI178:BT178),0)),0,ROUND(MEDIAN(BI178:BT178),0))</f>
        <v>0</v>
      </c>
      <c r="BY178" s="11" t="n">
        <f aca="false">IF(ISERROR(ROUND(MEDIAN(BE178:BT178),0)),0,ROUND(MEDIAN(BE178:BT178),0))</f>
        <v>0</v>
      </c>
      <c r="BZ178" s="11" t="n">
        <f aca="false">IF(ISERROR(ROUND(MEDIAN(AU178:BT178),0)),0,ROUND(MEDIAN(AU178:BT178),0))</f>
        <v>5</v>
      </c>
      <c r="CA178" s="12" t="n">
        <f aca="false">IF(ISERROR(ROUND(MEDIAN(U178:BT178),0)),0,ROUND(MEDIAN(U178:BT178),0))</f>
        <v>5</v>
      </c>
      <c r="CB178" s="12" t="n">
        <f aca="false">IF(ISERROR(ROUND(MEDIAN(BT178),0)),0,ROUND(MEDIAN(BT178),0))</f>
        <v>0</v>
      </c>
      <c r="CC178" s="12" t="n">
        <f aca="false">IF(ISERROR(ROUND(MEDIAN(D178:BT178),0)),0,ROUND(MEDIAN(D178:BT178),0))</f>
        <v>5</v>
      </c>
      <c r="CD178" s="12" t="n">
        <f aca="false">MAX(D178:BT178)</f>
        <v>5</v>
      </c>
      <c r="CE178" s="7" t="n">
        <f aca="false">COUNTA(BQ178:BT178)</f>
        <v>0</v>
      </c>
      <c r="CF178" s="7" t="n">
        <f aca="false">COUNTA(BM178:BT178)</f>
        <v>0</v>
      </c>
      <c r="CG178" s="7" t="n">
        <f aca="false">COUNTA(BI178:BT178)</f>
        <v>0</v>
      </c>
      <c r="CH178" s="7" t="n">
        <f aca="false">COUNTA(BE178:BT178)</f>
        <v>0</v>
      </c>
      <c r="CI178" s="7" t="n">
        <f aca="false">COUNTA(AU178:BT178)</f>
        <v>1</v>
      </c>
      <c r="CJ178" s="7" t="n">
        <f aca="false">COUNTA(U178:BT178)</f>
        <v>1</v>
      </c>
      <c r="CK178" s="7" t="n">
        <f aca="false">COUNTA(BT178)</f>
        <v>0</v>
      </c>
      <c r="CL178" s="7" t="n">
        <f aca="false">COUNTA(D178:BT178)</f>
        <v>1</v>
      </c>
      <c r="CM178" s="19" t="str">
        <f aca="false">IF(AND(CE178=1,CJ178=1,BT178&lt;&gt;""),"5.ENTRANTES",IF(AND(CE178&lt;&gt;0,CE178/RIGHT($CE$1,1)&gt;=0.5,CJ178=CE178),"4.RECENTES",IF(AND(CF178&lt;&gt;0,CF178/RIGHT($CF$1,1)&gt;=0.5,CJ178=CF178),"4.RECENTES",IF(AND(CG178&lt;&gt;0,CG178/RIGHT($CG$1,2)&gt;=0.5,CJ178=CG178),"4.RECENTES",IF(AND(CH178&lt;&gt;0,CH178/RIGHT($CH$1,2)&gt;=0.5,CJ178=CH178),"4.RECENTES",IF(AND(CI178&lt;&gt;0,CI178/RIGHT($CI$1,2)&gt;=0.5,CJ178=CI178),"4.RECENTES",IF(AND(CE178=0,CF178=0,CG178=0,CH178=0),"3.INATIVOS",IF(CJ178/RIGHT($CJ$1,2)&lt;0.5,"2.INTERMITENTES","1.ORDINÁRIOS"))))))))</f>
        <v>3.INATIVOS</v>
      </c>
      <c r="CN178" s="20" t="n">
        <f aca="false">IF(AND(CE178=1,CJ178=1,BT178&lt;&gt;""),BT178,IF(AND(CE178&lt;&gt;0,CE178/RIGHT($CE$1,1)&gt;=0.5,CJ178=CE178),MAX(BV178:CC178),IF(AND(CF178&lt;&gt;0,CF178/RIGHT($CF$1,1)&gt;=0.5,CJ178=CF178),MAX(BV178:CC178),IF(AND(CG178&lt;&gt;0,CG178/RIGHT($CG$1,2)&gt;=0.5,CJ178=CG178),MAX(BV178:CC178),IF(AND(CH178&lt;&gt;0,CH178/RIGHT($CH$1,2)&gt;=0.5,CJ178=CH178),MAX(BV178:CC178),IF(AND(CI178&lt;&gt;0,CI178/RIGHT($CI$1,2)&gt;=0.5,CJ178=CI178),MAX(BV178:CC178),IF(AND(CE178=0,CF178=0,CG178=0,CH178=0),0,IF(CJ178/RIGHT($CJ$1,2)&lt;0.5,ROUND(BU178/RIGHT($CJ$1,2),0),MAX(BV178:CC178)))))))))</f>
        <v>0</v>
      </c>
      <c r="CO178" s="20" t="n">
        <f aca="false">CN178*3</f>
        <v>0</v>
      </c>
      <c r="CP178" s="15" t="n">
        <v>0</v>
      </c>
      <c r="CQ178" s="16" t="n">
        <f aca="false">IF((CO178-CP178)&lt;0,0,(CO178-CP178))</f>
        <v>0</v>
      </c>
      <c r="CR178" s="7"/>
    </row>
    <row r="179" customFormat="false" ht="12.75" hidden="false" customHeight="true" outlineLevel="0" collapsed="false">
      <c r="A179" s="7" t="s">
        <v>273</v>
      </c>
      <c r="B179" s="7" t="s">
        <v>275</v>
      </c>
      <c r="C179" s="8" t="n">
        <v>313004003</v>
      </c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 t="n">
        <v>1</v>
      </c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9"/>
      <c r="BH179" s="9"/>
      <c r="BI179" s="9"/>
      <c r="BJ179" s="9"/>
      <c r="BK179" s="9"/>
      <c r="BL179" s="9"/>
      <c r="BM179" s="9"/>
      <c r="BN179" s="9"/>
      <c r="BO179" s="9"/>
      <c r="BP179" s="9"/>
      <c r="BQ179" s="9"/>
      <c r="BR179" s="9"/>
      <c r="BS179" s="9"/>
      <c r="BT179" s="9"/>
      <c r="BU179" s="10" t="n">
        <v>1</v>
      </c>
      <c r="BV179" s="11" t="n">
        <f aca="false">IF(ISERROR(ROUND(MEDIAN(BQ179:BT179),0)),0,ROUND(MEDIAN(BQ179:BT179),0))</f>
        <v>0</v>
      </c>
      <c r="BW179" s="11" t="n">
        <f aca="false">IF(ISERROR(ROUND(MEDIAN(BM179:BT179),0)),0,ROUND(MEDIAN(BM179:BT179),0))</f>
        <v>0</v>
      </c>
      <c r="BX179" s="11" t="n">
        <f aca="false">IF(ISERROR(ROUND(MEDIAN(BI179:BT179),0)),0,ROUND(MEDIAN(BI179:BT179),0))</f>
        <v>0</v>
      </c>
      <c r="BY179" s="11" t="n">
        <f aca="false">IF(ISERROR(ROUND(MEDIAN(BE179:BT179),0)),0,ROUND(MEDIAN(BE179:BT179),0))</f>
        <v>0</v>
      </c>
      <c r="BZ179" s="11" t="n">
        <f aca="false">IF(ISERROR(ROUND(MEDIAN(AU179:BT179),0)),0,ROUND(MEDIAN(AU179:BT179),0))</f>
        <v>0</v>
      </c>
      <c r="CA179" s="12" t="n">
        <f aca="false">IF(ISERROR(ROUND(MEDIAN(U179:BT179),0)),0,ROUND(MEDIAN(U179:BT179),0))</f>
        <v>0</v>
      </c>
      <c r="CB179" s="12" t="n">
        <f aca="false">IF(ISERROR(ROUND(MEDIAN(BT179),0)),0,ROUND(MEDIAN(BT179),0))</f>
        <v>0</v>
      </c>
      <c r="CC179" s="12" t="n">
        <f aca="false">IF(ISERROR(ROUND(MEDIAN(D179:BT179),0)),0,ROUND(MEDIAN(D179:BT179),0))</f>
        <v>1</v>
      </c>
      <c r="CD179" s="12" t="n">
        <f aca="false">MAX(D179:BT179)</f>
        <v>1</v>
      </c>
      <c r="CE179" s="7" t="n">
        <f aca="false">COUNTA(BQ179:BT179)</f>
        <v>0</v>
      </c>
      <c r="CF179" s="7" t="n">
        <f aca="false">COUNTA(BM179:BT179)</f>
        <v>0</v>
      </c>
      <c r="CG179" s="7" t="n">
        <f aca="false">COUNTA(BI179:BT179)</f>
        <v>0</v>
      </c>
      <c r="CH179" s="7" t="n">
        <f aca="false">COUNTA(BE179:BT179)</f>
        <v>0</v>
      </c>
      <c r="CI179" s="7" t="n">
        <f aca="false">COUNTA(AU179:BT179)</f>
        <v>0</v>
      </c>
      <c r="CJ179" s="7" t="n">
        <f aca="false">COUNTA(U179:BT179)</f>
        <v>0</v>
      </c>
      <c r="CK179" s="7" t="n">
        <f aca="false">COUNTA(BT179)</f>
        <v>0</v>
      </c>
      <c r="CL179" s="7" t="n">
        <f aca="false">COUNTA(D179:BT179)</f>
        <v>1</v>
      </c>
      <c r="CM179" s="19" t="str">
        <f aca="false">IF(AND(CE179=1,CJ179=1,BT179&lt;&gt;""),"5.ENTRANTES",IF(AND(CE179&lt;&gt;0,CE179/RIGHT($CE$1,1)&gt;=0.5,CJ179=CE179),"4.RECENTES",IF(AND(CF179&lt;&gt;0,CF179/RIGHT($CF$1,1)&gt;=0.5,CJ179=CF179),"4.RECENTES",IF(AND(CG179&lt;&gt;0,CG179/RIGHT($CG$1,2)&gt;=0.5,CJ179=CG179),"4.RECENTES",IF(AND(CH179&lt;&gt;0,CH179/RIGHT($CH$1,2)&gt;=0.5,CJ179=CH179),"4.RECENTES",IF(AND(CI179&lt;&gt;0,CI179/RIGHT($CI$1,2)&gt;=0.5,CJ179=CI179),"4.RECENTES",IF(AND(CE179=0,CF179=0,CG179=0,CH179=0),"3.INATIVOS",IF(CJ179/RIGHT($CJ$1,2)&lt;0.5,"2.INTERMITENTES","1.ORDINÁRIOS"))))))))</f>
        <v>3.INATIVOS</v>
      </c>
      <c r="CN179" s="20" t="n">
        <f aca="false">IF(AND(CE179=1,CJ179=1,BT179&lt;&gt;""),BT179,IF(AND(CE179&lt;&gt;0,CE179/RIGHT($CE$1,1)&gt;=0.5,CJ179=CE179),MAX(BV179:CC179),IF(AND(CF179&lt;&gt;0,CF179/RIGHT($CF$1,1)&gt;=0.5,CJ179=CF179),MAX(BV179:CC179),IF(AND(CG179&lt;&gt;0,CG179/RIGHT($CG$1,2)&gt;=0.5,CJ179=CG179),MAX(BV179:CC179),IF(AND(CH179&lt;&gt;0,CH179/RIGHT($CH$1,2)&gt;=0.5,CJ179=CH179),MAX(BV179:CC179),IF(AND(CI179&lt;&gt;0,CI179/RIGHT($CI$1,2)&gt;=0.5,CJ179=CI179),MAX(BV179:CC179),IF(AND(CE179=0,CF179=0,CG179=0,CH179=0),0,IF(CJ179/RIGHT($CJ$1,2)&lt;0.5,ROUND(BU179/RIGHT($CJ$1,2),0),MAX(BV179:CC179)))))))))</f>
        <v>0</v>
      </c>
      <c r="CO179" s="20" t="n">
        <f aca="false">CN179*3</f>
        <v>0</v>
      </c>
      <c r="CP179" s="15" t="n">
        <v>0</v>
      </c>
      <c r="CQ179" s="16" t="n">
        <f aca="false">IF((CO179-CP179)&lt;0,0,(CO179-CP179))</f>
        <v>0</v>
      </c>
      <c r="CR179" s="7"/>
    </row>
    <row r="180" customFormat="false" ht="12.75" hidden="false" customHeight="true" outlineLevel="0" collapsed="false">
      <c r="A180" s="7" t="s">
        <v>273</v>
      </c>
      <c r="B180" s="7" t="s">
        <v>276</v>
      </c>
      <c r="C180" s="8" t="n">
        <v>228001011</v>
      </c>
      <c r="D180" s="9"/>
      <c r="E180" s="9"/>
      <c r="F180" s="9"/>
      <c r="G180" s="9"/>
      <c r="H180" s="9" t="n">
        <v>2</v>
      </c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 t="n">
        <v>2</v>
      </c>
      <c r="AG180" s="9"/>
      <c r="AH180" s="9"/>
      <c r="AI180" s="9"/>
      <c r="AJ180" s="9"/>
      <c r="AK180" s="9"/>
      <c r="AL180" s="9" t="n">
        <v>2</v>
      </c>
      <c r="AM180" s="9"/>
      <c r="AN180" s="9"/>
      <c r="AO180" s="9"/>
      <c r="AP180" s="9"/>
      <c r="AQ180" s="9"/>
      <c r="AR180" s="9" t="n">
        <v>2</v>
      </c>
      <c r="AS180" s="9"/>
      <c r="AT180" s="9"/>
      <c r="AU180" s="9"/>
      <c r="AV180" s="9"/>
      <c r="AW180" s="9"/>
      <c r="AX180" s="9"/>
      <c r="AY180" s="9" t="n">
        <v>2</v>
      </c>
      <c r="AZ180" s="9"/>
      <c r="BA180" s="9"/>
      <c r="BB180" s="9"/>
      <c r="BC180" s="9"/>
      <c r="BD180" s="9"/>
      <c r="BE180" s="9"/>
      <c r="BF180" s="9"/>
      <c r="BG180" s="9"/>
      <c r="BH180" s="9"/>
      <c r="BI180" s="9"/>
      <c r="BJ180" s="9"/>
      <c r="BK180" s="9"/>
      <c r="BL180" s="9"/>
      <c r="BM180" s="9"/>
      <c r="BN180" s="9"/>
      <c r="BO180" s="9"/>
      <c r="BP180" s="9"/>
      <c r="BQ180" s="9"/>
      <c r="BR180" s="9"/>
      <c r="BS180" s="9"/>
      <c r="BT180" s="9"/>
      <c r="BU180" s="10" t="n">
        <v>10</v>
      </c>
      <c r="BV180" s="11" t="n">
        <f aca="false">IF(ISERROR(ROUND(MEDIAN(BQ180:BT180),0)),0,ROUND(MEDIAN(BQ180:BT180),0))</f>
        <v>0</v>
      </c>
      <c r="BW180" s="11" t="n">
        <f aca="false">IF(ISERROR(ROUND(MEDIAN(BM180:BT180),0)),0,ROUND(MEDIAN(BM180:BT180),0))</f>
        <v>0</v>
      </c>
      <c r="BX180" s="11" t="n">
        <f aca="false">IF(ISERROR(ROUND(MEDIAN(BI180:BT180),0)),0,ROUND(MEDIAN(BI180:BT180),0))</f>
        <v>0</v>
      </c>
      <c r="BY180" s="11" t="n">
        <f aca="false">IF(ISERROR(ROUND(MEDIAN(BE180:BT180),0)),0,ROUND(MEDIAN(BE180:BT180),0))</f>
        <v>0</v>
      </c>
      <c r="BZ180" s="11" t="n">
        <f aca="false">IF(ISERROR(ROUND(MEDIAN(AU180:BT180),0)),0,ROUND(MEDIAN(AU180:BT180),0))</f>
        <v>2</v>
      </c>
      <c r="CA180" s="12" t="n">
        <f aca="false">IF(ISERROR(ROUND(MEDIAN(U180:BT180),0)),0,ROUND(MEDIAN(U180:BT180),0))</f>
        <v>2</v>
      </c>
      <c r="CB180" s="12" t="n">
        <f aca="false">IF(ISERROR(ROUND(MEDIAN(BT180),0)),0,ROUND(MEDIAN(BT180),0))</f>
        <v>0</v>
      </c>
      <c r="CC180" s="12" t="n">
        <f aca="false">IF(ISERROR(ROUND(MEDIAN(D180:BT180),0)),0,ROUND(MEDIAN(D180:BT180),0))</f>
        <v>2</v>
      </c>
      <c r="CD180" s="12" t="n">
        <f aca="false">MAX(D180:BT180)</f>
        <v>2</v>
      </c>
      <c r="CE180" s="7" t="n">
        <f aca="false">COUNTA(BQ180:BT180)</f>
        <v>0</v>
      </c>
      <c r="CF180" s="7" t="n">
        <f aca="false">COUNTA(BM180:BT180)</f>
        <v>0</v>
      </c>
      <c r="CG180" s="7" t="n">
        <f aca="false">COUNTA(BI180:BT180)</f>
        <v>0</v>
      </c>
      <c r="CH180" s="7" t="n">
        <f aca="false">COUNTA(BE180:BT180)</f>
        <v>0</v>
      </c>
      <c r="CI180" s="7" t="n">
        <f aca="false">COUNTA(AU180:BT180)</f>
        <v>1</v>
      </c>
      <c r="CJ180" s="7" t="n">
        <f aca="false">COUNTA(U180:BT180)</f>
        <v>4</v>
      </c>
      <c r="CK180" s="7" t="n">
        <f aca="false">COUNTA(BT180)</f>
        <v>0</v>
      </c>
      <c r="CL180" s="7" t="n">
        <f aca="false">COUNTA(D180:BT180)</f>
        <v>5</v>
      </c>
      <c r="CM180" s="19" t="str">
        <f aca="false">IF(AND(CE180=1,CJ180=1,BT180&lt;&gt;""),"5.ENTRANTES",IF(AND(CE180&lt;&gt;0,CE180/RIGHT($CE$1,1)&gt;=0.5,CJ180=CE180),"4.RECENTES",IF(AND(CF180&lt;&gt;0,CF180/RIGHT($CF$1,1)&gt;=0.5,CJ180=CF180),"4.RECENTES",IF(AND(CG180&lt;&gt;0,CG180/RIGHT($CG$1,2)&gt;=0.5,CJ180=CG180),"4.RECENTES",IF(AND(CH180&lt;&gt;0,CH180/RIGHT($CH$1,2)&gt;=0.5,CJ180=CH180),"4.RECENTES",IF(AND(CI180&lt;&gt;0,CI180/RIGHT($CI$1,2)&gt;=0.5,CJ180=CI180),"4.RECENTES",IF(AND(CE180=0,CF180=0,CG180=0,CH180=0),"3.INATIVOS",IF(CJ180/RIGHT($CJ$1,2)&lt;0.5,"2.INTERMITENTES","1.ORDINÁRIOS"))))))))</f>
        <v>3.INATIVOS</v>
      </c>
      <c r="CN180" s="20" t="n">
        <f aca="false">IF(AND(CE180=1,CJ180=1,BT180&lt;&gt;""),BT180,IF(AND(CE180&lt;&gt;0,CE180/RIGHT($CE$1,1)&gt;=0.5,CJ180=CE180),MAX(BV180:CC180),IF(AND(CF180&lt;&gt;0,CF180/RIGHT($CF$1,1)&gt;=0.5,CJ180=CF180),MAX(BV180:CC180),IF(AND(CG180&lt;&gt;0,CG180/RIGHT($CG$1,2)&gt;=0.5,CJ180=CG180),MAX(BV180:CC180),IF(AND(CH180&lt;&gt;0,CH180/RIGHT($CH$1,2)&gt;=0.5,CJ180=CH180),MAX(BV180:CC180),IF(AND(CI180&lt;&gt;0,CI180/RIGHT($CI$1,2)&gt;=0.5,CJ180=CI180),MAX(BV180:CC180),IF(AND(CE180=0,CF180=0,CG180=0,CH180=0),0,IF(CJ180/RIGHT($CJ$1,2)&lt;0.5,ROUND(BU180/RIGHT($CJ$1,2),0),MAX(BV180:CC180)))))))))</f>
        <v>0</v>
      </c>
      <c r="CO180" s="20" t="n">
        <f aca="false">CN180*3</f>
        <v>0</v>
      </c>
      <c r="CP180" s="15" t="n">
        <v>2</v>
      </c>
      <c r="CQ180" s="16" t="n">
        <f aca="false">IF((CO180-CP180)&lt;0,0,(CO180-CP180))</f>
        <v>0</v>
      </c>
      <c r="CR180" s="7"/>
    </row>
    <row r="181" customFormat="false" ht="12.75" hidden="false" customHeight="true" outlineLevel="0" collapsed="false">
      <c r="A181" s="7" t="s">
        <v>273</v>
      </c>
      <c r="B181" s="7" t="s">
        <v>277</v>
      </c>
      <c r="C181" s="8" t="n">
        <v>21001064</v>
      </c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 t="n">
        <v>60</v>
      </c>
      <c r="AZ181" s="9"/>
      <c r="BA181" s="9"/>
      <c r="BB181" s="9"/>
      <c r="BC181" s="9"/>
      <c r="BD181" s="9"/>
      <c r="BE181" s="9"/>
      <c r="BF181" s="9"/>
      <c r="BG181" s="9"/>
      <c r="BH181" s="9"/>
      <c r="BI181" s="9"/>
      <c r="BJ181" s="9"/>
      <c r="BK181" s="9"/>
      <c r="BL181" s="9"/>
      <c r="BM181" s="9"/>
      <c r="BN181" s="9"/>
      <c r="BO181" s="9"/>
      <c r="BP181" s="9"/>
      <c r="BQ181" s="9"/>
      <c r="BR181" s="9"/>
      <c r="BS181" s="9"/>
      <c r="BT181" s="9"/>
      <c r="BU181" s="10" t="n">
        <v>60</v>
      </c>
      <c r="BV181" s="11" t="n">
        <f aca="false">IF(ISERROR(ROUND(MEDIAN(BQ181:BT181),0)),0,ROUND(MEDIAN(BQ181:BT181),0))</f>
        <v>0</v>
      </c>
      <c r="BW181" s="11" t="n">
        <f aca="false">IF(ISERROR(ROUND(MEDIAN(BM181:BT181),0)),0,ROUND(MEDIAN(BM181:BT181),0))</f>
        <v>0</v>
      </c>
      <c r="BX181" s="11" t="n">
        <f aca="false">IF(ISERROR(ROUND(MEDIAN(BI181:BT181),0)),0,ROUND(MEDIAN(BI181:BT181),0))</f>
        <v>0</v>
      </c>
      <c r="BY181" s="11" t="n">
        <f aca="false">IF(ISERROR(ROUND(MEDIAN(BE181:BT181),0)),0,ROUND(MEDIAN(BE181:BT181),0))</f>
        <v>0</v>
      </c>
      <c r="BZ181" s="11" t="n">
        <f aca="false">IF(ISERROR(ROUND(MEDIAN(AU181:BT181),0)),0,ROUND(MEDIAN(AU181:BT181),0))</f>
        <v>60</v>
      </c>
      <c r="CA181" s="12" t="n">
        <f aca="false">IF(ISERROR(ROUND(MEDIAN(U181:BT181),0)),0,ROUND(MEDIAN(U181:BT181),0))</f>
        <v>60</v>
      </c>
      <c r="CB181" s="12" t="n">
        <f aca="false">IF(ISERROR(ROUND(MEDIAN(BT181),0)),0,ROUND(MEDIAN(BT181),0))</f>
        <v>0</v>
      </c>
      <c r="CC181" s="12" t="n">
        <f aca="false">IF(ISERROR(ROUND(MEDIAN(D181:BT181),0)),0,ROUND(MEDIAN(D181:BT181),0))</f>
        <v>60</v>
      </c>
      <c r="CD181" s="12" t="n">
        <f aca="false">MAX(D181:BT181)</f>
        <v>60</v>
      </c>
      <c r="CE181" s="7" t="n">
        <f aca="false">COUNTA(BQ181:BT181)</f>
        <v>0</v>
      </c>
      <c r="CF181" s="7" t="n">
        <f aca="false">COUNTA(BM181:BT181)</f>
        <v>0</v>
      </c>
      <c r="CG181" s="7" t="n">
        <f aca="false">COUNTA(BI181:BT181)</f>
        <v>0</v>
      </c>
      <c r="CH181" s="7" t="n">
        <f aca="false">COUNTA(BE181:BT181)</f>
        <v>0</v>
      </c>
      <c r="CI181" s="7" t="n">
        <f aca="false">COUNTA(AU181:BT181)</f>
        <v>1</v>
      </c>
      <c r="CJ181" s="7" t="n">
        <f aca="false">COUNTA(U181:BT181)</f>
        <v>1</v>
      </c>
      <c r="CK181" s="7" t="n">
        <f aca="false">COUNTA(BT181)</f>
        <v>0</v>
      </c>
      <c r="CL181" s="7" t="n">
        <f aca="false">COUNTA(D181:BT181)</f>
        <v>1</v>
      </c>
      <c r="CM181" s="19" t="str">
        <f aca="false">IF(AND(CE181=1,CJ181=1,BT181&lt;&gt;""),"5.ENTRANTES",IF(AND(CE181&lt;&gt;0,CE181/RIGHT($CE$1,1)&gt;=0.5,CJ181=CE181),"4.RECENTES",IF(AND(CF181&lt;&gt;0,CF181/RIGHT($CF$1,1)&gt;=0.5,CJ181=CF181),"4.RECENTES",IF(AND(CG181&lt;&gt;0,CG181/RIGHT($CG$1,2)&gt;=0.5,CJ181=CG181),"4.RECENTES",IF(AND(CH181&lt;&gt;0,CH181/RIGHT($CH$1,2)&gt;=0.5,CJ181=CH181),"4.RECENTES",IF(AND(CI181&lt;&gt;0,CI181/RIGHT($CI$1,2)&gt;=0.5,CJ181=CI181),"4.RECENTES",IF(AND(CE181=0,CF181=0,CG181=0,CH181=0),"3.INATIVOS",IF(CJ181/RIGHT($CJ$1,2)&lt;0.5,"2.INTERMITENTES","1.ORDINÁRIOS"))))))))</f>
        <v>3.INATIVOS</v>
      </c>
      <c r="CN181" s="20" t="n">
        <f aca="false">IF(AND(CE181=1,CJ181=1,BT181&lt;&gt;""),BT181,IF(AND(CE181&lt;&gt;0,CE181/RIGHT($CE$1,1)&gt;=0.5,CJ181=CE181),MAX(BV181:CC181),IF(AND(CF181&lt;&gt;0,CF181/RIGHT($CF$1,1)&gt;=0.5,CJ181=CF181),MAX(BV181:CC181),IF(AND(CG181&lt;&gt;0,CG181/RIGHT($CG$1,2)&gt;=0.5,CJ181=CG181),MAX(BV181:CC181),IF(AND(CH181&lt;&gt;0,CH181/RIGHT($CH$1,2)&gt;=0.5,CJ181=CH181),MAX(BV181:CC181),IF(AND(CI181&lt;&gt;0,CI181/RIGHT($CI$1,2)&gt;=0.5,CJ181=CI181),MAX(BV181:CC181),IF(AND(CE181=0,CF181=0,CG181=0,CH181=0),0,IF(CJ181/RIGHT($CJ$1,2)&lt;0.5,ROUND(BU181/RIGHT($CJ$1,2),0),MAX(BV181:CC181)))))))))</f>
        <v>0</v>
      </c>
      <c r="CO181" s="20" t="n">
        <f aca="false">CN181*3</f>
        <v>0</v>
      </c>
      <c r="CP181" s="15" t="n">
        <v>0</v>
      </c>
      <c r="CQ181" s="16" t="n">
        <f aca="false">IF((CO181-CP181)&lt;0,0,(CO181-CP181))</f>
        <v>0</v>
      </c>
      <c r="CR181" s="7"/>
    </row>
    <row r="182" customFormat="false" ht="12.75" hidden="false" customHeight="true" outlineLevel="0" collapsed="false">
      <c r="A182" s="7" t="s">
        <v>273</v>
      </c>
      <c r="B182" s="7" t="s">
        <v>278</v>
      </c>
      <c r="C182" s="8" t="n">
        <v>1002</v>
      </c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 t="n">
        <v>30</v>
      </c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9"/>
      <c r="BH182" s="9"/>
      <c r="BI182" s="9"/>
      <c r="BJ182" s="9"/>
      <c r="BK182" s="9"/>
      <c r="BL182" s="9"/>
      <c r="BM182" s="9"/>
      <c r="BN182" s="9"/>
      <c r="BO182" s="9"/>
      <c r="BP182" s="9"/>
      <c r="BQ182" s="9"/>
      <c r="BR182" s="9"/>
      <c r="BS182" s="9"/>
      <c r="BT182" s="9"/>
      <c r="BU182" s="10" t="n">
        <v>30</v>
      </c>
      <c r="BV182" s="11" t="n">
        <f aca="false">IF(ISERROR(ROUND(MEDIAN(BQ182:BT182),0)),0,ROUND(MEDIAN(BQ182:BT182),0))</f>
        <v>0</v>
      </c>
      <c r="BW182" s="11" t="n">
        <f aca="false">IF(ISERROR(ROUND(MEDIAN(BM182:BT182),0)),0,ROUND(MEDIAN(BM182:BT182),0))</f>
        <v>0</v>
      </c>
      <c r="BX182" s="11" t="n">
        <f aca="false">IF(ISERROR(ROUND(MEDIAN(BI182:BT182),0)),0,ROUND(MEDIAN(BI182:BT182),0))</f>
        <v>0</v>
      </c>
      <c r="BY182" s="11" t="n">
        <f aca="false">IF(ISERROR(ROUND(MEDIAN(BE182:BT182),0)),0,ROUND(MEDIAN(BE182:BT182),0))</f>
        <v>0</v>
      </c>
      <c r="BZ182" s="11" t="n">
        <f aca="false">IF(ISERROR(ROUND(MEDIAN(AU182:BT182),0)),0,ROUND(MEDIAN(AU182:BT182),0))</f>
        <v>0</v>
      </c>
      <c r="CA182" s="12" t="n">
        <f aca="false">IF(ISERROR(ROUND(MEDIAN(U182:BT182),0)),0,ROUND(MEDIAN(U182:BT182),0))</f>
        <v>30</v>
      </c>
      <c r="CB182" s="12" t="n">
        <f aca="false">IF(ISERROR(ROUND(MEDIAN(BT182),0)),0,ROUND(MEDIAN(BT182),0))</f>
        <v>0</v>
      </c>
      <c r="CC182" s="12" t="n">
        <f aca="false">IF(ISERROR(ROUND(MEDIAN(D182:BT182),0)),0,ROUND(MEDIAN(D182:BT182),0))</f>
        <v>30</v>
      </c>
      <c r="CD182" s="12" t="n">
        <f aca="false">MAX(D182:BT182)</f>
        <v>30</v>
      </c>
      <c r="CE182" s="7" t="n">
        <f aca="false">COUNTA(BQ182:BT182)</f>
        <v>0</v>
      </c>
      <c r="CF182" s="7" t="n">
        <f aca="false">COUNTA(BM182:BT182)</f>
        <v>0</v>
      </c>
      <c r="CG182" s="7" t="n">
        <f aca="false">COUNTA(BI182:BT182)</f>
        <v>0</v>
      </c>
      <c r="CH182" s="7" t="n">
        <f aca="false">COUNTA(BE182:BT182)</f>
        <v>0</v>
      </c>
      <c r="CI182" s="7" t="n">
        <f aca="false">COUNTA(AU182:BT182)</f>
        <v>0</v>
      </c>
      <c r="CJ182" s="7" t="n">
        <f aca="false">COUNTA(U182:BT182)</f>
        <v>1</v>
      </c>
      <c r="CK182" s="7" t="n">
        <f aca="false">COUNTA(BT182)</f>
        <v>0</v>
      </c>
      <c r="CL182" s="7" t="n">
        <f aca="false">COUNTA(D182:BT182)</f>
        <v>1</v>
      </c>
      <c r="CM182" s="19" t="str">
        <f aca="false">IF(AND(CE182=1,CJ182=1,BT182&lt;&gt;""),"5.ENTRANTES",IF(AND(CE182&lt;&gt;0,CE182/RIGHT($CE$1,1)&gt;=0.5,CJ182=CE182),"4.RECENTES",IF(AND(CF182&lt;&gt;0,CF182/RIGHT($CF$1,1)&gt;=0.5,CJ182=CF182),"4.RECENTES",IF(AND(CG182&lt;&gt;0,CG182/RIGHT($CG$1,2)&gt;=0.5,CJ182=CG182),"4.RECENTES",IF(AND(CH182&lt;&gt;0,CH182/RIGHT($CH$1,2)&gt;=0.5,CJ182=CH182),"4.RECENTES",IF(AND(CI182&lt;&gt;0,CI182/RIGHT($CI$1,2)&gt;=0.5,CJ182=CI182),"4.RECENTES",IF(AND(CE182=0,CF182=0,CG182=0,CH182=0),"3.INATIVOS",IF(CJ182/RIGHT($CJ$1,2)&lt;0.5,"2.INTERMITENTES","1.ORDINÁRIOS"))))))))</f>
        <v>3.INATIVOS</v>
      </c>
      <c r="CN182" s="20" t="n">
        <f aca="false">IF(AND(CE182=1,CJ182=1,BT182&lt;&gt;""),BT182,IF(AND(CE182&lt;&gt;0,CE182/RIGHT($CE$1,1)&gt;=0.5,CJ182=CE182),MAX(BV182:CC182),IF(AND(CF182&lt;&gt;0,CF182/RIGHT($CF$1,1)&gt;=0.5,CJ182=CF182),MAX(BV182:CC182),IF(AND(CG182&lt;&gt;0,CG182/RIGHT($CG$1,2)&gt;=0.5,CJ182=CG182),MAX(BV182:CC182),IF(AND(CH182&lt;&gt;0,CH182/RIGHT($CH$1,2)&gt;=0.5,CJ182=CH182),MAX(BV182:CC182),IF(AND(CI182&lt;&gt;0,CI182/RIGHT($CI$1,2)&gt;=0.5,CJ182=CI182),MAX(BV182:CC182),IF(AND(CE182=0,CF182=0,CG182=0,CH182=0),0,IF(CJ182/RIGHT($CJ$1,2)&lt;0.5,ROUND(BU182/RIGHT($CJ$1,2),0),MAX(BV182:CC182)))))))))</f>
        <v>0</v>
      </c>
      <c r="CO182" s="20" t="n">
        <f aca="false">CN182*3</f>
        <v>0</v>
      </c>
      <c r="CP182" s="15" t="n">
        <v>0</v>
      </c>
      <c r="CQ182" s="16" t="n">
        <f aca="false">IF((CO182-CP182)&lt;0,0,(CO182-CP182))</f>
        <v>0</v>
      </c>
      <c r="CR182" s="7"/>
    </row>
    <row r="183" customFormat="false" ht="12.75" hidden="false" customHeight="true" outlineLevel="0" collapsed="false">
      <c r="A183" s="7" t="s">
        <v>273</v>
      </c>
      <c r="B183" s="7" t="s">
        <v>279</v>
      </c>
      <c r="C183" s="8" t="n">
        <v>21001110</v>
      </c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9"/>
      <c r="BH183" s="9" t="n">
        <v>1</v>
      </c>
      <c r="BI183" s="9"/>
      <c r="BJ183" s="9"/>
      <c r="BK183" s="9"/>
      <c r="BL183" s="9"/>
      <c r="BM183" s="9"/>
      <c r="BN183" s="9"/>
      <c r="BO183" s="9"/>
      <c r="BP183" s="9"/>
      <c r="BQ183" s="9"/>
      <c r="BR183" s="9"/>
      <c r="BS183" s="9"/>
      <c r="BT183" s="9"/>
      <c r="BU183" s="10" t="n">
        <v>1</v>
      </c>
      <c r="BV183" s="11" t="n">
        <f aca="false">IF(ISERROR(ROUND(MEDIAN(BQ183:BT183),0)),0,ROUND(MEDIAN(BQ183:BT183),0))</f>
        <v>0</v>
      </c>
      <c r="BW183" s="11" t="n">
        <f aca="false">IF(ISERROR(ROUND(MEDIAN(BM183:BT183),0)),0,ROUND(MEDIAN(BM183:BT183),0))</f>
        <v>0</v>
      </c>
      <c r="BX183" s="11" t="n">
        <f aca="false">IF(ISERROR(ROUND(MEDIAN(BI183:BT183),0)),0,ROUND(MEDIAN(BI183:BT183),0))</f>
        <v>0</v>
      </c>
      <c r="BY183" s="11" t="n">
        <f aca="false">IF(ISERROR(ROUND(MEDIAN(BE183:BT183),0)),0,ROUND(MEDIAN(BE183:BT183),0))</f>
        <v>1</v>
      </c>
      <c r="BZ183" s="11" t="n">
        <f aca="false">IF(ISERROR(ROUND(MEDIAN(AU183:BT183),0)),0,ROUND(MEDIAN(AU183:BT183),0))</f>
        <v>1</v>
      </c>
      <c r="CA183" s="12" t="n">
        <f aca="false">IF(ISERROR(ROUND(MEDIAN(U183:BT183),0)),0,ROUND(MEDIAN(U183:BT183),0))</f>
        <v>1</v>
      </c>
      <c r="CB183" s="12" t="n">
        <f aca="false">IF(ISERROR(ROUND(MEDIAN(BT183),0)),0,ROUND(MEDIAN(BT183),0))</f>
        <v>0</v>
      </c>
      <c r="CC183" s="12" t="n">
        <f aca="false">IF(ISERROR(ROUND(MEDIAN(D183:BT183),0)),0,ROUND(MEDIAN(D183:BT183),0))</f>
        <v>1</v>
      </c>
      <c r="CD183" s="12" t="n">
        <f aca="false">MAX(D183:BT183)</f>
        <v>1</v>
      </c>
      <c r="CE183" s="7" t="n">
        <f aca="false">COUNTA(BQ183:BT183)</f>
        <v>0</v>
      </c>
      <c r="CF183" s="7" t="n">
        <f aca="false">COUNTA(BM183:BT183)</f>
        <v>0</v>
      </c>
      <c r="CG183" s="7" t="n">
        <f aca="false">COUNTA(BI183:BT183)</f>
        <v>0</v>
      </c>
      <c r="CH183" s="7" t="n">
        <f aca="false">COUNTA(BE183:BT183)</f>
        <v>1</v>
      </c>
      <c r="CI183" s="7" t="n">
        <f aca="false">COUNTA(AU183:BT183)</f>
        <v>1</v>
      </c>
      <c r="CJ183" s="7" t="n">
        <f aca="false">COUNTA(U183:BT183)</f>
        <v>1</v>
      </c>
      <c r="CK183" s="7" t="n">
        <f aca="false">COUNTA(BT183)</f>
        <v>0</v>
      </c>
      <c r="CL183" s="7" t="n">
        <f aca="false">COUNTA(D183:BT183)</f>
        <v>1</v>
      </c>
      <c r="CM183" s="17" t="str">
        <f aca="false">IF(AND(CE183=1,CJ183=1,BT183&lt;&gt;""),"5.ENTRANTES",IF(AND(CE183&lt;&gt;0,CE183/RIGHT($CE$1,1)&gt;=0.5,CJ183=CE183),"4.RECENTES",IF(AND(CF183&lt;&gt;0,CF183/RIGHT($CF$1,1)&gt;=0.5,CJ183=CF183),"4.RECENTES",IF(AND(CG183&lt;&gt;0,CG183/RIGHT($CG$1,2)&gt;=0.5,CJ183=CG183),"4.RECENTES",IF(AND(CH183&lt;&gt;0,CH183/RIGHT($CH$1,2)&gt;=0.5,CJ183=CH183),"4.RECENTES",IF(AND(CI183&lt;&gt;0,CI183/RIGHT($CI$1,2)&gt;=0.5,CJ183=CI183),"4.RECENTES",IF(AND(CE183=0,CF183=0,CG183=0,CH183=0),"3.INATIVOS",IF(CJ183/RIGHT($CJ$1,2)&lt;0.5,"2.INTERMITENTES","1.ORDINÁRIOS"))))))))</f>
        <v>2.INTERMITENTES</v>
      </c>
      <c r="CN183" s="18" t="n">
        <f aca="false">IF(AND(CE183=1,CJ183=1,BT183&lt;&gt;""),BT183,IF(AND(CE183&lt;&gt;0,CE183/RIGHT($CE$1,1)&gt;=0.5,CJ183=CE183),MAX(BV183:CC183),IF(AND(CF183&lt;&gt;0,CF183/RIGHT($CF$1,1)&gt;=0.5,CJ183=CF183),MAX(BV183:CC183),IF(AND(CG183&lt;&gt;0,CG183/RIGHT($CG$1,2)&gt;=0.5,CJ183=CG183),MAX(BV183:CC183),IF(AND(CH183&lt;&gt;0,CH183/RIGHT($CH$1,2)&gt;=0.5,CJ183=CH183),MAX(BV183:CC183),IF(AND(CI183&lt;&gt;0,CI183/RIGHT($CI$1,2)&gt;=0.5,CJ183=CI183),MAX(BV183:CC183),IF(AND(CE183=0,CF183=0,CG183=0,CH183=0),0,IF(CJ183/RIGHT($CJ$1,2)&lt;0.5,ROUND(BU183/RIGHT($CJ$1,2),0),MAX(BV183:CC183)))))))))</f>
        <v>0</v>
      </c>
      <c r="CO183" s="18" t="n">
        <f aca="false">CD183</f>
        <v>1</v>
      </c>
      <c r="CP183" s="15" t="n">
        <v>0</v>
      </c>
      <c r="CQ183" s="16" t="n">
        <f aca="false">IF((CO183-CP183)&lt;0,0,(CO183-CP183))</f>
        <v>1</v>
      </c>
      <c r="CR183" s="7"/>
    </row>
    <row r="184" customFormat="false" ht="12.75" hidden="false" customHeight="true" outlineLevel="0" collapsed="false">
      <c r="A184" s="7" t="s">
        <v>273</v>
      </c>
      <c r="B184" s="7" t="s">
        <v>280</v>
      </c>
      <c r="C184" s="8" t="n">
        <v>21001099</v>
      </c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 t="n">
        <v>15</v>
      </c>
      <c r="Y184" s="9"/>
      <c r="Z184" s="9"/>
      <c r="AA184" s="9"/>
      <c r="AB184" s="9"/>
      <c r="AC184" s="9"/>
      <c r="AD184" s="9"/>
      <c r="AE184" s="9" t="n">
        <v>30</v>
      </c>
      <c r="AF184" s="9"/>
      <c r="AG184" s="9"/>
      <c r="AH184" s="9"/>
      <c r="AI184" s="9"/>
      <c r="AJ184" s="9"/>
      <c r="AK184" s="9"/>
      <c r="AL184" s="9"/>
      <c r="AM184" s="9" t="n">
        <v>30</v>
      </c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 t="n">
        <v>25</v>
      </c>
      <c r="AY184" s="9"/>
      <c r="AZ184" s="9"/>
      <c r="BA184" s="9"/>
      <c r="BB184" s="9"/>
      <c r="BC184" s="9"/>
      <c r="BD184" s="9"/>
      <c r="BE184" s="9"/>
      <c r="BF184" s="9"/>
      <c r="BG184" s="9"/>
      <c r="BH184" s="9"/>
      <c r="BI184" s="9"/>
      <c r="BJ184" s="9"/>
      <c r="BK184" s="9"/>
      <c r="BL184" s="9"/>
      <c r="BM184" s="9"/>
      <c r="BN184" s="9"/>
      <c r="BO184" s="9"/>
      <c r="BP184" s="9"/>
      <c r="BQ184" s="9"/>
      <c r="BR184" s="9"/>
      <c r="BS184" s="9"/>
      <c r="BT184" s="9"/>
      <c r="BU184" s="10" t="n">
        <v>100</v>
      </c>
      <c r="BV184" s="11" t="n">
        <f aca="false">IF(ISERROR(ROUND(MEDIAN(BQ184:BT184),0)),0,ROUND(MEDIAN(BQ184:BT184),0))</f>
        <v>0</v>
      </c>
      <c r="BW184" s="11" t="n">
        <f aca="false">IF(ISERROR(ROUND(MEDIAN(BM184:BT184),0)),0,ROUND(MEDIAN(BM184:BT184),0))</f>
        <v>0</v>
      </c>
      <c r="BX184" s="11" t="n">
        <f aca="false">IF(ISERROR(ROUND(MEDIAN(BI184:BT184),0)),0,ROUND(MEDIAN(BI184:BT184),0))</f>
        <v>0</v>
      </c>
      <c r="BY184" s="11" t="n">
        <f aca="false">IF(ISERROR(ROUND(MEDIAN(BE184:BT184),0)),0,ROUND(MEDIAN(BE184:BT184),0))</f>
        <v>0</v>
      </c>
      <c r="BZ184" s="11" t="n">
        <f aca="false">IF(ISERROR(ROUND(MEDIAN(AU184:BT184),0)),0,ROUND(MEDIAN(AU184:BT184),0))</f>
        <v>25</v>
      </c>
      <c r="CA184" s="12" t="n">
        <f aca="false">IF(ISERROR(ROUND(MEDIAN(U184:BT184),0)),0,ROUND(MEDIAN(U184:BT184),0))</f>
        <v>28</v>
      </c>
      <c r="CB184" s="12" t="n">
        <f aca="false">IF(ISERROR(ROUND(MEDIAN(BT184),0)),0,ROUND(MEDIAN(BT184),0))</f>
        <v>0</v>
      </c>
      <c r="CC184" s="12" t="n">
        <f aca="false">IF(ISERROR(ROUND(MEDIAN(D184:BT184),0)),0,ROUND(MEDIAN(D184:BT184),0))</f>
        <v>28</v>
      </c>
      <c r="CD184" s="12" t="n">
        <f aca="false">MAX(D184:BT184)</f>
        <v>30</v>
      </c>
      <c r="CE184" s="7" t="n">
        <f aca="false">COUNTA(BQ184:BT184)</f>
        <v>0</v>
      </c>
      <c r="CF184" s="7" t="n">
        <f aca="false">COUNTA(BM184:BT184)</f>
        <v>0</v>
      </c>
      <c r="CG184" s="7" t="n">
        <f aca="false">COUNTA(BI184:BT184)</f>
        <v>0</v>
      </c>
      <c r="CH184" s="7" t="n">
        <f aca="false">COUNTA(BE184:BT184)</f>
        <v>0</v>
      </c>
      <c r="CI184" s="7" t="n">
        <f aca="false">COUNTA(AU184:BT184)</f>
        <v>1</v>
      </c>
      <c r="CJ184" s="7" t="n">
        <f aca="false">COUNTA(U184:BT184)</f>
        <v>4</v>
      </c>
      <c r="CK184" s="7" t="n">
        <f aca="false">COUNTA(BT184)</f>
        <v>0</v>
      </c>
      <c r="CL184" s="7" t="n">
        <f aca="false">COUNTA(D184:BT184)</f>
        <v>4</v>
      </c>
      <c r="CM184" s="19" t="str">
        <f aca="false">IF(AND(CE184=1,CJ184=1,BT184&lt;&gt;""),"5.ENTRANTES",IF(AND(CE184&lt;&gt;0,CE184/RIGHT($CE$1,1)&gt;=0.5,CJ184=CE184),"4.RECENTES",IF(AND(CF184&lt;&gt;0,CF184/RIGHT($CF$1,1)&gt;=0.5,CJ184=CF184),"4.RECENTES",IF(AND(CG184&lt;&gt;0,CG184/RIGHT($CG$1,2)&gt;=0.5,CJ184=CG184),"4.RECENTES",IF(AND(CH184&lt;&gt;0,CH184/RIGHT($CH$1,2)&gt;=0.5,CJ184=CH184),"4.RECENTES",IF(AND(CI184&lt;&gt;0,CI184/RIGHT($CI$1,2)&gt;=0.5,CJ184=CI184),"4.RECENTES",IF(AND(CE184=0,CF184=0,CG184=0,CH184=0),"3.INATIVOS",IF(CJ184/RIGHT($CJ$1,2)&lt;0.5,"2.INTERMITENTES","1.ORDINÁRIOS"))))))))</f>
        <v>3.INATIVOS</v>
      </c>
      <c r="CN184" s="20" t="n">
        <f aca="false">IF(AND(CE184=1,CJ184=1,BT184&lt;&gt;""),BT184,IF(AND(CE184&lt;&gt;0,CE184/RIGHT($CE$1,1)&gt;=0.5,CJ184=CE184),MAX(BV184:CC184),IF(AND(CF184&lt;&gt;0,CF184/RIGHT($CF$1,1)&gt;=0.5,CJ184=CF184),MAX(BV184:CC184),IF(AND(CG184&lt;&gt;0,CG184/RIGHT($CG$1,2)&gt;=0.5,CJ184=CG184),MAX(BV184:CC184),IF(AND(CH184&lt;&gt;0,CH184/RIGHT($CH$1,2)&gt;=0.5,CJ184=CH184),MAX(BV184:CC184),IF(AND(CI184&lt;&gt;0,CI184/RIGHT($CI$1,2)&gt;=0.5,CJ184=CI184),MAX(BV184:CC184),IF(AND(CE184=0,CF184=0,CG184=0,CH184=0),0,IF(CJ184/RIGHT($CJ$1,2)&lt;0.5,ROUND(BU184/RIGHT($CJ$1,2),0),MAX(BV184:CC184)))))))))</f>
        <v>0</v>
      </c>
      <c r="CO184" s="20" t="n">
        <f aca="false">CN184*3</f>
        <v>0</v>
      </c>
      <c r="CP184" s="15" t="n">
        <v>0</v>
      </c>
      <c r="CQ184" s="16" t="n">
        <f aca="false">IF((CO184-CP184)&lt;0,0,(CO184-CP184))</f>
        <v>0</v>
      </c>
      <c r="CR184" s="7"/>
    </row>
    <row r="185" customFormat="false" ht="12.75" hidden="false" customHeight="true" outlineLevel="0" collapsed="false">
      <c r="A185" s="7" t="s">
        <v>273</v>
      </c>
      <c r="B185" s="7" t="s">
        <v>281</v>
      </c>
      <c r="C185" s="8" t="n">
        <v>228001012</v>
      </c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 t="n">
        <v>60</v>
      </c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 t="n">
        <v>60</v>
      </c>
      <c r="BK185" s="9"/>
      <c r="BL185" s="9"/>
      <c r="BM185" s="9"/>
      <c r="BN185" s="9" t="n">
        <v>60</v>
      </c>
      <c r="BO185" s="9"/>
      <c r="BP185" s="9"/>
      <c r="BQ185" s="9"/>
      <c r="BR185" s="9"/>
      <c r="BS185" s="9" t="n">
        <v>30</v>
      </c>
      <c r="BT185" s="9"/>
      <c r="BU185" s="10" t="n">
        <v>210</v>
      </c>
      <c r="BV185" s="11" t="n">
        <f aca="false">IF(ISERROR(ROUND(MEDIAN(BQ185:BT185),0)),0,ROUND(MEDIAN(BQ185:BT185),0))</f>
        <v>30</v>
      </c>
      <c r="BW185" s="11" t="n">
        <f aca="false">IF(ISERROR(ROUND(MEDIAN(BM185:BT185),0)),0,ROUND(MEDIAN(BM185:BT185),0))</f>
        <v>45</v>
      </c>
      <c r="BX185" s="11" t="n">
        <f aca="false">IF(ISERROR(ROUND(MEDIAN(BI185:BT185),0)),0,ROUND(MEDIAN(BI185:BT185),0))</f>
        <v>60</v>
      </c>
      <c r="BY185" s="11" t="n">
        <f aca="false">IF(ISERROR(ROUND(MEDIAN(BE185:BT185),0)),0,ROUND(MEDIAN(BE185:BT185),0))</f>
        <v>60</v>
      </c>
      <c r="BZ185" s="11" t="n">
        <f aca="false">IF(ISERROR(ROUND(MEDIAN(AU185:BT185),0)),0,ROUND(MEDIAN(AU185:BT185),0))</f>
        <v>60</v>
      </c>
      <c r="CA185" s="12" t="n">
        <f aca="false">IF(ISERROR(ROUND(MEDIAN(U185:BT185),0)),0,ROUND(MEDIAN(U185:BT185),0))</f>
        <v>60</v>
      </c>
      <c r="CB185" s="12" t="n">
        <f aca="false">IF(ISERROR(ROUND(MEDIAN(BT185),0)),0,ROUND(MEDIAN(BT185),0))</f>
        <v>0</v>
      </c>
      <c r="CC185" s="12" t="n">
        <f aca="false">IF(ISERROR(ROUND(MEDIAN(D185:BT185),0)),0,ROUND(MEDIAN(D185:BT185),0))</f>
        <v>60</v>
      </c>
      <c r="CD185" s="12" t="n">
        <f aca="false">MAX(D185:BT185)</f>
        <v>60</v>
      </c>
      <c r="CE185" s="7" t="n">
        <f aca="false">COUNTA(BQ185:BT185)</f>
        <v>1</v>
      </c>
      <c r="CF185" s="7" t="n">
        <f aca="false">COUNTA(BM185:BT185)</f>
        <v>2</v>
      </c>
      <c r="CG185" s="7" t="n">
        <f aca="false">COUNTA(BI185:BT185)</f>
        <v>3</v>
      </c>
      <c r="CH185" s="7" t="n">
        <f aca="false">COUNTA(BE185:BT185)</f>
        <v>3</v>
      </c>
      <c r="CI185" s="7" t="n">
        <f aca="false">COUNTA(AU185:BT185)</f>
        <v>3</v>
      </c>
      <c r="CJ185" s="7" t="n">
        <f aca="false">COUNTA(U185:BT185)</f>
        <v>3</v>
      </c>
      <c r="CK185" s="7" t="n">
        <f aca="false">COUNTA(BT185)</f>
        <v>0</v>
      </c>
      <c r="CL185" s="7" t="n">
        <f aca="false">COUNTA(D185:BT185)</f>
        <v>4</v>
      </c>
      <c r="CM185" s="17" t="str">
        <f aca="false">IF(AND(CE185=1,CJ185=1,BT185&lt;&gt;""),"5.ENTRANTES",IF(AND(CE185&lt;&gt;0,CE185/RIGHT($CE$1,1)&gt;=0.5,CJ185=CE185),"4.RECENTES",IF(AND(CF185&lt;&gt;0,CF185/RIGHT($CF$1,1)&gt;=0.5,CJ185=CF185),"4.RECENTES",IF(AND(CG185&lt;&gt;0,CG185/RIGHT($CG$1,2)&gt;=0.5,CJ185=CG185),"4.RECENTES",IF(AND(CH185&lt;&gt;0,CH185/RIGHT($CH$1,2)&gt;=0.5,CJ185=CH185),"4.RECENTES",IF(AND(CI185&lt;&gt;0,CI185/RIGHT($CI$1,2)&gt;=0.5,CJ185=CI185),"4.RECENTES",IF(AND(CE185=0,CF185=0,CG185=0,CH185=0),"3.INATIVOS",IF(CJ185/RIGHT($CJ$1,2)&lt;0.5,"2.INTERMITENTES","1.ORDINÁRIOS"))))))))</f>
        <v>2.INTERMITENTES</v>
      </c>
      <c r="CN185" s="18" t="n">
        <f aca="false">IF(AND(CE185=1,CJ185=1,BT185&lt;&gt;""),BT185,IF(AND(CE185&lt;&gt;0,CE185/RIGHT($CE$1,1)&gt;=0.5,CJ185=CE185),MAX(BV185:CC185),IF(AND(CF185&lt;&gt;0,CF185/RIGHT($CF$1,1)&gt;=0.5,CJ185=CF185),MAX(BV185:CC185),IF(AND(CG185&lt;&gt;0,CG185/RIGHT($CG$1,2)&gt;=0.5,CJ185=CG185),MAX(BV185:CC185),IF(AND(CH185&lt;&gt;0,CH185/RIGHT($CH$1,2)&gt;=0.5,CJ185=CH185),MAX(BV185:CC185),IF(AND(CI185&lt;&gt;0,CI185/RIGHT($CI$1,2)&gt;=0.5,CJ185=CI185),MAX(BV185:CC185),IF(AND(CE185=0,CF185=0,CG185=0,CH185=0),0,IF(CJ185/RIGHT($CJ$1,2)&lt;0.5,ROUND(BU185/RIGHT($CJ$1,2),0),MAX(BV185:CC185)))))))))</f>
        <v>4</v>
      </c>
      <c r="CO185" s="18" t="n">
        <f aca="false">CD185</f>
        <v>60</v>
      </c>
      <c r="CP185" s="15" t="n">
        <v>60</v>
      </c>
      <c r="CQ185" s="16" t="n">
        <f aca="false">IF((CO185-CP185)&lt;0,0,(CO185-CP185))</f>
        <v>0</v>
      </c>
      <c r="CR185" s="7"/>
    </row>
    <row r="186" customFormat="false" ht="12.75" hidden="false" customHeight="true" outlineLevel="0" collapsed="false">
      <c r="A186" s="7" t="s">
        <v>273</v>
      </c>
      <c r="B186" s="7" t="s">
        <v>282</v>
      </c>
      <c r="C186" s="8" t="n">
        <v>5000092</v>
      </c>
      <c r="D186" s="9"/>
      <c r="E186" s="9"/>
      <c r="F186" s="9"/>
      <c r="G186" s="9"/>
      <c r="H186" s="9"/>
      <c r="I186" s="9" t="n">
        <v>60</v>
      </c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10" t="n">
        <v>60</v>
      </c>
      <c r="BV186" s="11" t="n">
        <f aca="false">IF(ISERROR(ROUND(MEDIAN(BQ186:BT186),0)),0,ROUND(MEDIAN(BQ186:BT186),0))</f>
        <v>0</v>
      </c>
      <c r="BW186" s="11" t="n">
        <f aca="false">IF(ISERROR(ROUND(MEDIAN(BM186:BT186),0)),0,ROUND(MEDIAN(BM186:BT186),0))</f>
        <v>0</v>
      </c>
      <c r="BX186" s="11" t="n">
        <f aca="false">IF(ISERROR(ROUND(MEDIAN(BI186:BT186),0)),0,ROUND(MEDIAN(BI186:BT186),0))</f>
        <v>0</v>
      </c>
      <c r="BY186" s="11" t="n">
        <f aca="false">IF(ISERROR(ROUND(MEDIAN(BE186:BT186),0)),0,ROUND(MEDIAN(BE186:BT186),0))</f>
        <v>0</v>
      </c>
      <c r="BZ186" s="11" t="n">
        <f aca="false">IF(ISERROR(ROUND(MEDIAN(AU186:BT186),0)),0,ROUND(MEDIAN(AU186:BT186),0))</f>
        <v>0</v>
      </c>
      <c r="CA186" s="12" t="n">
        <f aca="false">IF(ISERROR(ROUND(MEDIAN(U186:BT186),0)),0,ROUND(MEDIAN(U186:BT186),0))</f>
        <v>0</v>
      </c>
      <c r="CB186" s="12" t="n">
        <f aca="false">IF(ISERROR(ROUND(MEDIAN(BT186),0)),0,ROUND(MEDIAN(BT186),0))</f>
        <v>0</v>
      </c>
      <c r="CC186" s="12" t="n">
        <f aca="false">IF(ISERROR(ROUND(MEDIAN(D186:BT186),0)),0,ROUND(MEDIAN(D186:BT186),0))</f>
        <v>60</v>
      </c>
      <c r="CD186" s="12" t="n">
        <f aca="false">MAX(D186:BT186)</f>
        <v>60</v>
      </c>
      <c r="CE186" s="7" t="n">
        <f aca="false">COUNTA(BQ186:BT186)</f>
        <v>0</v>
      </c>
      <c r="CF186" s="7" t="n">
        <f aca="false">COUNTA(BM186:BT186)</f>
        <v>0</v>
      </c>
      <c r="CG186" s="7" t="n">
        <f aca="false">COUNTA(BI186:BT186)</f>
        <v>0</v>
      </c>
      <c r="CH186" s="7" t="n">
        <f aca="false">COUNTA(BE186:BT186)</f>
        <v>0</v>
      </c>
      <c r="CI186" s="7" t="n">
        <f aca="false">COUNTA(AU186:BT186)</f>
        <v>0</v>
      </c>
      <c r="CJ186" s="7" t="n">
        <f aca="false">COUNTA(U186:BT186)</f>
        <v>0</v>
      </c>
      <c r="CK186" s="7" t="n">
        <f aca="false">COUNTA(BT186)</f>
        <v>0</v>
      </c>
      <c r="CL186" s="7" t="n">
        <f aca="false">COUNTA(D186:BT186)</f>
        <v>1</v>
      </c>
      <c r="CM186" s="19" t="str">
        <f aca="false">IF(AND(CE186=1,CJ186=1,BT186&lt;&gt;""),"5.ENTRANTES",IF(AND(CE186&lt;&gt;0,CE186/RIGHT($CE$1,1)&gt;=0.5,CJ186=CE186),"4.RECENTES",IF(AND(CF186&lt;&gt;0,CF186/RIGHT($CF$1,1)&gt;=0.5,CJ186=CF186),"4.RECENTES",IF(AND(CG186&lt;&gt;0,CG186/RIGHT($CG$1,2)&gt;=0.5,CJ186=CG186),"4.RECENTES",IF(AND(CH186&lt;&gt;0,CH186/RIGHT($CH$1,2)&gt;=0.5,CJ186=CH186),"4.RECENTES",IF(AND(CI186&lt;&gt;0,CI186/RIGHT($CI$1,2)&gt;=0.5,CJ186=CI186),"4.RECENTES",IF(AND(CE186=0,CF186=0,CG186=0,CH186=0),"3.INATIVOS",IF(CJ186/RIGHT($CJ$1,2)&lt;0.5,"2.INTERMITENTES","1.ORDINÁRIOS"))))))))</f>
        <v>3.INATIVOS</v>
      </c>
      <c r="CN186" s="20" t="n">
        <f aca="false">IF(AND(CE186=1,CJ186=1,BT186&lt;&gt;""),BT186,IF(AND(CE186&lt;&gt;0,CE186/RIGHT($CE$1,1)&gt;=0.5,CJ186=CE186),MAX(BV186:CC186),IF(AND(CF186&lt;&gt;0,CF186/RIGHT($CF$1,1)&gt;=0.5,CJ186=CF186),MAX(BV186:CC186),IF(AND(CG186&lt;&gt;0,CG186/RIGHT($CG$1,2)&gt;=0.5,CJ186=CG186),MAX(BV186:CC186),IF(AND(CH186&lt;&gt;0,CH186/RIGHT($CH$1,2)&gt;=0.5,CJ186=CH186),MAX(BV186:CC186),IF(AND(CI186&lt;&gt;0,CI186/RIGHT($CI$1,2)&gt;=0.5,CJ186=CI186),MAX(BV186:CC186),IF(AND(CE186=0,CF186=0,CG186=0,CH186=0),0,IF(CJ186/RIGHT($CJ$1,2)&lt;0.5,ROUND(BU186/RIGHT($CJ$1,2),0),MAX(BV186:CC186)))))))))</f>
        <v>0</v>
      </c>
      <c r="CO186" s="20" t="n">
        <f aca="false">CN186*3</f>
        <v>0</v>
      </c>
      <c r="CP186" s="15" t="n">
        <v>0</v>
      </c>
      <c r="CQ186" s="16" t="n">
        <f aca="false">IF((CO186-CP186)&lt;0,0,(CO186-CP186))</f>
        <v>0</v>
      </c>
      <c r="CR186" s="7"/>
    </row>
    <row r="187" customFormat="false" ht="12.75" hidden="false" customHeight="true" outlineLevel="0" collapsed="false">
      <c r="A187" s="7" t="s">
        <v>273</v>
      </c>
      <c r="B187" s="7" t="s">
        <v>283</v>
      </c>
      <c r="C187" s="8" t="n">
        <v>21001096</v>
      </c>
      <c r="D187" s="9"/>
      <c r="E187" s="9" t="n">
        <v>1</v>
      </c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 t="n">
        <v>1</v>
      </c>
      <c r="U187" s="9" t="n">
        <v>1</v>
      </c>
      <c r="V187" s="9"/>
      <c r="W187" s="9"/>
      <c r="X187" s="9"/>
      <c r="Y187" s="9"/>
      <c r="Z187" s="9" t="n">
        <v>1</v>
      </c>
      <c r="AA187" s="9"/>
      <c r="AB187" s="9"/>
      <c r="AC187" s="9"/>
      <c r="AD187" s="9" t="n">
        <v>1</v>
      </c>
      <c r="AE187" s="9"/>
      <c r="AF187" s="9"/>
      <c r="AG187" s="9" t="n">
        <v>1</v>
      </c>
      <c r="AH187" s="9"/>
      <c r="AI187" s="9" t="n">
        <v>1</v>
      </c>
      <c r="AJ187" s="9"/>
      <c r="AK187" s="9"/>
      <c r="AL187" s="9"/>
      <c r="AM187" s="9"/>
      <c r="AN187" s="9" t="n">
        <v>1</v>
      </c>
      <c r="AO187" s="9"/>
      <c r="AP187" s="9"/>
      <c r="AQ187" s="9"/>
      <c r="AR187" s="9"/>
      <c r="AS187" s="9"/>
      <c r="AT187" s="9"/>
      <c r="AU187" s="9" t="n">
        <v>1</v>
      </c>
      <c r="AV187" s="9"/>
      <c r="AW187" s="9"/>
      <c r="AX187" s="9"/>
      <c r="AY187" s="9"/>
      <c r="AZ187" s="9"/>
      <c r="BA187" s="9" t="n">
        <v>1</v>
      </c>
      <c r="BB187" s="9"/>
      <c r="BC187" s="9"/>
      <c r="BD187" s="9"/>
      <c r="BE187" s="9" t="n">
        <v>1</v>
      </c>
      <c r="BF187" s="9"/>
      <c r="BG187" s="9"/>
      <c r="BH187" s="9"/>
      <c r="BI187" s="9"/>
      <c r="BJ187" s="9"/>
      <c r="BK187" s="9" t="n">
        <v>1</v>
      </c>
      <c r="BL187" s="9"/>
      <c r="BM187" s="9"/>
      <c r="BN187" s="9"/>
      <c r="BO187" s="9"/>
      <c r="BP187" s="9"/>
      <c r="BQ187" s="9"/>
      <c r="BR187" s="9"/>
      <c r="BS187" s="9" t="n">
        <v>1</v>
      </c>
      <c r="BT187" s="9"/>
      <c r="BU187" s="10" t="n">
        <v>13</v>
      </c>
      <c r="BV187" s="11" t="n">
        <f aca="false">IF(ISERROR(ROUND(MEDIAN(BQ187:BT187),0)),0,ROUND(MEDIAN(BQ187:BT187),0))</f>
        <v>1</v>
      </c>
      <c r="BW187" s="11" t="n">
        <f aca="false">IF(ISERROR(ROUND(MEDIAN(BM187:BT187),0)),0,ROUND(MEDIAN(BM187:BT187),0))</f>
        <v>1</v>
      </c>
      <c r="BX187" s="11" t="n">
        <f aca="false">IF(ISERROR(ROUND(MEDIAN(BI187:BT187),0)),0,ROUND(MEDIAN(BI187:BT187),0))</f>
        <v>1</v>
      </c>
      <c r="BY187" s="11" t="n">
        <f aca="false">IF(ISERROR(ROUND(MEDIAN(BE187:BT187),0)),0,ROUND(MEDIAN(BE187:BT187),0))</f>
        <v>1</v>
      </c>
      <c r="BZ187" s="11" t="n">
        <f aca="false">IF(ISERROR(ROUND(MEDIAN(AU187:BT187),0)),0,ROUND(MEDIAN(AU187:BT187),0))</f>
        <v>1</v>
      </c>
      <c r="CA187" s="12" t="n">
        <f aca="false">IF(ISERROR(ROUND(MEDIAN(U187:BT187),0)),0,ROUND(MEDIAN(U187:BT187),0))</f>
        <v>1</v>
      </c>
      <c r="CB187" s="12" t="n">
        <f aca="false">IF(ISERROR(ROUND(MEDIAN(BT187),0)),0,ROUND(MEDIAN(BT187),0))</f>
        <v>0</v>
      </c>
      <c r="CC187" s="12" t="n">
        <f aca="false">IF(ISERROR(ROUND(MEDIAN(D187:BT187),0)),0,ROUND(MEDIAN(D187:BT187),0))</f>
        <v>1</v>
      </c>
      <c r="CD187" s="12" t="n">
        <f aca="false">MAX(D187:BT187)</f>
        <v>1</v>
      </c>
      <c r="CE187" s="7" t="n">
        <f aca="false">COUNTA(BQ187:BT187)</f>
        <v>1</v>
      </c>
      <c r="CF187" s="7" t="n">
        <f aca="false">COUNTA(BM187:BT187)</f>
        <v>1</v>
      </c>
      <c r="CG187" s="7" t="n">
        <f aca="false">COUNTA(BI187:BT187)</f>
        <v>2</v>
      </c>
      <c r="CH187" s="7" t="n">
        <f aca="false">COUNTA(BE187:BT187)</f>
        <v>3</v>
      </c>
      <c r="CI187" s="7" t="n">
        <f aca="false">COUNTA(AU187:BT187)</f>
        <v>5</v>
      </c>
      <c r="CJ187" s="7" t="n">
        <f aca="false">COUNTA(U187:BT187)</f>
        <v>11</v>
      </c>
      <c r="CK187" s="7" t="n">
        <f aca="false">COUNTA(BT187)</f>
        <v>0</v>
      </c>
      <c r="CL187" s="7" t="n">
        <f aca="false">COUNTA(D187:BT187)</f>
        <v>13</v>
      </c>
      <c r="CM187" s="17" t="str">
        <f aca="false">IF(AND(CE187=1,CJ187=1,BT187&lt;&gt;""),"5.ENTRANTES",IF(AND(CE187&lt;&gt;0,CE187/RIGHT($CE$1,1)&gt;=0.5,CJ187=CE187),"4.RECENTES",IF(AND(CF187&lt;&gt;0,CF187/RIGHT($CF$1,1)&gt;=0.5,CJ187=CF187),"4.RECENTES",IF(AND(CG187&lt;&gt;0,CG187/RIGHT($CG$1,2)&gt;=0.5,CJ187=CG187),"4.RECENTES",IF(AND(CH187&lt;&gt;0,CH187/RIGHT($CH$1,2)&gt;=0.5,CJ187=CH187),"4.RECENTES",IF(AND(CI187&lt;&gt;0,CI187/RIGHT($CI$1,2)&gt;=0.5,CJ187=CI187),"4.RECENTES",IF(AND(CE187=0,CF187=0,CG187=0,CH187=0),"3.INATIVOS",IF(CJ187/RIGHT($CJ$1,2)&lt;0.5,"2.INTERMITENTES","1.ORDINÁRIOS"))))))))</f>
        <v>2.INTERMITENTES</v>
      </c>
      <c r="CN187" s="18" t="n">
        <f aca="false">IF(AND(CE187=1,CJ187=1,BT187&lt;&gt;""),BT187,IF(AND(CE187&lt;&gt;0,CE187/RIGHT($CE$1,1)&gt;=0.5,CJ187=CE187),MAX(BV187:CC187),IF(AND(CF187&lt;&gt;0,CF187/RIGHT($CF$1,1)&gt;=0.5,CJ187=CF187),MAX(BV187:CC187),IF(AND(CG187&lt;&gt;0,CG187/RIGHT($CG$1,2)&gt;=0.5,CJ187=CG187),MAX(BV187:CC187),IF(AND(CH187&lt;&gt;0,CH187/RIGHT($CH$1,2)&gt;=0.5,CJ187=CH187),MAX(BV187:CC187),IF(AND(CI187&lt;&gt;0,CI187/RIGHT($CI$1,2)&gt;=0.5,CJ187=CI187),MAX(BV187:CC187),IF(AND(CE187=0,CF187=0,CG187=0,CH187=0),0,IF(CJ187/RIGHT($CJ$1,2)&lt;0.5,ROUND(BU187/RIGHT($CJ$1,2),0),MAX(BV187:CC187)))))))))</f>
        <v>0</v>
      </c>
      <c r="CO187" s="18" t="n">
        <f aca="false">CD187</f>
        <v>1</v>
      </c>
      <c r="CP187" s="15" t="n">
        <v>0</v>
      </c>
      <c r="CQ187" s="16" t="n">
        <f aca="false">IF((CO187-CP187)&lt;0,0,(CO187-CP187))</f>
        <v>1</v>
      </c>
      <c r="CR187" s="7"/>
    </row>
    <row r="188" customFormat="false" ht="12.75" hidden="false" customHeight="true" outlineLevel="0" collapsed="false">
      <c r="A188" s="7" t="s">
        <v>273</v>
      </c>
      <c r="B188" s="7" t="s">
        <v>284</v>
      </c>
      <c r="C188" s="8" t="n">
        <v>315003001</v>
      </c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 t="n">
        <v>1</v>
      </c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  <c r="BG188" s="9"/>
      <c r="BH188" s="9"/>
      <c r="BI188" s="9"/>
      <c r="BJ188" s="9"/>
      <c r="BK188" s="9"/>
      <c r="BL188" s="9"/>
      <c r="BM188" s="9"/>
      <c r="BN188" s="9"/>
      <c r="BO188" s="9"/>
      <c r="BP188" s="9"/>
      <c r="BQ188" s="9"/>
      <c r="BR188" s="9"/>
      <c r="BS188" s="9"/>
      <c r="BT188" s="9"/>
      <c r="BU188" s="10" t="n">
        <v>1</v>
      </c>
      <c r="BV188" s="11" t="n">
        <f aca="false">IF(ISERROR(ROUND(MEDIAN(BQ188:BT188),0)),0,ROUND(MEDIAN(BQ188:BT188),0))</f>
        <v>0</v>
      </c>
      <c r="BW188" s="11" t="n">
        <f aca="false">IF(ISERROR(ROUND(MEDIAN(BM188:BT188),0)),0,ROUND(MEDIAN(BM188:BT188),0))</f>
        <v>0</v>
      </c>
      <c r="BX188" s="11" t="n">
        <f aca="false">IF(ISERROR(ROUND(MEDIAN(BI188:BT188),0)),0,ROUND(MEDIAN(BI188:BT188),0))</f>
        <v>0</v>
      </c>
      <c r="BY188" s="11" t="n">
        <f aca="false">IF(ISERROR(ROUND(MEDIAN(BE188:BT188),0)),0,ROUND(MEDIAN(BE188:BT188),0))</f>
        <v>0</v>
      </c>
      <c r="BZ188" s="11" t="n">
        <f aca="false">IF(ISERROR(ROUND(MEDIAN(AU188:BT188),0)),0,ROUND(MEDIAN(AU188:BT188),0))</f>
        <v>0</v>
      </c>
      <c r="CA188" s="12" t="n">
        <f aca="false">IF(ISERROR(ROUND(MEDIAN(U188:BT188),0)),0,ROUND(MEDIAN(U188:BT188),0))</f>
        <v>1</v>
      </c>
      <c r="CB188" s="12" t="n">
        <f aca="false">IF(ISERROR(ROUND(MEDIAN(BT188),0)),0,ROUND(MEDIAN(BT188),0))</f>
        <v>0</v>
      </c>
      <c r="CC188" s="12" t="n">
        <f aca="false">IF(ISERROR(ROUND(MEDIAN(D188:BT188),0)),0,ROUND(MEDIAN(D188:BT188),0))</f>
        <v>1</v>
      </c>
      <c r="CD188" s="12" t="n">
        <f aca="false">MAX(D188:BT188)</f>
        <v>1</v>
      </c>
      <c r="CE188" s="7" t="n">
        <f aca="false">COUNTA(BQ188:BT188)</f>
        <v>0</v>
      </c>
      <c r="CF188" s="7" t="n">
        <f aca="false">COUNTA(BM188:BT188)</f>
        <v>0</v>
      </c>
      <c r="CG188" s="7" t="n">
        <f aca="false">COUNTA(BI188:BT188)</f>
        <v>0</v>
      </c>
      <c r="CH188" s="7" t="n">
        <f aca="false">COUNTA(BE188:BT188)</f>
        <v>0</v>
      </c>
      <c r="CI188" s="7" t="n">
        <f aca="false">COUNTA(AU188:BT188)</f>
        <v>0</v>
      </c>
      <c r="CJ188" s="7" t="n">
        <f aca="false">COUNTA(U188:BT188)</f>
        <v>1</v>
      </c>
      <c r="CK188" s="7" t="n">
        <f aca="false">COUNTA(BT188)</f>
        <v>0</v>
      </c>
      <c r="CL188" s="7" t="n">
        <f aca="false">COUNTA(D188:BT188)</f>
        <v>1</v>
      </c>
      <c r="CM188" s="19" t="str">
        <f aca="false">IF(AND(CE188=1,CJ188=1,BT188&lt;&gt;""),"5.ENTRANTES",IF(AND(CE188&lt;&gt;0,CE188/RIGHT($CE$1,1)&gt;=0.5,CJ188=CE188),"4.RECENTES",IF(AND(CF188&lt;&gt;0,CF188/RIGHT($CF$1,1)&gt;=0.5,CJ188=CF188),"4.RECENTES",IF(AND(CG188&lt;&gt;0,CG188/RIGHT($CG$1,2)&gt;=0.5,CJ188=CG188),"4.RECENTES",IF(AND(CH188&lt;&gt;0,CH188/RIGHT($CH$1,2)&gt;=0.5,CJ188=CH188),"4.RECENTES",IF(AND(CI188&lt;&gt;0,CI188/RIGHT($CI$1,2)&gt;=0.5,CJ188=CI188),"4.RECENTES",IF(AND(CE188=0,CF188=0,CG188=0,CH188=0),"3.INATIVOS",IF(CJ188/RIGHT($CJ$1,2)&lt;0.5,"2.INTERMITENTES","1.ORDINÁRIOS"))))))))</f>
        <v>3.INATIVOS</v>
      </c>
      <c r="CN188" s="20" t="n">
        <f aca="false">IF(AND(CE188=1,CJ188=1,BT188&lt;&gt;""),BT188,IF(AND(CE188&lt;&gt;0,CE188/RIGHT($CE$1,1)&gt;=0.5,CJ188=CE188),MAX(BV188:CC188),IF(AND(CF188&lt;&gt;0,CF188/RIGHT($CF$1,1)&gt;=0.5,CJ188=CF188),MAX(BV188:CC188),IF(AND(CG188&lt;&gt;0,CG188/RIGHT($CG$1,2)&gt;=0.5,CJ188=CG188),MAX(BV188:CC188),IF(AND(CH188&lt;&gt;0,CH188/RIGHT($CH$1,2)&gt;=0.5,CJ188=CH188),MAX(BV188:CC188),IF(AND(CI188&lt;&gt;0,CI188/RIGHT($CI$1,2)&gt;=0.5,CJ188=CI188),MAX(BV188:CC188),IF(AND(CE188=0,CF188=0,CG188=0,CH188=0),0,IF(CJ188/RIGHT($CJ$1,2)&lt;0.5,ROUND(BU188/RIGHT($CJ$1,2),0),MAX(BV188:CC188)))))))))</f>
        <v>0</v>
      </c>
      <c r="CO188" s="20" t="n">
        <f aca="false">CN188*3</f>
        <v>0</v>
      </c>
      <c r="CP188" s="15" t="n">
        <v>0</v>
      </c>
      <c r="CQ188" s="16" t="n">
        <f aca="false">IF((CO188-CP188)&lt;0,0,(CO188-CP188))</f>
        <v>0</v>
      </c>
      <c r="CR188" s="7"/>
    </row>
    <row r="189" customFormat="false" ht="12.75" hidden="false" customHeight="true" outlineLevel="0" collapsed="false">
      <c r="A189" s="7" t="s">
        <v>273</v>
      </c>
      <c r="B189" s="7" t="s">
        <v>285</v>
      </c>
      <c r="C189" s="8" t="n">
        <v>21001100</v>
      </c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 t="n">
        <v>1</v>
      </c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 t="n">
        <v>1</v>
      </c>
      <c r="AY189" s="9"/>
      <c r="AZ189" s="9"/>
      <c r="BA189" s="9"/>
      <c r="BB189" s="9"/>
      <c r="BC189" s="9"/>
      <c r="BD189" s="9"/>
      <c r="BE189" s="9"/>
      <c r="BF189" s="9"/>
      <c r="BG189" s="9"/>
      <c r="BH189" s="9"/>
      <c r="BI189" s="9"/>
      <c r="BJ189" s="9"/>
      <c r="BK189" s="9"/>
      <c r="BL189" s="9"/>
      <c r="BM189" s="9"/>
      <c r="BN189" s="9"/>
      <c r="BO189" s="9"/>
      <c r="BP189" s="9"/>
      <c r="BQ189" s="9"/>
      <c r="BR189" s="9"/>
      <c r="BS189" s="9"/>
      <c r="BT189" s="9"/>
      <c r="BU189" s="10" t="n">
        <v>2</v>
      </c>
      <c r="BV189" s="11" t="n">
        <f aca="false">IF(ISERROR(ROUND(MEDIAN(BQ189:BT189),0)),0,ROUND(MEDIAN(BQ189:BT189),0))</f>
        <v>0</v>
      </c>
      <c r="BW189" s="11" t="n">
        <f aca="false">IF(ISERROR(ROUND(MEDIAN(BM189:BT189),0)),0,ROUND(MEDIAN(BM189:BT189),0))</f>
        <v>0</v>
      </c>
      <c r="BX189" s="11" t="n">
        <f aca="false">IF(ISERROR(ROUND(MEDIAN(BI189:BT189),0)),0,ROUND(MEDIAN(BI189:BT189),0))</f>
        <v>0</v>
      </c>
      <c r="BY189" s="11" t="n">
        <f aca="false">IF(ISERROR(ROUND(MEDIAN(BE189:BT189),0)),0,ROUND(MEDIAN(BE189:BT189),0))</f>
        <v>0</v>
      </c>
      <c r="BZ189" s="11" t="n">
        <f aca="false">IF(ISERROR(ROUND(MEDIAN(AU189:BT189),0)),0,ROUND(MEDIAN(AU189:BT189),0))</f>
        <v>1</v>
      </c>
      <c r="CA189" s="12" t="n">
        <f aca="false">IF(ISERROR(ROUND(MEDIAN(U189:BT189),0)),0,ROUND(MEDIAN(U189:BT189),0))</f>
        <v>1</v>
      </c>
      <c r="CB189" s="12" t="n">
        <f aca="false">IF(ISERROR(ROUND(MEDIAN(BT189),0)),0,ROUND(MEDIAN(BT189),0))</f>
        <v>0</v>
      </c>
      <c r="CC189" s="12" t="n">
        <f aca="false">IF(ISERROR(ROUND(MEDIAN(D189:BT189),0)),0,ROUND(MEDIAN(D189:BT189),0))</f>
        <v>1</v>
      </c>
      <c r="CD189" s="12" t="n">
        <f aca="false">MAX(D189:BT189)</f>
        <v>1</v>
      </c>
      <c r="CE189" s="7" t="n">
        <f aca="false">COUNTA(BQ189:BT189)</f>
        <v>0</v>
      </c>
      <c r="CF189" s="7" t="n">
        <f aca="false">COUNTA(BM189:BT189)</f>
        <v>0</v>
      </c>
      <c r="CG189" s="7" t="n">
        <f aca="false">COUNTA(BI189:BT189)</f>
        <v>0</v>
      </c>
      <c r="CH189" s="7" t="n">
        <f aca="false">COUNTA(BE189:BT189)</f>
        <v>0</v>
      </c>
      <c r="CI189" s="7" t="n">
        <f aca="false">COUNTA(AU189:BT189)</f>
        <v>1</v>
      </c>
      <c r="CJ189" s="7" t="n">
        <f aca="false">COUNTA(U189:BT189)</f>
        <v>2</v>
      </c>
      <c r="CK189" s="7" t="n">
        <f aca="false">COUNTA(BT189)</f>
        <v>0</v>
      </c>
      <c r="CL189" s="7" t="n">
        <f aca="false">COUNTA(D189:BT189)</f>
        <v>2</v>
      </c>
      <c r="CM189" s="19" t="str">
        <f aca="false">IF(AND(CE189=1,CJ189=1,BT189&lt;&gt;""),"5.ENTRANTES",IF(AND(CE189&lt;&gt;0,CE189/RIGHT($CE$1,1)&gt;=0.5,CJ189=CE189),"4.RECENTES",IF(AND(CF189&lt;&gt;0,CF189/RIGHT($CF$1,1)&gt;=0.5,CJ189=CF189),"4.RECENTES",IF(AND(CG189&lt;&gt;0,CG189/RIGHT($CG$1,2)&gt;=0.5,CJ189=CG189),"4.RECENTES",IF(AND(CH189&lt;&gt;0,CH189/RIGHT($CH$1,2)&gt;=0.5,CJ189=CH189),"4.RECENTES",IF(AND(CI189&lt;&gt;0,CI189/RIGHT($CI$1,2)&gt;=0.5,CJ189=CI189),"4.RECENTES",IF(AND(CE189=0,CF189=0,CG189=0,CH189=0),"3.INATIVOS",IF(CJ189/RIGHT($CJ$1,2)&lt;0.5,"2.INTERMITENTES","1.ORDINÁRIOS"))))))))</f>
        <v>3.INATIVOS</v>
      </c>
      <c r="CN189" s="20" t="n">
        <f aca="false">IF(AND(CE189=1,CJ189=1,BT189&lt;&gt;""),BT189,IF(AND(CE189&lt;&gt;0,CE189/RIGHT($CE$1,1)&gt;=0.5,CJ189=CE189),MAX(BV189:CC189),IF(AND(CF189&lt;&gt;0,CF189/RIGHT($CF$1,1)&gt;=0.5,CJ189=CF189),MAX(BV189:CC189),IF(AND(CG189&lt;&gt;0,CG189/RIGHT($CG$1,2)&gt;=0.5,CJ189=CG189),MAX(BV189:CC189),IF(AND(CH189&lt;&gt;0,CH189/RIGHT($CH$1,2)&gt;=0.5,CJ189=CH189),MAX(BV189:CC189),IF(AND(CI189&lt;&gt;0,CI189/RIGHT($CI$1,2)&gt;=0.5,CJ189=CI189),MAX(BV189:CC189),IF(AND(CE189=0,CF189=0,CG189=0,CH189=0),0,IF(CJ189/RIGHT($CJ$1,2)&lt;0.5,ROUND(BU189/RIGHT($CJ$1,2),0),MAX(BV189:CC189)))))))))</f>
        <v>0</v>
      </c>
      <c r="CO189" s="20" t="n">
        <f aca="false">CN189*3</f>
        <v>0</v>
      </c>
      <c r="CP189" s="15" t="n">
        <v>0</v>
      </c>
      <c r="CQ189" s="16" t="n">
        <f aca="false">IF((CO189-CP189)&lt;0,0,(CO189-CP189))</f>
        <v>0</v>
      </c>
      <c r="CR189" s="7"/>
    </row>
    <row r="190" customFormat="false" ht="12.75" hidden="false" customHeight="true" outlineLevel="0" collapsed="false">
      <c r="A190" s="7" t="s">
        <v>273</v>
      </c>
      <c r="B190" s="7" t="s">
        <v>286</v>
      </c>
      <c r="C190" s="8" t="n">
        <v>315001003</v>
      </c>
      <c r="D190" s="9"/>
      <c r="E190" s="9"/>
      <c r="F190" s="9"/>
      <c r="G190" s="9"/>
      <c r="H190" s="9"/>
      <c r="I190" s="9"/>
      <c r="J190" s="9"/>
      <c r="K190" s="9"/>
      <c r="L190" s="9"/>
      <c r="M190" s="9" t="n">
        <v>1</v>
      </c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  <c r="BG190" s="9"/>
      <c r="BH190" s="9"/>
      <c r="BI190" s="9"/>
      <c r="BJ190" s="9"/>
      <c r="BK190" s="9"/>
      <c r="BL190" s="9"/>
      <c r="BM190" s="9"/>
      <c r="BN190" s="9"/>
      <c r="BO190" s="9"/>
      <c r="BP190" s="9"/>
      <c r="BQ190" s="9"/>
      <c r="BR190" s="9"/>
      <c r="BS190" s="9"/>
      <c r="BT190" s="9"/>
      <c r="BU190" s="10" t="n">
        <v>1</v>
      </c>
      <c r="BV190" s="11" t="n">
        <f aca="false">IF(ISERROR(ROUND(MEDIAN(BQ190:BT190),0)),0,ROUND(MEDIAN(BQ190:BT190),0))</f>
        <v>0</v>
      </c>
      <c r="BW190" s="11" t="n">
        <f aca="false">IF(ISERROR(ROUND(MEDIAN(BM190:BT190),0)),0,ROUND(MEDIAN(BM190:BT190),0))</f>
        <v>0</v>
      </c>
      <c r="BX190" s="11" t="n">
        <f aca="false">IF(ISERROR(ROUND(MEDIAN(BI190:BT190),0)),0,ROUND(MEDIAN(BI190:BT190),0))</f>
        <v>0</v>
      </c>
      <c r="BY190" s="11" t="n">
        <f aca="false">IF(ISERROR(ROUND(MEDIAN(BE190:BT190),0)),0,ROUND(MEDIAN(BE190:BT190),0))</f>
        <v>0</v>
      </c>
      <c r="BZ190" s="11" t="n">
        <f aca="false">IF(ISERROR(ROUND(MEDIAN(AU190:BT190),0)),0,ROUND(MEDIAN(AU190:BT190),0))</f>
        <v>0</v>
      </c>
      <c r="CA190" s="12" t="n">
        <f aca="false">IF(ISERROR(ROUND(MEDIAN(U190:BT190),0)),0,ROUND(MEDIAN(U190:BT190),0))</f>
        <v>0</v>
      </c>
      <c r="CB190" s="12" t="n">
        <f aca="false">IF(ISERROR(ROUND(MEDIAN(BT190),0)),0,ROUND(MEDIAN(BT190),0))</f>
        <v>0</v>
      </c>
      <c r="CC190" s="12" t="n">
        <f aca="false">IF(ISERROR(ROUND(MEDIAN(D190:BT190),0)),0,ROUND(MEDIAN(D190:BT190),0))</f>
        <v>1</v>
      </c>
      <c r="CD190" s="12" t="n">
        <f aca="false">MAX(D190:BT190)</f>
        <v>1</v>
      </c>
      <c r="CE190" s="7" t="n">
        <f aca="false">COUNTA(BQ190:BT190)</f>
        <v>0</v>
      </c>
      <c r="CF190" s="7" t="n">
        <f aca="false">COUNTA(BM190:BT190)</f>
        <v>0</v>
      </c>
      <c r="CG190" s="7" t="n">
        <f aca="false">COUNTA(BI190:BT190)</f>
        <v>0</v>
      </c>
      <c r="CH190" s="7" t="n">
        <f aca="false">COUNTA(BE190:BT190)</f>
        <v>0</v>
      </c>
      <c r="CI190" s="7" t="n">
        <f aca="false">COUNTA(AU190:BT190)</f>
        <v>0</v>
      </c>
      <c r="CJ190" s="7" t="n">
        <f aca="false">COUNTA(U190:BT190)</f>
        <v>0</v>
      </c>
      <c r="CK190" s="7" t="n">
        <f aca="false">COUNTA(BT190)</f>
        <v>0</v>
      </c>
      <c r="CL190" s="7" t="n">
        <f aca="false">COUNTA(D190:BT190)</f>
        <v>1</v>
      </c>
      <c r="CM190" s="19" t="str">
        <f aca="false">IF(AND(CE190=1,CJ190=1,BT190&lt;&gt;""),"5.ENTRANTES",IF(AND(CE190&lt;&gt;0,CE190/RIGHT($CE$1,1)&gt;=0.5,CJ190=CE190),"4.RECENTES",IF(AND(CF190&lt;&gt;0,CF190/RIGHT($CF$1,1)&gt;=0.5,CJ190=CF190),"4.RECENTES",IF(AND(CG190&lt;&gt;0,CG190/RIGHT($CG$1,2)&gt;=0.5,CJ190=CG190),"4.RECENTES",IF(AND(CH190&lt;&gt;0,CH190/RIGHT($CH$1,2)&gt;=0.5,CJ190=CH190),"4.RECENTES",IF(AND(CI190&lt;&gt;0,CI190/RIGHT($CI$1,2)&gt;=0.5,CJ190=CI190),"4.RECENTES",IF(AND(CE190=0,CF190=0,CG190=0,CH190=0),"3.INATIVOS",IF(CJ190/RIGHT($CJ$1,2)&lt;0.5,"2.INTERMITENTES","1.ORDINÁRIOS"))))))))</f>
        <v>3.INATIVOS</v>
      </c>
      <c r="CN190" s="20" t="n">
        <f aca="false">IF(AND(CE190=1,CJ190=1,BT190&lt;&gt;""),BT190,IF(AND(CE190&lt;&gt;0,CE190/RIGHT($CE$1,1)&gt;=0.5,CJ190=CE190),MAX(BV190:CC190),IF(AND(CF190&lt;&gt;0,CF190/RIGHT($CF$1,1)&gt;=0.5,CJ190=CF190),MAX(BV190:CC190),IF(AND(CG190&lt;&gt;0,CG190/RIGHT($CG$1,2)&gt;=0.5,CJ190=CG190),MAX(BV190:CC190),IF(AND(CH190&lt;&gt;0,CH190/RIGHT($CH$1,2)&gt;=0.5,CJ190=CH190),MAX(BV190:CC190),IF(AND(CI190&lt;&gt;0,CI190/RIGHT($CI$1,2)&gt;=0.5,CJ190=CI190),MAX(BV190:CC190),IF(AND(CE190=0,CF190=0,CG190=0,CH190=0),0,IF(CJ190/RIGHT($CJ$1,2)&lt;0.5,ROUND(BU190/RIGHT($CJ$1,2),0),MAX(BV190:CC190)))))))))</f>
        <v>0</v>
      </c>
      <c r="CO190" s="20" t="n">
        <f aca="false">CN190*3</f>
        <v>0</v>
      </c>
      <c r="CP190" s="15" t="n">
        <v>0</v>
      </c>
      <c r="CQ190" s="16" t="n">
        <f aca="false">IF((CO190-CP190)&lt;0,0,(CO190-CP190))</f>
        <v>0</v>
      </c>
      <c r="CR190" s="7"/>
    </row>
    <row r="191" customFormat="false" ht="12.75" hidden="false" customHeight="true" outlineLevel="0" collapsed="false">
      <c r="A191" s="7" t="s">
        <v>273</v>
      </c>
      <c r="B191" s="7" t="s">
        <v>287</v>
      </c>
      <c r="C191" s="8" t="n">
        <v>230001014</v>
      </c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 t="n">
        <v>3</v>
      </c>
      <c r="AK191" s="9" t="n">
        <v>3</v>
      </c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10" t="n">
        <v>6</v>
      </c>
      <c r="BV191" s="11" t="n">
        <f aca="false">IF(ISERROR(ROUND(MEDIAN(BQ191:BT191),0)),0,ROUND(MEDIAN(BQ191:BT191),0))</f>
        <v>0</v>
      </c>
      <c r="BW191" s="11" t="n">
        <f aca="false">IF(ISERROR(ROUND(MEDIAN(BM191:BT191),0)),0,ROUND(MEDIAN(BM191:BT191),0))</f>
        <v>0</v>
      </c>
      <c r="BX191" s="11" t="n">
        <f aca="false">IF(ISERROR(ROUND(MEDIAN(BI191:BT191),0)),0,ROUND(MEDIAN(BI191:BT191),0))</f>
        <v>0</v>
      </c>
      <c r="BY191" s="11" t="n">
        <f aca="false">IF(ISERROR(ROUND(MEDIAN(BE191:BT191),0)),0,ROUND(MEDIAN(BE191:BT191),0))</f>
        <v>0</v>
      </c>
      <c r="BZ191" s="11" t="n">
        <f aca="false">IF(ISERROR(ROUND(MEDIAN(AU191:BT191),0)),0,ROUND(MEDIAN(AU191:BT191),0))</f>
        <v>0</v>
      </c>
      <c r="CA191" s="12" t="n">
        <f aca="false">IF(ISERROR(ROUND(MEDIAN(U191:BT191),0)),0,ROUND(MEDIAN(U191:BT191),0))</f>
        <v>3</v>
      </c>
      <c r="CB191" s="12" t="n">
        <f aca="false">IF(ISERROR(ROUND(MEDIAN(BT191),0)),0,ROUND(MEDIAN(BT191),0))</f>
        <v>0</v>
      </c>
      <c r="CC191" s="12" t="n">
        <f aca="false">IF(ISERROR(ROUND(MEDIAN(D191:BT191),0)),0,ROUND(MEDIAN(D191:BT191),0))</f>
        <v>3</v>
      </c>
      <c r="CD191" s="12" t="n">
        <f aca="false">MAX(D191:BT191)</f>
        <v>3</v>
      </c>
      <c r="CE191" s="7" t="n">
        <f aca="false">COUNTA(BQ191:BT191)</f>
        <v>0</v>
      </c>
      <c r="CF191" s="7" t="n">
        <f aca="false">COUNTA(BM191:BT191)</f>
        <v>0</v>
      </c>
      <c r="CG191" s="7" t="n">
        <f aca="false">COUNTA(BI191:BT191)</f>
        <v>0</v>
      </c>
      <c r="CH191" s="7" t="n">
        <f aca="false">COUNTA(BE191:BT191)</f>
        <v>0</v>
      </c>
      <c r="CI191" s="7" t="n">
        <f aca="false">COUNTA(AU191:BT191)</f>
        <v>0</v>
      </c>
      <c r="CJ191" s="7" t="n">
        <f aca="false">COUNTA(U191:BT191)</f>
        <v>2</v>
      </c>
      <c r="CK191" s="7" t="n">
        <f aca="false">COUNTA(BT191)</f>
        <v>0</v>
      </c>
      <c r="CL191" s="7" t="n">
        <f aca="false">COUNTA(D191:BT191)</f>
        <v>2</v>
      </c>
      <c r="CM191" s="19" t="str">
        <f aca="false">IF(AND(CE191=1,CJ191=1,BT191&lt;&gt;""),"5.ENTRANTES",IF(AND(CE191&lt;&gt;0,CE191/RIGHT($CE$1,1)&gt;=0.5,CJ191=CE191),"4.RECENTES",IF(AND(CF191&lt;&gt;0,CF191/RIGHT($CF$1,1)&gt;=0.5,CJ191=CF191),"4.RECENTES",IF(AND(CG191&lt;&gt;0,CG191/RIGHT($CG$1,2)&gt;=0.5,CJ191=CG191),"4.RECENTES",IF(AND(CH191&lt;&gt;0,CH191/RIGHT($CH$1,2)&gt;=0.5,CJ191=CH191),"4.RECENTES",IF(AND(CI191&lt;&gt;0,CI191/RIGHT($CI$1,2)&gt;=0.5,CJ191=CI191),"4.RECENTES",IF(AND(CE191=0,CF191=0,CG191=0,CH191=0),"3.INATIVOS",IF(CJ191/RIGHT($CJ$1,2)&lt;0.5,"2.INTERMITENTES","1.ORDINÁRIOS"))))))))</f>
        <v>3.INATIVOS</v>
      </c>
      <c r="CN191" s="20" t="n">
        <f aca="false">IF(AND(CE191=1,CJ191=1,BT191&lt;&gt;""),BT191,IF(AND(CE191&lt;&gt;0,CE191/RIGHT($CE$1,1)&gt;=0.5,CJ191=CE191),MAX(BV191:CC191),IF(AND(CF191&lt;&gt;0,CF191/RIGHT($CF$1,1)&gt;=0.5,CJ191=CF191),MAX(BV191:CC191),IF(AND(CG191&lt;&gt;0,CG191/RIGHT($CG$1,2)&gt;=0.5,CJ191=CG191),MAX(BV191:CC191),IF(AND(CH191&lt;&gt;0,CH191/RIGHT($CH$1,2)&gt;=0.5,CJ191=CH191),MAX(BV191:CC191),IF(AND(CI191&lt;&gt;0,CI191/RIGHT($CI$1,2)&gt;=0.5,CJ191=CI191),MAX(BV191:CC191),IF(AND(CE191=0,CF191=0,CG191=0,CH191=0),0,IF(CJ191/RIGHT($CJ$1,2)&lt;0.5,ROUND(BU191/RIGHT($CJ$1,2),0),MAX(BV191:CC191)))))))))</f>
        <v>0</v>
      </c>
      <c r="CO191" s="20" t="n">
        <f aca="false">CN191*3</f>
        <v>0</v>
      </c>
      <c r="CP191" s="15" t="n">
        <v>0</v>
      </c>
      <c r="CQ191" s="16" t="n">
        <f aca="false">IF((CO191-CP191)&lt;0,0,(CO191-CP191))</f>
        <v>0</v>
      </c>
      <c r="CR191" s="7"/>
    </row>
    <row r="192" customFormat="false" ht="12.75" hidden="false" customHeight="true" outlineLevel="0" collapsed="false">
      <c r="A192" s="7" t="s">
        <v>273</v>
      </c>
      <c r="B192" s="7" t="s">
        <v>288</v>
      </c>
      <c r="C192" s="8" t="n">
        <v>301001005</v>
      </c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 t="n">
        <v>32</v>
      </c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10" t="n">
        <v>32</v>
      </c>
      <c r="BV192" s="11" t="n">
        <f aca="false">IF(ISERROR(ROUND(MEDIAN(BQ192:BT192),0)),0,ROUND(MEDIAN(BQ192:BT192),0))</f>
        <v>0</v>
      </c>
      <c r="BW192" s="11" t="n">
        <f aca="false">IF(ISERROR(ROUND(MEDIAN(BM192:BT192),0)),0,ROUND(MEDIAN(BM192:BT192),0))</f>
        <v>0</v>
      </c>
      <c r="BX192" s="11" t="n">
        <f aca="false">IF(ISERROR(ROUND(MEDIAN(BI192:BT192),0)),0,ROUND(MEDIAN(BI192:BT192),0))</f>
        <v>0</v>
      </c>
      <c r="BY192" s="11" t="n">
        <f aca="false">IF(ISERROR(ROUND(MEDIAN(BE192:BT192),0)),0,ROUND(MEDIAN(BE192:BT192),0))</f>
        <v>0</v>
      </c>
      <c r="BZ192" s="11" t="n">
        <f aca="false">IF(ISERROR(ROUND(MEDIAN(AU192:BT192),0)),0,ROUND(MEDIAN(AU192:BT192),0))</f>
        <v>0</v>
      </c>
      <c r="CA192" s="12" t="n">
        <f aca="false">IF(ISERROR(ROUND(MEDIAN(U192:BT192),0)),0,ROUND(MEDIAN(U192:BT192),0))</f>
        <v>32</v>
      </c>
      <c r="CB192" s="12" t="n">
        <f aca="false">IF(ISERROR(ROUND(MEDIAN(BT192),0)),0,ROUND(MEDIAN(BT192),0))</f>
        <v>0</v>
      </c>
      <c r="CC192" s="12" t="n">
        <f aca="false">IF(ISERROR(ROUND(MEDIAN(D192:BT192),0)),0,ROUND(MEDIAN(D192:BT192),0))</f>
        <v>32</v>
      </c>
      <c r="CD192" s="12" t="n">
        <f aca="false">MAX(D192:BT192)</f>
        <v>32</v>
      </c>
      <c r="CE192" s="7" t="n">
        <f aca="false">COUNTA(BQ192:BT192)</f>
        <v>0</v>
      </c>
      <c r="CF192" s="7" t="n">
        <f aca="false">COUNTA(BM192:BT192)</f>
        <v>0</v>
      </c>
      <c r="CG192" s="7" t="n">
        <f aca="false">COUNTA(BI192:BT192)</f>
        <v>0</v>
      </c>
      <c r="CH192" s="7" t="n">
        <f aca="false">COUNTA(BE192:BT192)</f>
        <v>0</v>
      </c>
      <c r="CI192" s="7" t="n">
        <f aca="false">COUNTA(AU192:BT192)</f>
        <v>0</v>
      </c>
      <c r="CJ192" s="7" t="n">
        <f aca="false">COUNTA(U192:BT192)</f>
        <v>1</v>
      </c>
      <c r="CK192" s="7" t="n">
        <f aca="false">COUNTA(BT192)</f>
        <v>0</v>
      </c>
      <c r="CL192" s="7" t="n">
        <f aca="false">COUNTA(D192:BT192)</f>
        <v>1</v>
      </c>
      <c r="CM192" s="19" t="str">
        <f aca="false">IF(AND(CE192=1,CJ192=1,BT192&lt;&gt;""),"5.ENTRANTES",IF(AND(CE192&lt;&gt;0,CE192/RIGHT($CE$1,1)&gt;=0.5,CJ192=CE192),"4.RECENTES",IF(AND(CF192&lt;&gt;0,CF192/RIGHT($CF$1,1)&gt;=0.5,CJ192=CF192),"4.RECENTES",IF(AND(CG192&lt;&gt;0,CG192/RIGHT($CG$1,2)&gt;=0.5,CJ192=CG192),"4.RECENTES",IF(AND(CH192&lt;&gt;0,CH192/RIGHT($CH$1,2)&gt;=0.5,CJ192=CH192),"4.RECENTES",IF(AND(CI192&lt;&gt;0,CI192/RIGHT($CI$1,2)&gt;=0.5,CJ192=CI192),"4.RECENTES",IF(AND(CE192=0,CF192=0,CG192=0,CH192=0),"3.INATIVOS",IF(CJ192/RIGHT($CJ$1,2)&lt;0.5,"2.INTERMITENTES","1.ORDINÁRIOS"))))))))</f>
        <v>3.INATIVOS</v>
      </c>
      <c r="CN192" s="20" t="n">
        <f aca="false">IF(AND(CE192=1,CJ192=1,BT192&lt;&gt;""),BT192,IF(AND(CE192&lt;&gt;0,CE192/RIGHT($CE$1,1)&gt;=0.5,CJ192=CE192),MAX(BV192:CC192),IF(AND(CF192&lt;&gt;0,CF192/RIGHT($CF$1,1)&gt;=0.5,CJ192=CF192),MAX(BV192:CC192),IF(AND(CG192&lt;&gt;0,CG192/RIGHT($CG$1,2)&gt;=0.5,CJ192=CG192),MAX(BV192:CC192),IF(AND(CH192&lt;&gt;0,CH192/RIGHT($CH$1,2)&gt;=0.5,CJ192=CH192),MAX(BV192:CC192),IF(AND(CI192&lt;&gt;0,CI192/RIGHT($CI$1,2)&gt;=0.5,CJ192=CI192),MAX(BV192:CC192),IF(AND(CE192=0,CF192=0,CG192=0,CH192=0),0,IF(CJ192/RIGHT($CJ$1,2)&lt;0.5,ROUND(BU192/RIGHT($CJ$1,2),0),MAX(BV192:CC192)))))))))</f>
        <v>0</v>
      </c>
      <c r="CO192" s="20" t="n">
        <f aca="false">CN192*3</f>
        <v>0</v>
      </c>
      <c r="CP192" s="15" t="n">
        <v>64</v>
      </c>
      <c r="CQ192" s="16" t="n">
        <f aca="false">IF((CO192-CP192)&lt;0,0,(CO192-CP192))</f>
        <v>0</v>
      </c>
      <c r="CR192" s="7"/>
    </row>
    <row r="193" customFormat="false" ht="12.75" hidden="false" customHeight="true" outlineLevel="0" collapsed="false">
      <c r="A193" s="7" t="s">
        <v>273</v>
      </c>
      <c r="B193" s="7" t="s">
        <v>289</v>
      </c>
      <c r="C193" s="8" t="n">
        <v>22001014</v>
      </c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 t="n">
        <v>1</v>
      </c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10" t="n">
        <v>1</v>
      </c>
      <c r="BV193" s="11" t="n">
        <f aca="false">IF(ISERROR(ROUND(MEDIAN(BQ193:BT193),0)),0,ROUND(MEDIAN(BQ193:BT193),0))</f>
        <v>0</v>
      </c>
      <c r="BW193" s="11" t="n">
        <f aca="false">IF(ISERROR(ROUND(MEDIAN(BM193:BT193),0)),0,ROUND(MEDIAN(BM193:BT193),0))</f>
        <v>0</v>
      </c>
      <c r="BX193" s="11" t="n">
        <f aca="false">IF(ISERROR(ROUND(MEDIAN(BI193:BT193),0)),0,ROUND(MEDIAN(BI193:BT193),0))</f>
        <v>0</v>
      </c>
      <c r="BY193" s="11" t="n">
        <f aca="false">IF(ISERROR(ROUND(MEDIAN(BE193:BT193),0)),0,ROUND(MEDIAN(BE193:BT193),0))</f>
        <v>0</v>
      </c>
      <c r="BZ193" s="11" t="n">
        <f aca="false">IF(ISERROR(ROUND(MEDIAN(AU193:BT193),0)),0,ROUND(MEDIAN(AU193:BT193),0))</f>
        <v>0</v>
      </c>
      <c r="CA193" s="12" t="n">
        <f aca="false">IF(ISERROR(ROUND(MEDIAN(U193:BT193),0)),0,ROUND(MEDIAN(U193:BT193),0))</f>
        <v>1</v>
      </c>
      <c r="CB193" s="12" t="n">
        <f aca="false">IF(ISERROR(ROUND(MEDIAN(BT193),0)),0,ROUND(MEDIAN(BT193),0))</f>
        <v>0</v>
      </c>
      <c r="CC193" s="12" t="n">
        <f aca="false">IF(ISERROR(ROUND(MEDIAN(D193:BT193),0)),0,ROUND(MEDIAN(D193:BT193),0))</f>
        <v>1</v>
      </c>
      <c r="CD193" s="12" t="n">
        <f aca="false">MAX(D193:BT193)</f>
        <v>1</v>
      </c>
      <c r="CE193" s="7" t="n">
        <f aca="false">COUNTA(BQ193:BT193)</f>
        <v>0</v>
      </c>
      <c r="CF193" s="7" t="n">
        <f aca="false">COUNTA(BM193:BT193)</f>
        <v>0</v>
      </c>
      <c r="CG193" s="7" t="n">
        <f aca="false">COUNTA(BI193:BT193)</f>
        <v>0</v>
      </c>
      <c r="CH193" s="7" t="n">
        <f aca="false">COUNTA(BE193:BT193)</f>
        <v>0</v>
      </c>
      <c r="CI193" s="7" t="n">
        <f aca="false">COUNTA(AU193:BT193)</f>
        <v>0</v>
      </c>
      <c r="CJ193" s="7" t="n">
        <f aca="false">COUNTA(U193:BT193)</f>
        <v>1</v>
      </c>
      <c r="CK193" s="7" t="n">
        <f aca="false">COUNTA(BT193)</f>
        <v>0</v>
      </c>
      <c r="CL193" s="7" t="n">
        <f aca="false">COUNTA(D193:BT193)</f>
        <v>1</v>
      </c>
      <c r="CM193" s="19" t="str">
        <f aca="false">IF(AND(CE193=1,CJ193=1,BT193&lt;&gt;""),"5.ENTRANTES",IF(AND(CE193&lt;&gt;0,CE193/RIGHT($CE$1,1)&gt;=0.5,CJ193=CE193),"4.RECENTES",IF(AND(CF193&lt;&gt;0,CF193/RIGHT($CF$1,1)&gt;=0.5,CJ193=CF193),"4.RECENTES",IF(AND(CG193&lt;&gt;0,CG193/RIGHT($CG$1,2)&gt;=0.5,CJ193=CG193),"4.RECENTES",IF(AND(CH193&lt;&gt;0,CH193/RIGHT($CH$1,2)&gt;=0.5,CJ193=CH193),"4.RECENTES",IF(AND(CI193&lt;&gt;0,CI193/RIGHT($CI$1,2)&gt;=0.5,CJ193=CI193),"4.RECENTES",IF(AND(CE193=0,CF193=0,CG193=0,CH193=0),"3.INATIVOS",IF(CJ193/RIGHT($CJ$1,2)&lt;0.5,"2.INTERMITENTES","1.ORDINÁRIOS"))))))))</f>
        <v>3.INATIVOS</v>
      </c>
      <c r="CN193" s="20" t="n">
        <f aca="false">IF(AND(CE193=1,CJ193=1,BT193&lt;&gt;""),BT193,IF(AND(CE193&lt;&gt;0,CE193/RIGHT($CE$1,1)&gt;=0.5,CJ193=CE193),MAX(BV193:CC193),IF(AND(CF193&lt;&gt;0,CF193/RIGHT($CF$1,1)&gt;=0.5,CJ193=CF193),MAX(BV193:CC193),IF(AND(CG193&lt;&gt;0,CG193/RIGHT($CG$1,2)&gt;=0.5,CJ193=CG193),MAX(BV193:CC193),IF(AND(CH193&lt;&gt;0,CH193/RIGHT($CH$1,2)&gt;=0.5,CJ193=CH193),MAX(BV193:CC193),IF(AND(CI193&lt;&gt;0,CI193/RIGHT($CI$1,2)&gt;=0.5,CJ193=CI193),MAX(BV193:CC193),IF(AND(CE193=0,CF193=0,CG193=0,CH193=0),0,IF(CJ193/RIGHT($CJ$1,2)&lt;0.5,ROUND(BU193/RIGHT($CJ$1,2),0),MAX(BV193:CC193)))))))))</f>
        <v>0</v>
      </c>
      <c r="CO193" s="20" t="n">
        <f aca="false">CN193*3</f>
        <v>0</v>
      </c>
      <c r="CP193" s="15" t="n">
        <v>0</v>
      </c>
      <c r="CQ193" s="16" t="n">
        <f aca="false">IF((CO193-CP193)&lt;0,0,(CO193-CP193))</f>
        <v>0</v>
      </c>
      <c r="CR193" s="7"/>
    </row>
    <row r="194" customFormat="false" ht="12.75" hidden="false" customHeight="true" outlineLevel="0" collapsed="false">
      <c r="A194" s="7" t="s">
        <v>273</v>
      </c>
      <c r="B194" s="7" t="s">
        <v>290</v>
      </c>
      <c r="C194" s="8" t="n">
        <v>5001001</v>
      </c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 t="n">
        <v>40</v>
      </c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9"/>
      <c r="BH194" s="9"/>
      <c r="BI194" s="9"/>
      <c r="BJ194" s="9"/>
      <c r="BK194" s="9"/>
      <c r="BL194" s="9"/>
      <c r="BM194" s="9"/>
      <c r="BN194" s="9"/>
      <c r="BO194" s="9"/>
      <c r="BP194" s="9"/>
      <c r="BQ194" s="9"/>
      <c r="BR194" s="9"/>
      <c r="BS194" s="9"/>
      <c r="BT194" s="9"/>
      <c r="BU194" s="10" t="n">
        <v>40</v>
      </c>
      <c r="BV194" s="11" t="n">
        <f aca="false">IF(ISERROR(ROUND(MEDIAN(BQ194:BT194),0)),0,ROUND(MEDIAN(BQ194:BT194),0))</f>
        <v>0</v>
      </c>
      <c r="BW194" s="11" t="n">
        <f aca="false">IF(ISERROR(ROUND(MEDIAN(BM194:BT194),0)),0,ROUND(MEDIAN(BM194:BT194),0))</f>
        <v>0</v>
      </c>
      <c r="BX194" s="11" t="n">
        <f aca="false">IF(ISERROR(ROUND(MEDIAN(BI194:BT194),0)),0,ROUND(MEDIAN(BI194:BT194),0))</f>
        <v>0</v>
      </c>
      <c r="BY194" s="11" t="n">
        <f aca="false">IF(ISERROR(ROUND(MEDIAN(BE194:BT194),0)),0,ROUND(MEDIAN(BE194:BT194),0))</f>
        <v>0</v>
      </c>
      <c r="BZ194" s="11" t="n">
        <f aca="false">IF(ISERROR(ROUND(MEDIAN(AU194:BT194),0)),0,ROUND(MEDIAN(AU194:BT194),0))</f>
        <v>0</v>
      </c>
      <c r="CA194" s="12" t="n">
        <f aca="false">IF(ISERROR(ROUND(MEDIAN(U194:BT194),0)),0,ROUND(MEDIAN(U194:BT194),0))</f>
        <v>40</v>
      </c>
      <c r="CB194" s="12" t="n">
        <f aca="false">IF(ISERROR(ROUND(MEDIAN(BT194),0)),0,ROUND(MEDIAN(BT194),0))</f>
        <v>0</v>
      </c>
      <c r="CC194" s="12" t="n">
        <f aca="false">IF(ISERROR(ROUND(MEDIAN(D194:BT194),0)),0,ROUND(MEDIAN(D194:BT194),0))</f>
        <v>40</v>
      </c>
      <c r="CD194" s="12" t="n">
        <f aca="false">MAX(D194:BT194)</f>
        <v>40</v>
      </c>
      <c r="CE194" s="7" t="n">
        <f aca="false">COUNTA(BQ194:BT194)</f>
        <v>0</v>
      </c>
      <c r="CF194" s="7" t="n">
        <f aca="false">COUNTA(BM194:BT194)</f>
        <v>0</v>
      </c>
      <c r="CG194" s="7" t="n">
        <f aca="false">COUNTA(BI194:BT194)</f>
        <v>0</v>
      </c>
      <c r="CH194" s="7" t="n">
        <f aca="false">COUNTA(BE194:BT194)</f>
        <v>0</v>
      </c>
      <c r="CI194" s="7" t="n">
        <f aca="false">COUNTA(AU194:BT194)</f>
        <v>0</v>
      </c>
      <c r="CJ194" s="7" t="n">
        <f aca="false">COUNTA(U194:BT194)</f>
        <v>1</v>
      </c>
      <c r="CK194" s="7" t="n">
        <f aca="false">COUNTA(BT194)</f>
        <v>0</v>
      </c>
      <c r="CL194" s="7" t="n">
        <f aca="false">COUNTA(D194:BT194)</f>
        <v>1</v>
      </c>
      <c r="CM194" s="19" t="str">
        <f aca="false">IF(AND(CE194=1,CJ194=1,BT194&lt;&gt;""),"5.ENTRANTES",IF(AND(CE194&lt;&gt;0,CE194/RIGHT($CE$1,1)&gt;=0.5,CJ194=CE194),"4.RECENTES",IF(AND(CF194&lt;&gt;0,CF194/RIGHT($CF$1,1)&gt;=0.5,CJ194=CF194),"4.RECENTES",IF(AND(CG194&lt;&gt;0,CG194/RIGHT($CG$1,2)&gt;=0.5,CJ194=CG194),"4.RECENTES",IF(AND(CH194&lt;&gt;0,CH194/RIGHT($CH$1,2)&gt;=0.5,CJ194=CH194),"4.RECENTES",IF(AND(CI194&lt;&gt;0,CI194/RIGHT($CI$1,2)&gt;=0.5,CJ194=CI194),"4.RECENTES",IF(AND(CE194=0,CF194=0,CG194=0,CH194=0),"3.INATIVOS",IF(CJ194/RIGHT($CJ$1,2)&lt;0.5,"2.INTERMITENTES","1.ORDINÁRIOS"))))))))</f>
        <v>3.INATIVOS</v>
      </c>
      <c r="CN194" s="20" t="n">
        <f aca="false">IF(AND(CE194=1,CJ194=1,BT194&lt;&gt;""),BT194,IF(AND(CE194&lt;&gt;0,CE194/RIGHT($CE$1,1)&gt;=0.5,CJ194=CE194),MAX(BV194:CC194),IF(AND(CF194&lt;&gt;0,CF194/RIGHT($CF$1,1)&gt;=0.5,CJ194=CF194),MAX(BV194:CC194),IF(AND(CG194&lt;&gt;0,CG194/RIGHT($CG$1,2)&gt;=0.5,CJ194=CG194),MAX(BV194:CC194),IF(AND(CH194&lt;&gt;0,CH194/RIGHT($CH$1,2)&gt;=0.5,CJ194=CH194),MAX(BV194:CC194),IF(AND(CI194&lt;&gt;0,CI194/RIGHT($CI$1,2)&gt;=0.5,CJ194=CI194),MAX(BV194:CC194),IF(AND(CE194=0,CF194=0,CG194=0,CH194=0),0,IF(CJ194/RIGHT($CJ$1,2)&lt;0.5,ROUND(BU194/RIGHT($CJ$1,2),0),MAX(BV194:CC194)))))))))</f>
        <v>0</v>
      </c>
      <c r="CO194" s="20" t="n">
        <f aca="false">CN194*3</f>
        <v>0</v>
      </c>
      <c r="CP194" s="15" t="n">
        <v>0</v>
      </c>
      <c r="CQ194" s="16" t="n">
        <f aca="false">IF((CO194-CP194)&lt;0,0,(CO194-CP194))</f>
        <v>0</v>
      </c>
      <c r="CR194" s="7"/>
    </row>
    <row r="195" customFormat="false" ht="12.75" hidden="false" customHeight="true" outlineLevel="0" collapsed="false">
      <c r="A195" s="7" t="s">
        <v>273</v>
      </c>
      <c r="B195" s="7" t="s">
        <v>291</v>
      </c>
      <c r="C195" s="8" t="n">
        <v>1000024</v>
      </c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 t="n">
        <v>90</v>
      </c>
      <c r="BE195" s="9"/>
      <c r="BF195" s="9"/>
      <c r="BG195" s="9"/>
      <c r="BH195" s="9"/>
      <c r="BI195" s="9"/>
      <c r="BJ195" s="9"/>
      <c r="BK195" s="9"/>
      <c r="BL195" s="9"/>
      <c r="BM195" s="9"/>
      <c r="BN195" s="9"/>
      <c r="BO195" s="9"/>
      <c r="BP195" s="9"/>
      <c r="BQ195" s="9"/>
      <c r="BR195" s="9"/>
      <c r="BS195" s="9"/>
      <c r="BT195" s="9"/>
      <c r="BU195" s="10" t="n">
        <v>90</v>
      </c>
      <c r="BV195" s="11" t="n">
        <f aca="false">IF(ISERROR(ROUND(MEDIAN(BQ195:BT195),0)),0,ROUND(MEDIAN(BQ195:BT195),0))</f>
        <v>0</v>
      </c>
      <c r="BW195" s="11" t="n">
        <f aca="false">IF(ISERROR(ROUND(MEDIAN(BM195:BT195),0)),0,ROUND(MEDIAN(BM195:BT195),0))</f>
        <v>0</v>
      </c>
      <c r="BX195" s="11" t="n">
        <f aca="false">IF(ISERROR(ROUND(MEDIAN(BI195:BT195),0)),0,ROUND(MEDIAN(BI195:BT195),0))</f>
        <v>0</v>
      </c>
      <c r="BY195" s="11" t="n">
        <f aca="false">IF(ISERROR(ROUND(MEDIAN(BE195:BT195),0)),0,ROUND(MEDIAN(BE195:BT195),0))</f>
        <v>0</v>
      </c>
      <c r="BZ195" s="11" t="n">
        <f aca="false">IF(ISERROR(ROUND(MEDIAN(AU195:BT195),0)),0,ROUND(MEDIAN(AU195:BT195),0))</f>
        <v>90</v>
      </c>
      <c r="CA195" s="12" t="n">
        <f aca="false">IF(ISERROR(ROUND(MEDIAN(U195:BT195),0)),0,ROUND(MEDIAN(U195:BT195),0))</f>
        <v>90</v>
      </c>
      <c r="CB195" s="12" t="n">
        <f aca="false">IF(ISERROR(ROUND(MEDIAN(BT195),0)),0,ROUND(MEDIAN(BT195),0))</f>
        <v>0</v>
      </c>
      <c r="CC195" s="12" t="n">
        <f aca="false">IF(ISERROR(ROUND(MEDIAN(D195:BT195),0)),0,ROUND(MEDIAN(D195:BT195),0))</f>
        <v>90</v>
      </c>
      <c r="CD195" s="12" t="n">
        <f aca="false">MAX(D195:BT195)</f>
        <v>90</v>
      </c>
      <c r="CE195" s="7" t="n">
        <f aca="false">COUNTA(BQ195:BT195)</f>
        <v>0</v>
      </c>
      <c r="CF195" s="7" t="n">
        <f aca="false">COUNTA(BM195:BT195)</f>
        <v>0</v>
      </c>
      <c r="CG195" s="7" t="n">
        <f aca="false">COUNTA(BI195:BT195)</f>
        <v>0</v>
      </c>
      <c r="CH195" s="7" t="n">
        <f aca="false">COUNTA(BE195:BT195)</f>
        <v>0</v>
      </c>
      <c r="CI195" s="7" t="n">
        <f aca="false">COUNTA(AU195:BT195)</f>
        <v>1</v>
      </c>
      <c r="CJ195" s="7" t="n">
        <f aca="false">COUNTA(U195:BT195)</f>
        <v>1</v>
      </c>
      <c r="CK195" s="7" t="n">
        <f aca="false">COUNTA(BT195)</f>
        <v>0</v>
      </c>
      <c r="CL195" s="7" t="n">
        <f aca="false">COUNTA(D195:BT195)</f>
        <v>1</v>
      </c>
      <c r="CM195" s="19" t="str">
        <f aca="false">IF(AND(CE195=1,CJ195=1,BT195&lt;&gt;""),"5.ENTRANTES",IF(AND(CE195&lt;&gt;0,CE195/RIGHT($CE$1,1)&gt;=0.5,CJ195=CE195),"4.RECENTES",IF(AND(CF195&lt;&gt;0,CF195/RIGHT($CF$1,1)&gt;=0.5,CJ195=CF195),"4.RECENTES",IF(AND(CG195&lt;&gt;0,CG195/RIGHT($CG$1,2)&gt;=0.5,CJ195=CG195),"4.RECENTES",IF(AND(CH195&lt;&gt;0,CH195/RIGHT($CH$1,2)&gt;=0.5,CJ195=CH195),"4.RECENTES",IF(AND(CI195&lt;&gt;0,CI195/RIGHT($CI$1,2)&gt;=0.5,CJ195=CI195),"4.RECENTES",IF(AND(CE195=0,CF195=0,CG195=0,CH195=0),"3.INATIVOS",IF(CJ195/RIGHT($CJ$1,2)&lt;0.5,"2.INTERMITENTES","1.ORDINÁRIOS"))))))))</f>
        <v>3.INATIVOS</v>
      </c>
      <c r="CN195" s="20" t="n">
        <f aca="false">IF(AND(CE195=1,CJ195=1,BT195&lt;&gt;""),BT195,IF(AND(CE195&lt;&gt;0,CE195/RIGHT($CE$1,1)&gt;=0.5,CJ195=CE195),MAX(BV195:CC195),IF(AND(CF195&lt;&gt;0,CF195/RIGHT($CF$1,1)&gt;=0.5,CJ195=CF195),MAX(BV195:CC195),IF(AND(CG195&lt;&gt;0,CG195/RIGHT($CG$1,2)&gt;=0.5,CJ195=CG195),MAX(BV195:CC195),IF(AND(CH195&lt;&gt;0,CH195/RIGHT($CH$1,2)&gt;=0.5,CJ195=CH195),MAX(BV195:CC195),IF(AND(CI195&lt;&gt;0,CI195/RIGHT($CI$1,2)&gt;=0.5,CJ195=CI195),MAX(BV195:CC195),IF(AND(CE195=0,CF195=0,CG195=0,CH195=0),0,IF(CJ195/RIGHT($CJ$1,2)&lt;0.5,ROUND(BU195/RIGHT($CJ$1,2),0),MAX(BV195:CC195)))))))))</f>
        <v>0</v>
      </c>
      <c r="CO195" s="20" t="n">
        <f aca="false">CN195*3</f>
        <v>0</v>
      </c>
      <c r="CP195" s="15" t="n">
        <v>0</v>
      </c>
      <c r="CQ195" s="16" t="n">
        <f aca="false">IF((CO195-CP195)&lt;0,0,(CO195-CP195))</f>
        <v>0</v>
      </c>
      <c r="CR195" s="7"/>
    </row>
    <row r="196" customFormat="false" ht="12.75" hidden="false" customHeight="true" outlineLevel="0" collapsed="false">
      <c r="A196" s="7" t="s">
        <v>273</v>
      </c>
      <c r="B196" s="7" t="s">
        <v>292</v>
      </c>
      <c r="C196" s="8" t="n">
        <v>324001001</v>
      </c>
      <c r="D196" s="9"/>
      <c r="E196" s="9" t="n">
        <v>30</v>
      </c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 t="n">
        <v>30</v>
      </c>
      <c r="T196" s="9"/>
      <c r="U196" s="9"/>
      <c r="V196" s="9"/>
      <c r="W196" s="9"/>
      <c r="X196" s="9"/>
      <c r="Y196" s="9"/>
      <c r="Z196" s="9" t="n">
        <v>30</v>
      </c>
      <c r="AA196" s="9"/>
      <c r="AB196" s="9"/>
      <c r="AC196" s="9"/>
      <c r="AD196" s="9" t="n">
        <v>30</v>
      </c>
      <c r="AE196" s="9"/>
      <c r="AF196" s="9"/>
      <c r="AG196" s="9"/>
      <c r="AH196" s="9"/>
      <c r="AI196" s="9" t="n">
        <v>30</v>
      </c>
      <c r="AJ196" s="9"/>
      <c r="AK196" s="9"/>
      <c r="AL196" s="9"/>
      <c r="AM196" s="9"/>
      <c r="AN196" s="9" t="n">
        <v>30</v>
      </c>
      <c r="AO196" s="9"/>
      <c r="AP196" s="9"/>
      <c r="AQ196" s="9"/>
      <c r="AR196" s="9"/>
      <c r="AS196" s="9"/>
      <c r="AT196" s="9"/>
      <c r="AU196" s="9" t="n">
        <v>30</v>
      </c>
      <c r="AV196" s="9"/>
      <c r="AW196" s="9"/>
      <c r="AX196" s="9"/>
      <c r="AY196" s="9"/>
      <c r="AZ196" s="9"/>
      <c r="BA196" s="9" t="n">
        <v>30</v>
      </c>
      <c r="BB196" s="9"/>
      <c r="BC196" s="9"/>
      <c r="BD196" s="9"/>
      <c r="BE196" s="9" t="n">
        <v>30</v>
      </c>
      <c r="BF196" s="9"/>
      <c r="BG196" s="9"/>
      <c r="BH196" s="9"/>
      <c r="BI196" s="9"/>
      <c r="BJ196" s="9"/>
      <c r="BK196" s="9" t="n">
        <v>30</v>
      </c>
      <c r="BL196" s="9"/>
      <c r="BM196" s="9"/>
      <c r="BN196" s="9"/>
      <c r="BO196" s="9"/>
      <c r="BP196" s="9"/>
      <c r="BQ196" s="9"/>
      <c r="BR196" s="9"/>
      <c r="BS196" s="9" t="n">
        <v>30</v>
      </c>
      <c r="BT196" s="9"/>
      <c r="BU196" s="10" t="n">
        <v>330</v>
      </c>
      <c r="BV196" s="11" t="n">
        <f aca="false">IF(ISERROR(ROUND(MEDIAN(BQ196:BT196),0)),0,ROUND(MEDIAN(BQ196:BT196),0))</f>
        <v>30</v>
      </c>
      <c r="BW196" s="11" t="n">
        <f aca="false">IF(ISERROR(ROUND(MEDIAN(BM196:BT196),0)),0,ROUND(MEDIAN(BM196:BT196),0))</f>
        <v>30</v>
      </c>
      <c r="BX196" s="11" t="n">
        <f aca="false">IF(ISERROR(ROUND(MEDIAN(BI196:BT196),0)),0,ROUND(MEDIAN(BI196:BT196),0))</f>
        <v>30</v>
      </c>
      <c r="BY196" s="11" t="n">
        <f aca="false">IF(ISERROR(ROUND(MEDIAN(BE196:BT196),0)),0,ROUND(MEDIAN(BE196:BT196),0))</f>
        <v>30</v>
      </c>
      <c r="BZ196" s="11" t="n">
        <f aca="false">IF(ISERROR(ROUND(MEDIAN(AU196:BT196),0)),0,ROUND(MEDIAN(AU196:BT196),0))</f>
        <v>30</v>
      </c>
      <c r="CA196" s="12" t="n">
        <f aca="false">IF(ISERROR(ROUND(MEDIAN(U196:BT196),0)),0,ROUND(MEDIAN(U196:BT196),0))</f>
        <v>30</v>
      </c>
      <c r="CB196" s="12" t="n">
        <f aca="false">IF(ISERROR(ROUND(MEDIAN(BT196),0)),0,ROUND(MEDIAN(BT196),0))</f>
        <v>0</v>
      </c>
      <c r="CC196" s="12" t="n">
        <f aca="false">IF(ISERROR(ROUND(MEDIAN(D196:BT196),0)),0,ROUND(MEDIAN(D196:BT196),0))</f>
        <v>30</v>
      </c>
      <c r="CD196" s="12" t="n">
        <f aca="false">MAX(D196:BT196)</f>
        <v>30</v>
      </c>
      <c r="CE196" s="7" t="n">
        <f aca="false">COUNTA(BQ196:BT196)</f>
        <v>1</v>
      </c>
      <c r="CF196" s="7" t="n">
        <f aca="false">COUNTA(BM196:BT196)</f>
        <v>1</v>
      </c>
      <c r="CG196" s="7" t="n">
        <f aca="false">COUNTA(BI196:BT196)</f>
        <v>2</v>
      </c>
      <c r="CH196" s="7" t="n">
        <f aca="false">COUNTA(BE196:BT196)</f>
        <v>3</v>
      </c>
      <c r="CI196" s="7" t="n">
        <f aca="false">COUNTA(AU196:BT196)</f>
        <v>5</v>
      </c>
      <c r="CJ196" s="7" t="n">
        <f aca="false">COUNTA(U196:BT196)</f>
        <v>9</v>
      </c>
      <c r="CK196" s="7" t="n">
        <f aca="false">COUNTA(BT196)</f>
        <v>0</v>
      </c>
      <c r="CL196" s="7" t="n">
        <f aca="false">COUNTA(D196:BT196)</f>
        <v>11</v>
      </c>
      <c r="CM196" s="17" t="str">
        <f aca="false">IF(AND(CE196=1,CJ196=1,BT196&lt;&gt;""),"5.ENTRANTES",IF(AND(CE196&lt;&gt;0,CE196/RIGHT($CE$1,1)&gt;=0.5,CJ196=CE196),"4.RECENTES",IF(AND(CF196&lt;&gt;0,CF196/RIGHT($CF$1,1)&gt;=0.5,CJ196=CF196),"4.RECENTES",IF(AND(CG196&lt;&gt;0,CG196/RIGHT($CG$1,2)&gt;=0.5,CJ196=CG196),"4.RECENTES",IF(AND(CH196&lt;&gt;0,CH196/RIGHT($CH$1,2)&gt;=0.5,CJ196=CH196),"4.RECENTES",IF(AND(CI196&lt;&gt;0,CI196/RIGHT($CI$1,2)&gt;=0.5,CJ196=CI196),"4.RECENTES",IF(AND(CE196=0,CF196=0,CG196=0,CH196=0),"3.INATIVOS",IF(CJ196/RIGHT($CJ$1,2)&lt;0.5,"2.INTERMITENTES","1.ORDINÁRIOS"))))))))</f>
        <v>2.INTERMITENTES</v>
      </c>
      <c r="CN196" s="18" t="n">
        <f aca="false">IF(AND(CE196=1,CJ196=1,BT196&lt;&gt;""),BT196,IF(AND(CE196&lt;&gt;0,CE196/RIGHT($CE$1,1)&gt;=0.5,CJ196=CE196),MAX(BV196:CC196),IF(AND(CF196&lt;&gt;0,CF196/RIGHT($CF$1,1)&gt;=0.5,CJ196=CF196),MAX(BV196:CC196),IF(AND(CG196&lt;&gt;0,CG196/RIGHT($CG$1,2)&gt;=0.5,CJ196=CG196),MAX(BV196:CC196),IF(AND(CH196&lt;&gt;0,CH196/RIGHT($CH$1,2)&gt;=0.5,CJ196=CH196),MAX(BV196:CC196),IF(AND(CI196&lt;&gt;0,CI196/RIGHT($CI$1,2)&gt;=0.5,CJ196=CI196),MAX(BV196:CC196),IF(AND(CE196=0,CF196=0,CG196=0,CH196=0),0,IF(CJ196/RIGHT($CJ$1,2)&lt;0.5,ROUND(BU196/RIGHT($CJ$1,2),0),MAX(BV196:CC196)))))))))</f>
        <v>6</v>
      </c>
      <c r="CO196" s="18" t="n">
        <f aca="false">CD196</f>
        <v>30</v>
      </c>
      <c r="CP196" s="15" t="n">
        <v>0</v>
      </c>
      <c r="CQ196" s="16" t="n">
        <f aca="false">IF((CO196-CP196)&lt;0,0,(CO196-CP196))</f>
        <v>30</v>
      </c>
      <c r="CR196" s="7"/>
    </row>
    <row r="197" customFormat="false" ht="12.75" hidden="false" customHeight="true" outlineLevel="0" collapsed="false">
      <c r="A197" s="7" t="s">
        <v>273</v>
      </c>
      <c r="B197" s="7" t="s">
        <v>293</v>
      </c>
      <c r="C197" s="8" t="n">
        <v>311002003</v>
      </c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 t="n">
        <v>1</v>
      </c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G197" s="9"/>
      <c r="BH197" s="9"/>
      <c r="BI197" s="9"/>
      <c r="BJ197" s="9"/>
      <c r="BK197" s="9"/>
      <c r="BL197" s="9"/>
      <c r="BM197" s="9"/>
      <c r="BN197" s="9"/>
      <c r="BO197" s="9"/>
      <c r="BP197" s="9"/>
      <c r="BQ197" s="9"/>
      <c r="BR197" s="9"/>
      <c r="BS197" s="9"/>
      <c r="BT197" s="9"/>
      <c r="BU197" s="10" t="n">
        <v>1</v>
      </c>
      <c r="BV197" s="11" t="n">
        <f aca="false">IF(ISERROR(ROUND(MEDIAN(BQ197:BT197),0)),0,ROUND(MEDIAN(BQ197:BT197),0))</f>
        <v>0</v>
      </c>
      <c r="BW197" s="11" t="n">
        <f aca="false">IF(ISERROR(ROUND(MEDIAN(BM197:BT197),0)),0,ROUND(MEDIAN(BM197:BT197),0))</f>
        <v>0</v>
      </c>
      <c r="BX197" s="11" t="n">
        <f aca="false">IF(ISERROR(ROUND(MEDIAN(BI197:BT197),0)),0,ROUND(MEDIAN(BI197:BT197),0))</f>
        <v>0</v>
      </c>
      <c r="BY197" s="11" t="n">
        <f aca="false">IF(ISERROR(ROUND(MEDIAN(BE197:BT197),0)),0,ROUND(MEDIAN(BE197:BT197),0))</f>
        <v>0</v>
      </c>
      <c r="BZ197" s="11" t="n">
        <f aca="false">IF(ISERROR(ROUND(MEDIAN(AU197:BT197),0)),0,ROUND(MEDIAN(AU197:BT197),0))</f>
        <v>0</v>
      </c>
      <c r="CA197" s="12" t="n">
        <f aca="false">IF(ISERROR(ROUND(MEDIAN(U197:BT197),0)),0,ROUND(MEDIAN(U197:BT197),0))</f>
        <v>0</v>
      </c>
      <c r="CB197" s="12" t="n">
        <f aca="false">IF(ISERROR(ROUND(MEDIAN(BT197),0)),0,ROUND(MEDIAN(BT197),0))</f>
        <v>0</v>
      </c>
      <c r="CC197" s="12" t="n">
        <f aca="false">IF(ISERROR(ROUND(MEDIAN(D197:BT197),0)),0,ROUND(MEDIAN(D197:BT197),0))</f>
        <v>1</v>
      </c>
      <c r="CD197" s="12" t="n">
        <f aca="false">MAX(D197:BT197)</f>
        <v>1</v>
      </c>
      <c r="CE197" s="7" t="n">
        <f aca="false">COUNTA(BQ197:BT197)</f>
        <v>0</v>
      </c>
      <c r="CF197" s="7" t="n">
        <f aca="false">COUNTA(BM197:BT197)</f>
        <v>0</v>
      </c>
      <c r="CG197" s="7" t="n">
        <f aca="false">COUNTA(BI197:BT197)</f>
        <v>0</v>
      </c>
      <c r="CH197" s="7" t="n">
        <f aca="false">COUNTA(BE197:BT197)</f>
        <v>0</v>
      </c>
      <c r="CI197" s="7" t="n">
        <f aca="false">COUNTA(AU197:BT197)</f>
        <v>0</v>
      </c>
      <c r="CJ197" s="7" t="n">
        <f aca="false">COUNTA(U197:BT197)</f>
        <v>0</v>
      </c>
      <c r="CK197" s="7" t="n">
        <f aca="false">COUNTA(BT197)</f>
        <v>0</v>
      </c>
      <c r="CL197" s="7" t="n">
        <f aca="false">COUNTA(D197:BT197)</f>
        <v>1</v>
      </c>
      <c r="CM197" s="19" t="str">
        <f aca="false">IF(AND(CE197=1,CJ197=1,BT197&lt;&gt;""),"5.ENTRANTES",IF(AND(CE197&lt;&gt;0,CE197/RIGHT($CE$1,1)&gt;=0.5,CJ197=CE197),"4.RECENTES",IF(AND(CF197&lt;&gt;0,CF197/RIGHT($CF$1,1)&gt;=0.5,CJ197=CF197),"4.RECENTES",IF(AND(CG197&lt;&gt;0,CG197/RIGHT($CG$1,2)&gt;=0.5,CJ197=CG197),"4.RECENTES",IF(AND(CH197&lt;&gt;0,CH197/RIGHT($CH$1,2)&gt;=0.5,CJ197=CH197),"4.RECENTES",IF(AND(CI197&lt;&gt;0,CI197/RIGHT($CI$1,2)&gt;=0.5,CJ197=CI197),"4.RECENTES",IF(AND(CE197=0,CF197=0,CG197=0,CH197=0),"3.INATIVOS",IF(CJ197/RIGHT($CJ$1,2)&lt;0.5,"2.INTERMITENTES","1.ORDINÁRIOS"))))))))</f>
        <v>3.INATIVOS</v>
      </c>
      <c r="CN197" s="20" t="n">
        <f aca="false">IF(AND(CE197=1,CJ197=1,BT197&lt;&gt;""),BT197,IF(AND(CE197&lt;&gt;0,CE197/RIGHT($CE$1,1)&gt;=0.5,CJ197=CE197),MAX(BV197:CC197),IF(AND(CF197&lt;&gt;0,CF197/RIGHT($CF$1,1)&gt;=0.5,CJ197=CF197),MAX(BV197:CC197),IF(AND(CG197&lt;&gt;0,CG197/RIGHT($CG$1,2)&gt;=0.5,CJ197=CG197),MAX(BV197:CC197),IF(AND(CH197&lt;&gt;0,CH197/RIGHT($CH$1,2)&gt;=0.5,CJ197=CH197),MAX(BV197:CC197),IF(AND(CI197&lt;&gt;0,CI197/RIGHT($CI$1,2)&gt;=0.5,CJ197=CI197),MAX(BV197:CC197),IF(AND(CE197=0,CF197=0,CG197=0,CH197=0),0,IF(CJ197/RIGHT($CJ$1,2)&lt;0.5,ROUND(BU197/RIGHT($CJ$1,2),0),MAX(BV197:CC197)))))))))</f>
        <v>0</v>
      </c>
      <c r="CO197" s="20" t="n">
        <f aca="false">CN197*3</f>
        <v>0</v>
      </c>
      <c r="CP197" s="15" t="n">
        <v>0</v>
      </c>
      <c r="CQ197" s="16" t="n">
        <f aca="false">IF((CO197-CP197)&lt;0,0,(CO197-CP197))</f>
        <v>0</v>
      </c>
      <c r="CR197" s="7"/>
    </row>
    <row r="198" customFormat="false" ht="12.75" hidden="false" customHeight="true" outlineLevel="0" collapsed="false">
      <c r="A198" s="7" t="s">
        <v>273</v>
      </c>
      <c r="B198" s="7" t="s">
        <v>294</v>
      </c>
      <c r="C198" s="8" t="n">
        <v>325013001</v>
      </c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 t="n">
        <v>1</v>
      </c>
      <c r="AX198" s="9"/>
      <c r="AY198" s="9"/>
      <c r="AZ198" s="9"/>
      <c r="BA198" s="9"/>
      <c r="BB198" s="9"/>
      <c r="BC198" s="9"/>
      <c r="BD198" s="9"/>
      <c r="BE198" s="9"/>
      <c r="BF198" s="9"/>
      <c r="BG198" s="9"/>
      <c r="BH198" s="9"/>
      <c r="BI198" s="9"/>
      <c r="BJ198" s="9"/>
      <c r="BK198" s="9"/>
      <c r="BL198" s="9"/>
      <c r="BM198" s="9"/>
      <c r="BN198" s="9"/>
      <c r="BO198" s="9"/>
      <c r="BP198" s="9"/>
      <c r="BQ198" s="9"/>
      <c r="BR198" s="9"/>
      <c r="BS198" s="9"/>
      <c r="BT198" s="9"/>
      <c r="BU198" s="10" t="n">
        <v>1</v>
      </c>
      <c r="BV198" s="11" t="n">
        <f aca="false">IF(ISERROR(ROUND(MEDIAN(BQ198:BT198),0)),0,ROUND(MEDIAN(BQ198:BT198),0))</f>
        <v>0</v>
      </c>
      <c r="BW198" s="11" t="n">
        <f aca="false">IF(ISERROR(ROUND(MEDIAN(BM198:BT198),0)),0,ROUND(MEDIAN(BM198:BT198),0))</f>
        <v>0</v>
      </c>
      <c r="BX198" s="11" t="n">
        <f aca="false">IF(ISERROR(ROUND(MEDIAN(BI198:BT198),0)),0,ROUND(MEDIAN(BI198:BT198),0))</f>
        <v>0</v>
      </c>
      <c r="BY198" s="11" t="n">
        <f aca="false">IF(ISERROR(ROUND(MEDIAN(BE198:BT198),0)),0,ROUND(MEDIAN(BE198:BT198),0))</f>
        <v>0</v>
      </c>
      <c r="BZ198" s="11" t="n">
        <f aca="false">IF(ISERROR(ROUND(MEDIAN(AU198:BT198),0)),0,ROUND(MEDIAN(AU198:BT198),0))</f>
        <v>1</v>
      </c>
      <c r="CA198" s="12" t="n">
        <f aca="false">IF(ISERROR(ROUND(MEDIAN(U198:BT198),0)),0,ROUND(MEDIAN(U198:BT198),0))</f>
        <v>1</v>
      </c>
      <c r="CB198" s="12" t="n">
        <f aca="false">IF(ISERROR(ROUND(MEDIAN(BT198),0)),0,ROUND(MEDIAN(BT198),0))</f>
        <v>0</v>
      </c>
      <c r="CC198" s="12" t="n">
        <f aca="false">IF(ISERROR(ROUND(MEDIAN(D198:BT198),0)),0,ROUND(MEDIAN(D198:BT198),0))</f>
        <v>1</v>
      </c>
      <c r="CD198" s="12" t="n">
        <f aca="false">MAX(D198:BT198)</f>
        <v>1</v>
      </c>
      <c r="CE198" s="7" t="n">
        <f aca="false">COUNTA(BQ198:BT198)</f>
        <v>0</v>
      </c>
      <c r="CF198" s="7" t="n">
        <f aca="false">COUNTA(BM198:BT198)</f>
        <v>0</v>
      </c>
      <c r="CG198" s="7" t="n">
        <f aca="false">COUNTA(BI198:BT198)</f>
        <v>0</v>
      </c>
      <c r="CH198" s="7" t="n">
        <f aca="false">COUNTA(BE198:BT198)</f>
        <v>0</v>
      </c>
      <c r="CI198" s="7" t="n">
        <f aca="false">COUNTA(AU198:BT198)</f>
        <v>1</v>
      </c>
      <c r="CJ198" s="7" t="n">
        <f aca="false">COUNTA(U198:BT198)</f>
        <v>1</v>
      </c>
      <c r="CK198" s="7" t="n">
        <f aca="false">COUNTA(BT198)</f>
        <v>0</v>
      </c>
      <c r="CL198" s="7" t="n">
        <f aca="false">COUNTA(D198:BT198)</f>
        <v>1</v>
      </c>
      <c r="CM198" s="19" t="str">
        <f aca="false">IF(AND(CE198=1,CJ198=1,BT198&lt;&gt;""),"5.ENTRANTES",IF(AND(CE198&lt;&gt;0,CE198/RIGHT($CE$1,1)&gt;=0.5,CJ198=CE198),"4.RECENTES",IF(AND(CF198&lt;&gt;0,CF198/RIGHT($CF$1,1)&gt;=0.5,CJ198=CF198),"4.RECENTES",IF(AND(CG198&lt;&gt;0,CG198/RIGHT($CG$1,2)&gt;=0.5,CJ198=CG198),"4.RECENTES",IF(AND(CH198&lt;&gt;0,CH198/RIGHT($CH$1,2)&gt;=0.5,CJ198=CH198),"4.RECENTES",IF(AND(CI198&lt;&gt;0,CI198/RIGHT($CI$1,2)&gt;=0.5,CJ198=CI198),"4.RECENTES",IF(AND(CE198=0,CF198=0,CG198=0,CH198=0),"3.INATIVOS",IF(CJ198/RIGHT($CJ$1,2)&lt;0.5,"2.INTERMITENTES","1.ORDINÁRIOS"))))))))</f>
        <v>3.INATIVOS</v>
      </c>
      <c r="CN198" s="20" t="n">
        <f aca="false">IF(AND(CE198=1,CJ198=1,BT198&lt;&gt;""),BT198,IF(AND(CE198&lt;&gt;0,CE198/RIGHT($CE$1,1)&gt;=0.5,CJ198=CE198),MAX(BV198:CC198),IF(AND(CF198&lt;&gt;0,CF198/RIGHT($CF$1,1)&gt;=0.5,CJ198=CF198),MAX(BV198:CC198),IF(AND(CG198&lt;&gt;0,CG198/RIGHT($CG$1,2)&gt;=0.5,CJ198=CG198),MAX(BV198:CC198),IF(AND(CH198&lt;&gt;0,CH198/RIGHT($CH$1,2)&gt;=0.5,CJ198=CH198),MAX(BV198:CC198),IF(AND(CI198&lt;&gt;0,CI198/RIGHT($CI$1,2)&gt;=0.5,CJ198=CI198),MAX(BV198:CC198),IF(AND(CE198=0,CF198=0,CG198=0,CH198=0),0,IF(CJ198/RIGHT($CJ$1,2)&lt;0.5,ROUND(BU198/RIGHT($CJ$1,2),0),MAX(BV198:CC198)))))))))</f>
        <v>0</v>
      </c>
      <c r="CO198" s="20" t="n">
        <f aca="false">CN198*3</f>
        <v>0</v>
      </c>
      <c r="CP198" s="15" t="n">
        <v>0</v>
      </c>
      <c r="CQ198" s="16" t="n">
        <f aca="false">IF((CO198-CP198)&lt;0,0,(CO198-CP198))</f>
        <v>0</v>
      </c>
      <c r="CR198" s="7"/>
    </row>
    <row r="199" customFormat="false" ht="12.75" hidden="false" customHeight="true" outlineLevel="0" collapsed="false">
      <c r="A199" s="7" t="s">
        <v>273</v>
      </c>
      <c r="B199" s="7" t="s">
        <v>295</v>
      </c>
      <c r="C199" s="8" t="n">
        <v>305002004</v>
      </c>
      <c r="D199" s="9" t="n">
        <v>20</v>
      </c>
      <c r="E199" s="9" t="n">
        <v>60</v>
      </c>
      <c r="F199" s="9"/>
      <c r="G199" s="9" t="n">
        <v>20</v>
      </c>
      <c r="H199" s="9"/>
      <c r="I199" s="9" t="n">
        <v>60</v>
      </c>
      <c r="J199" s="9" t="n">
        <v>120</v>
      </c>
      <c r="K199" s="9"/>
      <c r="L199" s="9" t="n">
        <v>30</v>
      </c>
      <c r="M199" s="9"/>
      <c r="N199" s="9" t="n">
        <v>10</v>
      </c>
      <c r="O199" s="9"/>
      <c r="P199" s="9" t="n">
        <v>20</v>
      </c>
      <c r="Q199" s="9"/>
      <c r="R199" s="9" t="n">
        <v>10</v>
      </c>
      <c r="S199" s="9" t="n">
        <v>60</v>
      </c>
      <c r="T199" s="9" t="n">
        <v>30</v>
      </c>
      <c r="U199" s="9"/>
      <c r="V199" s="9" t="n">
        <v>70</v>
      </c>
      <c r="W199" s="9" t="n">
        <v>10</v>
      </c>
      <c r="X199" s="9"/>
      <c r="Y199" s="9" t="n">
        <v>20</v>
      </c>
      <c r="Z199" s="9"/>
      <c r="AA199" s="9" t="n">
        <v>60</v>
      </c>
      <c r="AB199" s="9" t="n">
        <v>70</v>
      </c>
      <c r="AC199" s="9" t="n">
        <v>50</v>
      </c>
      <c r="AD199" s="9" t="n">
        <v>140</v>
      </c>
      <c r="AE199" s="9" t="n">
        <v>50</v>
      </c>
      <c r="AF199" s="9" t="n">
        <v>10</v>
      </c>
      <c r="AG199" s="9" t="n">
        <v>20</v>
      </c>
      <c r="AH199" s="9" t="n">
        <v>30</v>
      </c>
      <c r="AI199" s="9" t="n">
        <v>150</v>
      </c>
      <c r="AJ199" s="9" t="n">
        <v>20</v>
      </c>
      <c r="AK199" s="9" t="n">
        <v>60</v>
      </c>
      <c r="AL199" s="9" t="n">
        <v>80</v>
      </c>
      <c r="AM199" s="9" t="n">
        <v>20</v>
      </c>
      <c r="AN199" s="9" t="n">
        <v>150</v>
      </c>
      <c r="AO199" s="9"/>
      <c r="AP199" s="9" t="n">
        <v>80</v>
      </c>
      <c r="AQ199" s="9" t="n">
        <v>90</v>
      </c>
      <c r="AR199" s="9" t="n">
        <v>60</v>
      </c>
      <c r="AS199" s="9" t="n">
        <v>90</v>
      </c>
      <c r="AT199" s="9"/>
      <c r="AU199" s="9" t="n">
        <v>20</v>
      </c>
      <c r="AV199" s="9" t="n">
        <v>150</v>
      </c>
      <c r="AW199" s="9" t="n">
        <v>90</v>
      </c>
      <c r="AX199" s="9" t="n">
        <v>20</v>
      </c>
      <c r="AY199" s="9"/>
      <c r="AZ199" s="9" t="n">
        <v>150</v>
      </c>
      <c r="BA199" s="9" t="n">
        <v>60</v>
      </c>
      <c r="BB199" s="9"/>
      <c r="BC199" s="9" t="n">
        <v>40</v>
      </c>
      <c r="BD199" s="9"/>
      <c r="BE199" s="9" t="n">
        <v>50</v>
      </c>
      <c r="BF199" s="9" t="n">
        <v>60</v>
      </c>
      <c r="BG199" s="9"/>
      <c r="BH199" s="9" t="n">
        <v>30</v>
      </c>
      <c r="BI199" s="9"/>
      <c r="BJ199" s="9" t="n">
        <v>60</v>
      </c>
      <c r="BK199" s="9"/>
      <c r="BL199" s="9"/>
      <c r="BM199" s="9" t="n">
        <v>10</v>
      </c>
      <c r="BN199" s="9"/>
      <c r="BO199" s="9"/>
      <c r="BP199" s="9"/>
      <c r="BQ199" s="9" t="n">
        <v>30</v>
      </c>
      <c r="BR199" s="9"/>
      <c r="BS199" s="9"/>
      <c r="BT199" s="9"/>
      <c r="BU199" s="10" t="n">
        <v>2540</v>
      </c>
      <c r="BV199" s="11" t="n">
        <f aca="false">IF(ISERROR(ROUND(MEDIAN(BQ199:BT199),0)),0,ROUND(MEDIAN(BQ199:BT199),0))</f>
        <v>30</v>
      </c>
      <c r="BW199" s="11" t="n">
        <f aca="false">IF(ISERROR(ROUND(MEDIAN(BM199:BT199),0)),0,ROUND(MEDIAN(BM199:BT199),0))</f>
        <v>20</v>
      </c>
      <c r="BX199" s="11" t="n">
        <f aca="false">IF(ISERROR(ROUND(MEDIAN(BI199:BT199),0)),0,ROUND(MEDIAN(BI199:BT199),0))</f>
        <v>30</v>
      </c>
      <c r="BY199" s="11" t="n">
        <f aca="false">IF(ISERROR(ROUND(MEDIAN(BE199:BT199),0)),0,ROUND(MEDIAN(BE199:BT199),0))</f>
        <v>40</v>
      </c>
      <c r="BZ199" s="11" t="n">
        <f aca="false">IF(ISERROR(ROUND(MEDIAN(AU199:BT199),0)),0,ROUND(MEDIAN(AU199:BT199),0))</f>
        <v>50</v>
      </c>
      <c r="CA199" s="12" t="n">
        <f aca="false">IF(ISERROR(ROUND(MEDIAN(U199:BT199),0)),0,ROUND(MEDIAN(U199:BT199),0))</f>
        <v>60</v>
      </c>
      <c r="CB199" s="12" t="n">
        <f aca="false">IF(ISERROR(ROUND(MEDIAN(BT199),0)),0,ROUND(MEDIAN(BT199),0))</f>
        <v>0</v>
      </c>
      <c r="CC199" s="12" t="n">
        <f aca="false">IF(ISERROR(ROUND(MEDIAN(D199:BT199),0)),0,ROUND(MEDIAN(D199:BT199),0))</f>
        <v>50</v>
      </c>
      <c r="CD199" s="12" t="n">
        <f aca="false">MAX(D199:BT199)</f>
        <v>150</v>
      </c>
      <c r="CE199" s="7" t="n">
        <f aca="false">COUNTA(BQ199:BT199)</f>
        <v>1</v>
      </c>
      <c r="CF199" s="7" t="n">
        <f aca="false">COUNTA(BM199:BT199)</f>
        <v>2</v>
      </c>
      <c r="CG199" s="7" t="n">
        <f aca="false">COUNTA(BI199:BT199)</f>
        <v>3</v>
      </c>
      <c r="CH199" s="7" t="n">
        <f aca="false">COUNTA(BE199:BT199)</f>
        <v>6</v>
      </c>
      <c r="CI199" s="7" t="n">
        <f aca="false">COUNTA(AU199:BT199)</f>
        <v>13</v>
      </c>
      <c r="CJ199" s="7" t="n">
        <f aca="false">COUNTA(U199:BT199)</f>
        <v>34</v>
      </c>
      <c r="CK199" s="7" t="n">
        <f aca="false">COUNTA(BT199)</f>
        <v>0</v>
      </c>
      <c r="CL199" s="7" t="n">
        <f aca="false">COUNTA(D199:BT199)</f>
        <v>45</v>
      </c>
      <c r="CM199" s="13" t="str">
        <f aca="false">IF(AND(CE199=1,CJ199=1,BT199&lt;&gt;""),"5.ENTRANTES",IF(AND(CE199&lt;&gt;0,CE199/RIGHT($CE$1,1)&gt;=0.5,CJ199=CE199),"4.RECENTES",IF(AND(CF199&lt;&gt;0,CF199/RIGHT($CF$1,1)&gt;=0.5,CJ199=CF199),"4.RECENTES",IF(AND(CG199&lt;&gt;0,CG199/RIGHT($CG$1,2)&gt;=0.5,CJ199=CG199),"4.RECENTES",IF(AND(CH199&lt;&gt;0,CH199/RIGHT($CH$1,2)&gt;=0.5,CJ199=CH199),"4.RECENTES",IF(AND(CI199&lt;&gt;0,CI199/RIGHT($CI$1,2)&gt;=0.5,CJ199=CI199),"4.RECENTES",IF(AND(CE199=0,CF199=0,CG199=0,CH199=0),"3.INATIVOS",IF(CJ199/RIGHT($CJ$1,2)&lt;0.5,"2.INTERMITENTES","1.ORDINÁRIOS"))))))))</f>
        <v>1.ORDINÁRIOS</v>
      </c>
      <c r="CN199" s="14" t="n">
        <f aca="false">IF(AND(CE199=1,CJ199=1,BT199&lt;&gt;""),BT199,IF(AND(CE199&lt;&gt;0,CE199/RIGHT($CE$1,1)&gt;=0.5,CJ199=CE199),MAX(BV199:CC199),IF(AND(CF199&lt;&gt;0,CF199/RIGHT($CF$1,1)&gt;=0.5,CJ199=CF199),MAX(BV199:CC199),IF(AND(CG199&lt;&gt;0,CG199/RIGHT($CG$1,2)&gt;=0.5,CJ199=CG199),MAX(BV199:CC199),IF(AND(CH199&lt;&gt;0,CH199/RIGHT($CH$1,2)&gt;=0.5,CJ199=CH199),MAX(BV199:CC199),IF(AND(CI199&lt;&gt;0,CI199/RIGHT($CI$1,2)&gt;=0.5,CJ199=CI199),MAX(BV199:CC199),IF(AND(CE199=0,CF199=0,CG199=0,CH199=0),0,IF(CJ199/RIGHT($CJ$1,2)&lt;0.5,ROUND(BU199/RIGHT($CJ$1,2),0),MAX(BV199:CC199)))))))))</f>
        <v>60</v>
      </c>
      <c r="CO199" s="14" t="n">
        <f aca="false">CN199*3</f>
        <v>180</v>
      </c>
      <c r="CP199" s="15" t="n">
        <v>310</v>
      </c>
      <c r="CQ199" s="16" t="n">
        <f aca="false">IF((CO199-CP199)&lt;0,0,(CO199-CP199))</f>
        <v>0</v>
      </c>
      <c r="CR199" s="7"/>
    </row>
    <row r="200" customFormat="false" ht="12.75" hidden="false" customHeight="true" outlineLevel="0" collapsed="false">
      <c r="A200" s="7" t="s">
        <v>273</v>
      </c>
      <c r="B200" s="7" t="s">
        <v>296</v>
      </c>
      <c r="C200" s="8" t="n">
        <v>21001073</v>
      </c>
      <c r="D200" s="9"/>
      <c r="E200" s="9" t="n">
        <v>60</v>
      </c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 t="n">
        <v>60</v>
      </c>
      <c r="Q200" s="9"/>
      <c r="R200" s="9"/>
      <c r="S200" s="9" t="n">
        <v>30</v>
      </c>
      <c r="T200" s="9"/>
      <c r="U200" s="9"/>
      <c r="V200" s="9"/>
      <c r="W200" s="9"/>
      <c r="X200" s="9"/>
      <c r="Y200" s="9"/>
      <c r="Z200" s="9" t="n">
        <v>90</v>
      </c>
      <c r="AA200" s="9"/>
      <c r="AB200" s="9"/>
      <c r="AC200" s="9"/>
      <c r="AD200" s="9" t="n">
        <v>90</v>
      </c>
      <c r="AE200" s="9"/>
      <c r="AF200" s="9"/>
      <c r="AG200" s="9"/>
      <c r="AH200" s="9"/>
      <c r="AI200" s="9" t="n">
        <v>90</v>
      </c>
      <c r="AJ200" s="9"/>
      <c r="AK200" s="9"/>
      <c r="AL200" s="9"/>
      <c r="AM200" s="9"/>
      <c r="AN200" s="9" t="n">
        <v>90</v>
      </c>
      <c r="AO200" s="9"/>
      <c r="AP200" s="9"/>
      <c r="AQ200" s="9"/>
      <c r="AR200" s="9"/>
      <c r="AS200" s="9"/>
      <c r="AT200" s="9" t="n">
        <v>60</v>
      </c>
      <c r="AU200" s="9" t="n">
        <v>30</v>
      </c>
      <c r="AV200" s="9" t="n">
        <v>60</v>
      </c>
      <c r="AW200" s="9"/>
      <c r="AX200" s="9"/>
      <c r="AY200" s="9"/>
      <c r="AZ200" s="9"/>
      <c r="BA200" s="9" t="n">
        <v>90</v>
      </c>
      <c r="BB200" s="9" t="n">
        <v>60</v>
      </c>
      <c r="BC200" s="9"/>
      <c r="BD200" s="9"/>
      <c r="BE200" s="9" t="n">
        <v>90</v>
      </c>
      <c r="BF200" s="9"/>
      <c r="BG200" s="9"/>
      <c r="BH200" s="9"/>
      <c r="BI200" s="9"/>
      <c r="BJ200" s="9"/>
      <c r="BK200" s="9" t="n">
        <v>90</v>
      </c>
      <c r="BL200" s="9"/>
      <c r="BM200" s="9"/>
      <c r="BN200" s="9"/>
      <c r="BO200" s="9"/>
      <c r="BP200" s="9"/>
      <c r="BQ200" s="9"/>
      <c r="BR200" s="9"/>
      <c r="BS200" s="9" t="n">
        <v>90</v>
      </c>
      <c r="BT200" s="9"/>
      <c r="BU200" s="10" t="n">
        <v>1080</v>
      </c>
      <c r="BV200" s="11" t="n">
        <f aca="false">IF(ISERROR(ROUND(MEDIAN(BQ200:BT200),0)),0,ROUND(MEDIAN(BQ200:BT200),0))</f>
        <v>90</v>
      </c>
      <c r="BW200" s="11" t="n">
        <f aca="false">IF(ISERROR(ROUND(MEDIAN(BM200:BT200),0)),0,ROUND(MEDIAN(BM200:BT200),0))</f>
        <v>90</v>
      </c>
      <c r="BX200" s="11" t="n">
        <f aca="false">IF(ISERROR(ROUND(MEDIAN(BI200:BT200),0)),0,ROUND(MEDIAN(BI200:BT200),0))</f>
        <v>90</v>
      </c>
      <c r="BY200" s="11" t="n">
        <f aca="false">IF(ISERROR(ROUND(MEDIAN(BE200:BT200),0)),0,ROUND(MEDIAN(BE200:BT200),0))</f>
        <v>90</v>
      </c>
      <c r="BZ200" s="11" t="n">
        <f aca="false">IF(ISERROR(ROUND(MEDIAN(AU200:BT200),0)),0,ROUND(MEDIAN(AU200:BT200),0))</f>
        <v>90</v>
      </c>
      <c r="CA200" s="12" t="n">
        <f aca="false">IF(ISERROR(ROUND(MEDIAN(U200:BT200),0)),0,ROUND(MEDIAN(U200:BT200),0))</f>
        <v>90</v>
      </c>
      <c r="CB200" s="12" t="n">
        <f aca="false">IF(ISERROR(ROUND(MEDIAN(BT200),0)),0,ROUND(MEDIAN(BT200),0))</f>
        <v>0</v>
      </c>
      <c r="CC200" s="12" t="n">
        <f aca="false">IF(ISERROR(ROUND(MEDIAN(D200:BT200),0)),0,ROUND(MEDIAN(D200:BT200),0))</f>
        <v>90</v>
      </c>
      <c r="CD200" s="12" t="n">
        <f aca="false">MAX(D200:BT200)</f>
        <v>90</v>
      </c>
      <c r="CE200" s="7" t="n">
        <f aca="false">COUNTA(BQ200:BT200)</f>
        <v>1</v>
      </c>
      <c r="CF200" s="7" t="n">
        <f aca="false">COUNTA(BM200:BT200)</f>
        <v>1</v>
      </c>
      <c r="CG200" s="7" t="n">
        <f aca="false">COUNTA(BI200:BT200)</f>
        <v>2</v>
      </c>
      <c r="CH200" s="7" t="n">
        <f aca="false">COUNTA(BE200:BT200)</f>
        <v>3</v>
      </c>
      <c r="CI200" s="7" t="n">
        <f aca="false">COUNTA(AU200:BT200)</f>
        <v>7</v>
      </c>
      <c r="CJ200" s="7" t="n">
        <f aca="false">COUNTA(U200:BT200)</f>
        <v>12</v>
      </c>
      <c r="CK200" s="7" t="n">
        <f aca="false">COUNTA(BT200)</f>
        <v>0</v>
      </c>
      <c r="CL200" s="7" t="n">
        <f aca="false">COUNTA(D200:BT200)</f>
        <v>15</v>
      </c>
      <c r="CM200" s="17" t="str">
        <f aca="false">IF(AND(CE200=1,CJ200=1,BT200&lt;&gt;""),"5.ENTRANTES",IF(AND(CE200&lt;&gt;0,CE200/RIGHT($CE$1,1)&gt;=0.5,CJ200=CE200),"4.RECENTES",IF(AND(CF200&lt;&gt;0,CF200/RIGHT($CF$1,1)&gt;=0.5,CJ200=CF200),"4.RECENTES",IF(AND(CG200&lt;&gt;0,CG200/RIGHT($CG$1,2)&gt;=0.5,CJ200=CG200),"4.RECENTES",IF(AND(CH200&lt;&gt;0,CH200/RIGHT($CH$1,2)&gt;=0.5,CJ200=CH200),"4.RECENTES",IF(AND(CI200&lt;&gt;0,CI200/RIGHT($CI$1,2)&gt;=0.5,CJ200=CI200),"4.RECENTES",IF(AND(CE200=0,CF200=0,CG200=0,CH200=0),"3.INATIVOS",IF(CJ200/RIGHT($CJ$1,2)&lt;0.5,"2.INTERMITENTES","1.ORDINÁRIOS"))))))))</f>
        <v>2.INTERMITENTES</v>
      </c>
      <c r="CN200" s="18" t="n">
        <f aca="false">IF(AND(CE200=1,CJ200=1,BT200&lt;&gt;""),BT200,IF(AND(CE200&lt;&gt;0,CE200/RIGHT($CE$1,1)&gt;=0.5,CJ200=CE200),MAX(BV200:CC200),IF(AND(CF200&lt;&gt;0,CF200/RIGHT($CF$1,1)&gt;=0.5,CJ200=CF200),MAX(BV200:CC200),IF(AND(CG200&lt;&gt;0,CG200/RIGHT($CG$1,2)&gt;=0.5,CJ200=CG200),MAX(BV200:CC200),IF(AND(CH200&lt;&gt;0,CH200/RIGHT($CH$1,2)&gt;=0.5,CJ200=CH200),MAX(BV200:CC200),IF(AND(CI200&lt;&gt;0,CI200/RIGHT($CI$1,2)&gt;=0.5,CJ200=CI200),MAX(BV200:CC200),IF(AND(CE200=0,CF200=0,CG200=0,CH200=0),0,IF(CJ200/RIGHT($CJ$1,2)&lt;0.5,ROUND(BU200/RIGHT($CJ$1,2),0),MAX(BV200:CC200)))))))))</f>
        <v>21</v>
      </c>
      <c r="CO200" s="18" t="n">
        <f aca="false">CD200</f>
        <v>90</v>
      </c>
      <c r="CP200" s="15" t="n">
        <v>60</v>
      </c>
      <c r="CQ200" s="16" t="n">
        <f aca="false">IF((CO200-CP200)&lt;0,0,(CO200-CP200))</f>
        <v>30</v>
      </c>
      <c r="CR200" s="7"/>
    </row>
    <row r="201" customFormat="false" ht="12.75" hidden="false" customHeight="true" outlineLevel="0" collapsed="false">
      <c r="A201" s="7" t="s">
        <v>273</v>
      </c>
      <c r="B201" s="7" t="s">
        <v>297</v>
      </c>
      <c r="C201" s="8" t="n">
        <v>328001001</v>
      </c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 t="n">
        <v>1</v>
      </c>
      <c r="AF201" s="9"/>
      <c r="AG201" s="9"/>
      <c r="AH201" s="9"/>
      <c r="AI201" s="9"/>
      <c r="AJ201" s="9" t="n">
        <v>1</v>
      </c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9"/>
      <c r="BF201" s="9"/>
      <c r="BG201" s="9"/>
      <c r="BH201" s="9"/>
      <c r="BI201" s="9"/>
      <c r="BJ201" s="9"/>
      <c r="BK201" s="9"/>
      <c r="BL201" s="9"/>
      <c r="BM201" s="9"/>
      <c r="BN201" s="9"/>
      <c r="BO201" s="9"/>
      <c r="BP201" s="9"/>
      <c r="BQ201" s="9"/>
      <c r="BR201" s="9"/>
      <c r="BS201" s="9"/>
      <c r="BT201" s="9"/>
      <c r="BU201" s="10" t="n">
        <v>2</v>
      </c>
      <c r="BV201" s="11" t="n">
        <f aca="false">IF(ISERROR(ROUND(MEDIAN(BQ201:BT201),0)),0,ROUND(MEDIAN(BQ201:BT201),0))</f>
        <v>0</v>
      </c>
      <c r="BW201" s="11" t="n">
        <f aca="false">IF(ISERROR(ROUND(MEDIAN(BM201:BT201),0)),0,ROUND(MEDIAN(BM201:BT201),0))</f>
        <v>0</v>
      </c>
      <c r="BX201" s="11" t="n">
        <f aca="false">IF(ISERROR(ROUND(MEDIAN(BI201:BT201),0)),0,ROUND(MEDIAN(BI201:BT201),0))</f>
        <v>0</v>
      </c>
      <c r="BY201" s="11" t="n">
        <f aca="false">IF(ISERROR(ROUND(MEDIAN(BE201:BT201),0)),0,ROUND(MEDIAN(BE201:BT201),0))</f>
        <v>0</v>
      </c>
      <c r="BZ201" s="11" t="n">
        <f aca="false">IF(ISERROR(ROUND(MEDIAN(AU201:BT201),0)),0,ROUND(MEDIAN(AU201:BT201),0))</f>
        <v>0</v>
      </c>
      <c r="CA201" s="12" t="n">
        <f aca="false">IF(ISERROR(ROUND(MEDIAN(U201:BT201),0)),0,ROUND(MEDIAN(U201:BT201),0))</f>
        <v>1</v>
      </c>
      <c r="CB201" s="12" t="n">
        <f aca="false">IF(ISERROR(ROUND(MEDIAN(BT201),0)),0,ROUND(MEDIAN(BT201),0))</f>
        <v>0</v>
      </c>
      <c r="CC201" s="12" t="n">
        <f aca="false">IF(ISERROR(ROUND(MEDIAN(D201:BT201),0)),0,ROUND(MEDIAN(D201:BT201),0))</f>
        <v>1</v>
      </c>
      <c r="CD201" s="12" t="n">
        <f aca="false">MAX(D201:BT201)</f>
        <v>1</v>
      </c>
      <c r="CE201" s="7" t="n">
        <f aca="false">COUNTA(BQ201:BT201)</f>
        <v>0</v>
      </c>
      <c r="CF201" s="7" t="n">
        <f aca="false">COUNTA(BM201:BT201)</f>
        <v>0</v>
      </c>
      <c r="CG201" s="7" t="n">
        <f aca="false">COUNTA(BI201:BT201)</f>
        <v>0</v>
      </c>
      <c r="CH201" s="7" t="n">
        <f aca="false">COUNTA(BE201:BT201)</f>
        <v>0</v>
      </c>
      <c r="CI201" s="7" t="n">
        <f aca="false">COUNTA(AU201:BT201)</f>
        <v>0</v>
      </c>
      <c r="CJ201" s="7" t="n">
        <f aca="false">COUNTA(U201:BT201)</f>
        <v>2</v>
      </c>
      <c r="CK201" s="7" t="n">
        <f aca="false">COUNTA(BT201)</f>
        <v>0</v>
      </c>
      <c r="CL201" s="7" t="n">
        <f aca="false">COUNTA(D201:BT201)</f>
        <v>2</v>
      </c>
      <c r="CM201" s="19" t="str">
        <f aca="false">IF(AND(CE201=1,CJ201=1,BT201&lt;&gt;""),"5.ENTRANTES",IF(AND(CE201&lt;&gt;0,CE201/RIGHT($CE$1,1)&gt;=0.5,CJ201=CE201),"4.RECENTES",IF(AND(CF201&lt;&gt;0,CF201/RIGHT($CF$1,1)&gt;=0.5,CJ201=CF201),"4.RECENTES",IF(AND(CG201&lt;&gt;0,CG201/RIGHT($CG$1,2)&gt;=0.5,CJ201=CG201),"4.RECENTES",IF(AND(CH201&lt;&gt;0,CH201/RIGHT($CH$1,2)&gt;=0.5,CJ201=CH201),"4.RECENTES",IF(AND(CI201&lt;&gt;0,CI201/RIGHT($CI$1,2)&gt;=0.5,CJ201=CI201),"4.RECENTES",IF(AND(CE201=0,CF201=0,CG201=0,CH201=0),"3.INATIVOS",IF(CJ201/RIGHT($CJ$1,2)&lt;0.5,"2.INTERMITENTES","1.ORDINÁRIOS"))))))))</f>
        <v>3.INATIVOS</v>
      </c>
      <c r="CN201" s="20" t="n">
        <f aca="false">IF(AND(CE201=1,CJ201=1,BT201&lt;&gt;""),BT201,IF(AND(CE201&lt;&gt;0,CE201/RIGHT($CE$1,1)&gt;=0.5,CJ201=CE201),MAX(BV201:CC201),IF(AND(CF201&lt;&gt;0,CF201/RIGHT($CF$1,1)&gt;=0.5,CJ201=CF201),MAX(BV201:CC201),IF(AND(CG201&lt;&gt;0,CG201/RIGHT($CG$1,2)&gt;=0.5,CJ201=CG201),MAX(BV201:CC201),IF(AND(CH201&lt;&gt;0,CH201/RIGHT($CH$1,2)&gt;=0.5,CJ201=CH201),MAX(BV201:CC201),IF(AND(CI201&lt;&gt;0,CI201/RIGHT($CI$1,2)&gt;=0.5,CJ201=CI201),MAX(BV201:CC201),IF(AND(CE201=0,CF201=0,CG201=0,CH201=0),0,IF(CJ201/RIGHT($CJ$1,2)&lt;0.5,ROUND(BU201/RIGHT($CJ$1,2),0),MAX(BV201:CC201)))))))))</f>
        <v>0</v>
      </c>
      <c r="CO201" s="20" t="n">
        <f aca="false">CN201*3</f>
        <v>0</v>
      </c>
      <c r="CP201" s="15" t="n">
        <v>0</v>
      </c>
      <c r="CQ201" s="16" t="n">
        <f aca="false">IF((CO201-CP201)&lt;0,0,(CO201-CP201))</f>
        <v>0</v>
      </c>
      <c r="CR201" s="7"/>
    </row>
    <row r="202" customFormat="false" ht="12.75" hidden="false" customHeight="true" outlineLevel="0" collapsed="false">
      <c r="A202" s="7" t="s">
        <v>273</v>
      </c>
      <c r="B202" s="7" t="s">
        <v>298</v>
      </c>
      <c r="C202" s="8" t="n">
        <v>22001013</v>
      </c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 t="n">
        <v>30</v>
      </c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10" t="n">
        <v>30</v>
      </c>
      <c r="BV202" s="11" t="n">
        <f aca="false">IF(ISERROR(ROUND(MEDIAN(BQ202:BT202),0)),0,ROUND(MEDIAN(BQ202:BT202),0))</f>
        <v>0</v>
      </c>
      <c r="BW202" s="11" t="n">
        <f aca="false">IF(ISERROR(ROUND(MEDIAN(BM202:BT202),0)),0,ROUND(MEDIAN(BM202:BT202),0))</f>
        <v>0</v>
      </c>
      <c r="BX202" s="11" t="n">
        <f aca="false">IF(ISERROR(ROUND(MEDIAN(BI202:BT202),0)),0,ROUND(MEDIAN(BI202:BT202),0))</f>
        <v>0</v>
      </c>
      <c r="BY202" s="11" t="n">
        <f aca="false">IF(ISERROR(ROUND(MEDIAN(BE202:BT202),0)),0,ROUND(MEDIAN(BE202:BT202),0))</f>
        <v>0</v>
      </c>
      <c r="BZ202" s="11" t="n">
        <f aca="false">IF(ISERROR(ROUND(MEDIAN(AU202:BT202),0)),0,ROUND(MEDIAN(AU202:BT202),0))</f>
        <v>0</v>
      </c>
      <c r="CA202" s="12" t="n">
        <f aca="false">IF(ISERROR(ROUND(MEDIAN(U202:BT202),0)),0,ROUND(MEDIAN(U202:BT202),0))</f>
        <v>30</v>
      </c>
      <c r="CB202" s="12" t="n">
        <f aca="false">IF(ISERROR(ROUND(MEDIAN(BT202),0)),0,ROUND(MEDIAN(BT202),0))</f>
        <v>0</v>
      </c>
      <c r="CC202" s="12" t="n">
        <f aca="false">IF(ISERROR(ROUND(MEDIAN(D202:BT202),0)),0,ROUND(MEDIAN(D202:BT202),0))</f>
        <v>30</v>
      </c>
      <c r="CD202" s="12" t="n">
        <f aca="false">MAX(D202:BT202)</f>
        <v>30</v>
      </c>
      <c r="CE202" s="7" t="n">
        <f aca="false">COUNTA(BQ202:BT202)</f>
        <v>0</v>
      </c>
      <c r="CF202" s="7" t="n">
        <f aca="false">COUNTA(BM202:BT202)</f>
        <v>0</v>
      </c>
      <c r="CG202" s="7" t="n">
        <f aca="false">COUNTA(BI202:BT202)</f>
        <v>0</v>
      </c>
      <c r="CH202" s="7" t="n">
        <f aca="false">COUNTA(BE202:BT202)</f>
        <v>0</v>
      </c>
      <c r="CI202" s="7" t="n">
        <f aca="false">COUNTA(AU202:BT202)</f>
        <v>0</v>
      </c>
      <c r="CJ202" s="7" t="n">
        <f aca="false">COUNTA(U202:BT202)</f>
        <v>1</v>
      </c>
      <c r="CK202" s="7" t="n">
        <f aca="false">COUNTA(BT202)</f>
        <v>0</v>
      </c>
      <c r="CL202" s="7" t="n">
        <f aca="false">COUNTA(D202:BT202)</f>
        <v>1</v>
      </c>
      <c r="CM202" s="19" t="str">
        <f aca="false">IF(AND(CE202=1,CJ202=1,BT202&lt;&gt;""),"5.ENTRANTES",IF(AND(CE202&lt;&gt;0,CE202/RIGHT($CE$1,1)&gt;=0.5,CJ202=CE202),"4.RECENTES",IF(AND(CF202&lt;&gt;0,CF202/RIGHT($CF$1,1)&gt;=0.5,CJ202=CF202),"4.RECENTES",IF(AND(CG202&lt;&gt;0,CG202/RIGHT($CG$1,2)&gt;=0.5,CJ202=CG202),"4.RECENTES",IF(AND(CH202&lt;&gt;0,CH202/RIGHT($CH$1,2)&gt;=0.5,CJ202=CH202),"4.RECENTES",IF(AND(CI202&lt;&gt;0,CI202/RIGHT($CI$1,2)&gt;=0.5,CJ202=CI202),"4.RECENTES",IF(AND(CE202=0,CF202=0,CG202=0,CH202=0),"3.INATIVOS",IF(CJ202/RIGHT($CJ$1,2)&lt;0.5,"2.INTERMITENTES","1.ORDINÁRIOS"))))))))</f>
        <v>3.INATIVOS</v>
      </c>
      <c r="CN202" s="20" t="n">
        <f aca="false">IF(AND(CE202=1,CJ202=1,BT202&lt;&gt;""),BT202,IF(AND(CE202&lt;&gt;0,CE202/RIGHT($CE$1,1)&gt;=0.5,CJ202=CE202),MAX(BV202:CC202),IF(AND(CF202&lt;&gt;0,CF202/RIGHT($CF$1,1)&gt;=0.5,CJ202=CF202),MAX(BV202:CC202),IF(AND(CG202&lt;&gt;0,CG202/RIGHT($CG$1,2)&gt;=0.5,CJ202=CG202),MAX(BV202:CC202),IF(AND(CH202&lt;&gt;0,CH202/RIGHT($CH$1,2)&gt;=0.5,CJ202=CH202),MAX(BV202:CC202),IF(AND(CI202&lt;&gt;0,CI202/RIGHT($CI$1,2)&gt;=0.5,CJ202=CI202),MAX(BV202:CC202),IF(AND(CE202=0,CF202=0,CG202=0,CH202=0),0,IF(CJ202/RIGHT($CJ$1,2)&lt;0.5,ROUND(BU202/RIGHT($CJ$1,2),0),MAX(BV202:CC202)))))))))</f>
        <v>0</v>
      </c>
      <c r="CO202" s="20" t="n">
        <f aca="false">CN202*3</f>
        <v>0</v>
      </c>
      <c r="CP202" s="15" t="n">
        <v>0</v>
      </c>
      <c r="CQ202" s="16" t="n">
        <f aca="false">IF((CO202-CP202)&lt;0,0,(CO202-CP202))</f>
        <v>0</v>
      </c>
      <c r="CR202" s="7"/>
    </row>
    <row r="203" customFormat="false" ht="12.75" hidden="false" customHeight="true" outlineLevel="0" collapsed="false">
      <c r="A203" s="7" t="s">
        <v>273</v>
      </c>
      <c r="B203" s="7" t="s">
        <v>299</v>
      </c>
      <c r="C203" s="8" t="n">
        <v>230001016</v>
      </c>
      <c r="D203" s="9"/>
      <c r="E203" s="9"/>
      <c r="F203" s="9"/>
      <c r="G203" s="9"/>
      <c r="H203" s="9"/>
      <c r="I203" s="9"/>
      <c r="J203" s="9"/>
      <c r="K203" s="9"/>
      <c r="L203" s="9" t="n">
        <v>30</v>
      </c>
      <c r="M203" s="9"/>
      <c r="N203" s="9"/>
      <c r="O203" s="9"/>
      <c r="P203" s="9"/>
      <c r="Q203" s="9"/>
      <c r="R203" s="9"/>
      <c r="S203" s="9" t="n">
        <v>150</v>
      </c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10" t="n">
        <v>180</v>
      </c>
      <c r="BV203" s="11" t="n">
        <f aca="false">IF(ISERROR(ROUND(MEDIAN(BQ203:BT203),0)),0,ROUND(MEDIAN(BQ203:BT203),0))</f>
        <v>0</v>
      </c>
      <c r="BW203" s="11" t="n">
        <f aca="false">IF(ISERROR(ROUND(MEDIAN(BM203:BT203),0)),0,ROUND(MEDIAN(BM203:BT203),0))</f>
        <v>0</v>
      </c>
      <c r="BX203" s="11" t="n">
        <f aca="false">IF(ISERROR(ROUND(MEDIAN(BI203:BT203),0)),0,ROUND(MEDIAN(BI203:BT203),0))</f>
        <v>0</v>
      </c>
      <c r="BY203" s="11" t="n">
        <f aca="false">IF(ISERROR(ROUND(MEDIAN(BE203:BT203),0)),0,ROUND(MEDIAN(BE203:BT203),0))</f>
        <v>0</v>
      </c>
      <c r="BZ203" s="11" t="n">
        <f aca="false">IF(ISERROR(ROUND(MEDIAN(AU203:BT203),0)),0,ROUND(MEDIAN(AU203:BT203),0))</f>
        <v>0</v>
      </c>
      <c r="CA203" s="12" t="n">
        <f aca="false">IF(ISERROR(ROUND(MEDIAN(U203:BT203),0)),0,ROUND(MEDIAN(U203:BT203),0))</f>
        <v>0</v>
      </c>
      <c r="CB203" s="12" t="n">
        <f aca="false">IF(ISERROR(ROUND(MEDIAN(BT203),0)),0,ROUND(MEDIAN(BT203),0))</f>
        <v>0</v>
      </c>
      <c r="CC203" s="12" t="n">
        <f aca="false">IF(ISERROR(ROUND(MEDIAN(D203:BT203),0)),0,ROUND(MEDIAN(D203:BT203),0))</f>
        <v>90</v>
      </c>
      <c r="CD203" s="12" t="n">
        <f aca="false">MAX(D203:BT203)</f>
        <v>150</v>
      </c>
      <c r="CE203" s="7" t="n">
        <f aca="false">COUNTA(BQ203:BT203)</f>
        <v>0</v>
      </c>
      <c r="CF203" s="7" t="n">
        <f aca="false">COUNTA(BM203:BT203)</f>
        <v>0</v>
      </c>
      <c r="CG203" s="7" t="n">
        <f aca="false">COUNTA(BI203:BT203)</f>
        <v>0</v>
      </c>
      <c r="CH203" s="7" t="n">
        <f aca="false">COUNTA(BE203:BT203)</f>
        <v>0</v>
      </c>
      <c r="CI203" s="7" t="n">
        <f aca="false">COUNTA(AU203:BT203)</f>
        <v>0</v>
      </c>
      <c r="CJ203" s="7" t="n">
        <f aca="false">COUNTA(U203:BT203)</f>
        <v>0</v>
      </c>
      <c r="CK203" s="7" t="n">
        <f aca="false">COUNTA(BT203)</f>
        <v>0</v>
      </c>
      <c r="CL203" s="7" t="n">
        <f aca="false">COUNTA(D203:BT203)</f>
        <v>2</v>
      </c>
      <c r="CM203" s="19" t="str">
        <f aca="false">IF(AND(CE203=1,CJ203=1,BT203&lt;&gt;""),"5.ENTRANTES",IF(AND(CE203&lt;&gt;0,CE203/RIGHT($CE$1,1)&gt;=0.5,CJ203=CE203),"4.RECENTES",IF(AND(CF203&lt;&gt;0,CF203/RIGHT($CF$1,1)&gt;=0.5,CJ203=CF203),"4.RECENTES",IF(AND(CG203&lt;&gt;0,CG203/RIGHT($CG$1,2)&gt;=0.5,CJ203=CG203),"4.RECENTES",IF(AND(CH203&lt;&gt;0,CH203/RIGHT($CH$1,2)&gt;=0.5,CJ203=CH203),"4.RECENTES",IF(AND(CI203&lt;&gt;0,CI203/RIGHT($CI$1,2)&gt;=0.5,CJ203=CI203),"4.RECENTES",IF(AND(CE203=0,CF203=0,CG203=0,CH203=0),"3.INATIVOS",IF(CJ203/RIGHT($CJ$1,2)&lt;0.5,"2.INTERMITENTES","1.ORDINÁRIOS"))))))))</f>
        <v>3.INATIVOS</v>
      </c>
      <c r="CN203" s="20" t="n">
        <f aca="false">IF(AND(CE203=1,CJ203=1,BT203&lt;&gt;""),BT203,IF(AND(CE203&lt;&gt;0,CE203/RIGHT($CE$1,1)&gt;=0.5,CJ203=CE203),MAX(BV203:CC203),IF(AND(CF203&lt;&gt;0,CF203/RIGHT($CF$1,1)&gt;=0.5,CJ203=CF203),MAX(BV203:CC203),IF(AND(CG203&lt;&gt;0,CG203/RIGHT($CG$1,2)&gt;=0.5,CJ203=CG203),MAX(BV203:CC203),IF(AND(CH203&lt;&gt;0,CH203/RIGHT($CH$1,2)&gt;=0.5,CJ203=CH203),MAX(BV203:CC203),IF(AND(CI203&lt;&gt;0,CI203/RIGHT($CI$1,2)&gt;=0.5,CJ203=CI203),MAX(BV203:CC203),IF(AND(CE203=0,CF203=0,CG203=0,CH203=0),0,IF(CJ203/RIGHT($CJ$1,2)&lt;0.5,ROUND(BU203/RIGHT($CJ$1,2),0),MAX(BV203:CC203)))))))))</f>
        <v>0</v>
      </c>
      <c r="CO203" s="20" t="n">
        <f aca="false">CN203*3</f>
        <v>0</v>
      </c>
      <c r="CP203" s="15" t="n">
        <v>0</v>
      </c>
      <c r="CQ203" s="16" t="n">
        <f aca="false">IF((CO203-CP203)&lt;0,0,(CO203-CP203))</f>
        <v>0</v>
      </c>
      <c r="CR203" s="7"/>
    </row>
    <row r="204" customFormat="false" ht="12.75" hidden="false" customHeight="true" outlineLevel="0" collapsed="false">
      <c r="A204" s="7" t="s">
        <v>273</v>
      </c>
      <c r="B204" s="7" t="s">
        <v>300</v>
      </c>
      <c r="C204" s="8" t="n">
        <v>228001004</v>
      </c>
      <c r="D204" s="9"/>
      <c r="E204" s="9"/>
      <c r="F204" s="9"/>
      <c r="G204" s="9"/>
      <c r="H204" s="9" t="n">
        <v>30</v>
      </c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 t="n">
        <v>30</v>
      </c>
      <c r="U204" s="9"/>
      <c r="V204" s="9"/>
      <c r="W204" s="9"/>
      <c r="X204" s="9"/>
      <c r="Y204" s="9"/>
      <c r="Z204" s="9" t="n">
        <v>30</v>
      </c>
      <c r="AA204" s="9"/>
      <c r="AB204" s="9"/>
      <c r="AC204" s="9"/>
      <c r="AD204" s="9" t="n">
        <v>30</v>
      </c>
      <c r="AE204" s="9"/>
      <c r="AF204" s="9"/>
      <c r="AG204" s="9"/>
      <c r="AH204" s="9"/>
      <c r="AI204" s="9"/>
      <c r="AJ204" s="9"/>
      <c r="AK204" s="9"/>
      <c r="AL204" s="9"/>
      <c r="AM204" s="9" t="n">
        <v>30</v>
      </c>
      <c r="AN204" s="9"/>
      <c r="AO204" s="9"/>
      <c r="AP204" s="9"/>
      <c r="AQ204" s="9"/>
      <c r="AR204" s="9" t="n">
        <v>30</v>
      </c>
      <c r="AS204" s="9"/>
      <c r="AT204" s="9"/>
      <c r="AU204" s="9"/>
      <c r="AV204" s="9" t="n">
        <v>30</v>
      </c>
      <c r="AW204" s="9"/>
      <c r="AX204" s="9"/>
      <c r="AY204" s="9"/>
      <c r="AZ204" s="9"/>
      <c r="BA204" s="9"/>
      <c r="BB204" s="9"/>
      <c r="BC204" s="9"/>
      <c r="BD204" s="9"/>
      <c r="BE204" s="9" t="n">
        <v>30</v>
      </c>
      <c r="BF204" s="9"/>
      <c r="BG204" s="9"/>
      <c r="BH204" s="9"/>
      <c r="BI204" s="9" t="n">
        <v>30</v>
      </c>
      <c r="BJ204" s="9"/>
      <c r="BK204" s="9"/>
      <c r="BL204" s="9"/>
      <c r="BM204" s="9"/>
      <c r="BN204" s="9"/>
      <c r="BO204" s="9"/>
      <c r="BP204" s="9"/>
      <c r="BQ204" s="9"/>
      <c r="BR204" s="9"/>
      <c r="BS204" s="9"/>
      <c r="BT204" s="9"/>
      <c r="BU204" s="10" t="n">
        <v>270</v>
      </c>
      <c r="BV204" s="11" t="n">
        <f aca="false">IF(ISERROR(ROUND(MEDIAN(BQ204:BT204),0)),0,ROUND(MEDIAN(BQ204:BT204),0))</f>
        <v>0</v>
      </c>
      <c r="BW204" s="11" t="n">
        <f aca="false">IF(ISERROR(ROUND(MEDIAN(BM204:BT204),0)),0,ROUND(MEDIAN(BM204:BT204),0))</f>
        <v>0</v>
      </c>
      <c r="BX204" s="11" t="n">
        <f aca="false">IF(ISERROR(ROUND(MEDIAN(BI204:BT204),0)),0,ROUND(MEDIAN(BI204:BT204),0))</f>
        <v>30</v>
      </c>
      <c r="BY204" s="11" t="n">
        <f aca="false">IF(ISERROR(ROUND(MEDIAN(BE204:BT204),0)),0,ROUND(MEDIAN(BE204:BT204),0))</f>
        <v>30</v>
      </c>
      <c r="BZ204" s="11" t="n">
        <f aca="false">IF(ISERROR(ROUND(MEDIAN(AU204:BT204),0)),0,ROUND(MEDIAN(AU204:BT204),0))</f>
        <v>30</v>
      </c>
      <c r="CA204" s="12" t="n">
        <f aca="false">IF(ISERROR(ROUND(MEDIAN(U204:BT204),0)),0,ROUND(MEDIAN(U204:BT204),0))</f>
        <v>30</v>
      </c>
      <c r="CB204" s="12" t="n">
        <f aca="false">IF(ISERROR(ROUND(MEDIAN(BT204),0)),0,ROUND(MEDIAN(BT204),0))</f>
        <v>0</v>
      </c>
      <c r="CC204" s="12" t="n">
        <f aca="false">IF(ISERROR(ROUND(MEDIAN(D204:BT204),0)),0,ROUND(MEDIAN(D204:BT204),0))</f>
        <v>30</v>
      </c>
      <c r="CD204" s="12" t="n">
        <f aca="false">MAX(D204:BT204)</f>
        <v>30</v>
      </c>
      <c r="CE204" s="7" t="n">
        <f aca="false">COUNTA(BQ204:BT204)</f>
        <v>0</v>
      </c>
      <c r="CF204" s="7" t="n">
        <f aca="false">COUNTA(BM204:BT204)</f>
        <v>0</v>
      </c>
      <c r="CG204" s="7" t="n">
        <f aca="false">COUNTA(BI204:BT204)</f>
        <v>1</v>
      </c>
      <c r="CH204" s="7" t="n">
        <f aca="false">COUNTA(BE204:BT204)</f>
        <v>2</v>
      </c>
      <c r="CI204" s="7" t="n">
        <f aca="false">COUNTA(AU204:BT204)</f>
        <v>3</v>
      </c>
      <c r="CJ204" s="7" t="n">
        <f aca="false">COUNTA(U204:BT204)</f>
        <v>7</v>
      </c>
      <c r="CK204" s="7" t="n">
        <f aca="false">COUNTA(BT204)</f>
        <v>0</v>
      </c>
      <c r="CL204" s="7" t="n">
        <f aca="false">COUNTA(D204:BT204)</f>
        <v>9</v>
      </c>
      <c r="CM204" s="17" t="str">
        <f aca="false">IF(AND(CE204=1,CJ204=1,BT204&lt;&gt;""),"5.ENTRANTES",IF(AND(CE204&lt;&gt;0,CE204/RIGHT($CE$1,1)&gt;=0.5,CJ204=CE204),"4.RECENTES",IF(AND(CF204&lt;&gt;0,CF204/RIGHT($CF$1,1)&gt;=0.5,CJ204=CF204),"4.RECENTES",IF(AND(CG204&lt;&gt;0,CG204/RIGHT($CG$1,2)&gt;=0.5,CJ204=CG204),"4.RECENTES",IF(AND(CH204&lt;&gt;0,CH204/RIGHT($CH$1,2)&gt;=0.5,CJ204=CH204),"4.RECENTES",IF(AND(CI204&lt;&gt;0,CI204/RIGHT($CI$1,2)&gt;=0.5,CJ204=CI204),"4.RECENTES",IF(AND(CE204=0,CF204=0,CG204=0,CH204=0),"3.INATIVOS",IF(CJ204/RIGHT($CJ$1,2)&lt;0.5,"2.INTERMITENTES","1.ORDINÁRIOS"))))))))</f>
        <v>2.INTERMITENTES</v>
      </c>
      <c r="CN204" s="18" t="n">
        <f aca="false">IF(AND(CE204=1,CJ204=1,BT204&lt;&gt;""),BT204,IF(AND(CE204&lt;&gt;0,CE204/RIGHT($CE$1,1)&gt;=0.5,CJ204=CE204),MAX(BV204:CC204),IF(AND(CF204&lt;&gt;0,CF204/RIGHT($CF$1,1)&gt;=0.5,CJ204=CF204),MAX(BV204:CC204),IF(AND(CG204&lt;&gt;0,CG204/RIGHT($CG$1,2)&gt;=0.5,CJ204=CG204),MAX(BV204:CC204),IF(AND(CH204&lt;&gt;0,CH204/RIGHT($CH$1,2)&gt;=0.5,CJ204=CH204),MAX(BV204:CC204),IF(AND(CI204&lt;&gt;0,CI204/RIGHT($CI$1,2)&gt;=0.5,CJ204=CI204),MAX(BV204:CC204),IF(AND(CE204=0,CF204=0,CG204=0,CH204=0),0,IF(CJ204/RIGHT($CJ$1,2)&lt;0.5,ROUND(BU204/RIGHT($CJ$1,2),0),MAX(BV204:CC204)))))))))</f>
        <v>5</v>
      </c>
      <c r="CO204" s="18" t="n">
        <f aca="false">CD204</f>
        <v>30</v>
      </c>
      <c r="CP204" s="15" t="n">
        <v>60</v>
      </c>
      <c r="CQ204" s="16" t="n">
        <f aca="false">IF((CO204-CP204)&lt;0,0,(CO204-CP204))</f>
        <v>0</v>
      </c>
      <c r="CR204" s="7"/>
    </row>
    <row r="205" customFormat="false" ht="12.75" hidden="false" customHeight="true" outlineLevel="0" collapsed="false">
      <c r="A205" s="7" t="s">
        <v>273</v>
      </c>
      <c r="B205" s="7" t="s">
        <v>301</v>
      </c>
      <c r="C205" s="8" t="n">
        <v>3000018</v>
      </c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 t="n">
        <v>30</v>
      </c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9"/>
      <c r="BE205" s="9"/>
      <c r="BF205" s="9"/>
      <c r="BG205" s="9"/>
      <c r="BH205" s="9"/>
      <c r="BI205" s="9"/>
      <c r="BJ205" s="9"/>
      <c r="BK205" s="9"/>
      <c r="BL205" s="9"/>
      <c r="BM205" s="9"/>
      <c r="BN205" s="9"/>
      <c r="BO205" s="9"/>
      <c r="BP205" s="9"/>
      <c r="BQ205" s="9"/>
      <c r="BR205" s="9"/>
      <c r="BS205" s="9"/>
      <c r="BT205" s="9"/>
      <c r="BU205" s="10" t="n">
        <v>30</v>
      </c>
      <c r="BV205" s="11" t="n">
        <f aca="false">IF(ISERROR(ROUND(MEDIAN(BQ205:BT205),0)),0,ROUND(MEDIAN(BQ205:BT205),0))</f>
        <v>0</v>
      </c>
      <c r="BW205" s="11" t="n">
        <f aca="false">IF(ISERROR(ROUND(MEDIAN(BM205:BT205),0)),0,ROUND(MEDIAN(BM205:BT205),0))</f>
        <v>0</v>
      </c>
      <c r="BX205" s="11" t="n">
        <f aca="false">IF(ISERROR(ROUND(MEDIAN(BI205:BT205),0)),0,ROUND(MEDIAN(BI205:BT205),0))</f>
        <v>0</v>
      </c>
      <c r="BY205" s="11" t="n">
        <f aca="false">IF(ISERROR(ROUND(MEDIAN(BE205:BT205),0)),0,ROUND(MEDIAN(BE205:BT205),0))</f>
        <v>0</v>
      </c>
      <c r="BZ205" s="11" t="n">
        <f aca="false">IF(ISERROR(ROUND(MEDIAN(AU205:BT205),0)),0,ROUND(MEDIAN(AU205:BT205),0))</f>
        <v>0</v>
      </c>
      <c r="CA205" s="12" t="n">
        <f aca="false">IF(ISERROR(ROUND(MEDIAN(U205:BT205),0)),0,ROUND(MEDIAN(U205:BT205),0))</f>
        <v>30</v>
      </c>
      <c r="CB205" s="12" t="n">
        <f aca="false">IF(ISERROR(ROUND(MEDIAN(BT205),0)),0,ROUND(MEDIAN(BT205),0))</f>
        <v>0</v>
      </c>
      <c r="CC205" s="12" t="n">
        <f aca="false">IF(ISERROR(ROUND(MEDIAN(D205:BT205),0)),0,ROUND(MEDIAN(D205:BT205),0))</f>
        <v>30</v>
      </c>
      <c r="CD205" s="12" t="n">
        <f aca="false">MAX(D205:BT205)</f>
        <v>30</v>
      </c>
      <c r="CE205" s="7" t="n">
        <f aca="false">COUNTA(BQ205:BT205)</f>
        <v>0</v>
      </c>
      <c r="CF205" s="7" t="n">
        <f aca="false">COUNTA(BM205:BT205)</f>
        <v>0</v>
      </c>
      <c r="CG205" s="7" t="n">
        <f aca="false">COUNTA(BI205:BT205)</f>
        <v>0</v>
      </c>
      <c r="CH205" s="7" t="n">
        <f aca="false">COUNTA(BE205:BT205)</f>
        <v>0</v>
      </c>
      <c r="CI205" s="7" t="n">
        <f aca="false">COUNTA(AU205:BT205)</f>
        <v>0</v>
      </c>
      <c r="CJ205" s="7" t="n">
        <f aca="false">COUNTA(U205:BT205)</f>
        <v>1</v>
      </c>
      <c r="CK205" s="7" t="n">
        <f aca="false">COUNTA(BT205)</f>
        <v>0</v>
      </c>
      <c r="CL205" s="7" t="n">
        <f aca="false">COUNTA(D205:BT205)</f>
        <v>1</v>
      </c>
      <c r="CM205" s="19" t="str">
        <f aca="false">IF(AND(CE205=1,CJ205=1,BT205&lt;&gt;""),"5.ENTRANTES",IF(AND(CE205&lt;&gt;0,CE205/RIGHT($CE$1,1)&gt;=0.5,CJ205=CE205),"4.RECENTES",IF(AND(CF205&lt;&gt;0,CF205/RIGHT($CF$1,1)&gt;=0.5,CJ205=CF205),"4.RECENTES",IF(AND(CG205&lt;&gt;0,CG205/RIGHT($CG$1,2)&gt;=0.5,CJ205=CG205),"4.RECENTES",IF(AND(CH205&lt;&gt;0,CH205/RIGHT($CH$1,2)&gt;=0.5,CJ205=CH205),"4.RECENTES",IF(AND(CI205&lt;&gt;0,CI205/RIGHT($CI$1,2)&gt;=0.5,CJ205=CI205),"4.RECENTES",IF(AND(CE205=0,CF205=0,CG205=0,CH205=0),"3.INATIVOS",IF(CJ205/RIGHT($CJ$1,2)&lt;0.5,"2.INTERMITENTES","1.ORDINÁRIOS"))))))))</f>
        <v>3.INATIVOS</v>
      </c>
      <c r="CN205" s="20" t="n">
        <f aca="false">IF(AND(CE205=1,CJ205=1,BT205&lt;&gt;""),BT205,IF(AND(CE205&lt;&gt;0,CE205/RIGHT($CE$1,1)&gt;=0.5,CJ205=CE205),MAX(BV205:CC205),IF(AND(CF205&lt;&gt;0,CF205/RIGHT($CF$1,1)&gt;=0.5,CJ205=CF205),MAX(BV205:CC205),IF(AND(CG205&lt;&gt;0,CG205/RIGHT($CG$1,2)&gt;=0.5,CJ205=CG205),MAX(BV205:CC205),IF(AND(CH205&lt;&gt;0,CH205/RIGHT($CH$1,2)&gt;=0.5,CJ205=CH205),MAX(BV205:CC205),IF(AND(CI205&lt;&gt;0,CI205/RIGHT($CI$1,2)&gt;=0.5,CJ205=CI205),MAX(BV205:CC205),IF(AND(CE205=0,CF205=0,CG205=0,CH205=0),0,IF(CJ205/RIGHT($CJ$1,2)&lt;0.5,ROUND(BU205/RIGHT($CJ$1,2),0),MAX(BV205:CC205)))))))))</f>
        <v>0</v>
      </c>
      <c r="CO205" s="20" t="n">
        <f aca="false">CN205*3</f>
        <v>0</v>
      </c>
      <c r="CP205" s="15" t="n">
        <v>0</v>
      </c>
      <c r="CQ205" s="16" t="n">
        <f aca="false">IF((CO205-CP205)&lt;0,0,(CO205-CP205))</f>
        <v>0</v>
      </c>
      <c r="CR205" s="7"/>
    </row>
    <row r="206" customFormat="false" ht="12.75" hidden="false" customHeight="true" outlineLevel="0" collapsed="false">
      <c r="A206" s="7" t="s">
        <v>273</v>
      </c>
      <c r="B206" s="7" t="s">
        <v>302</v>
      </c>
      <c r="C206" s="8" t="n">
        <v>230001003</v>
      </c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 t="n">
        <v>1</v>
      </c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 t="n">
        <v>4</v>
      </c>
      <c r="AD206" s="9"/>
      <c r="AE206" s="9" t="n">
        <v>8</v>
      </c>
      <c r="AF206" s="9" t="n">
        <v>8</v>
      </c>
      <c r="AG206" s="9" t="n">
        <v>13</v>
      </c>
      <c r="AH206" s="9" t="n">
        <v>7</v>
      </c>
      <c r="AI206" s="9" t="n">
        <v>8</v>
      </c>
      <c r="AJ206" s="9" t="n">
        <v>6</v>
      </c>
      <c r="AK206" s="9" t="n">
        <v>14</v>
      </c>
      <c r="AL206" s="9" t="n">
        <v>2</v>
      </c>
      <c r="AM206" s="9" t="n">
        <v>8</v>
      </c>
      <c r="AN206" s="9" t="n">
        <v>2</v>
      </c>
      <c r="AO206" s="9" t="n">
        <v>10</v>
      </c>
      <c r="AP206" s="9" t="n">
        <v>9</v>
      </c>
      <c r="AQ206" s="9" t="n">
        <v>2</v>
      </c>
      <c r="AR206" s="9" t="n">
        <v>14</v>
      </c>
      <c r="AS206" s="9" t="n">
        <v>7</v>
      </c>
      <c r="AT206" s="9" t="n">
        <v>5</v>
      </c>
      <c r="AU206" s="9" t="n">
        <v>9</v>
      </c>
      <c r="AV206" s="9" t="n">
        <v>4</v>
      </c>
      <c r="AW206" s="9" t="n">
        <v>9</v>
      </c>
      <c r="AX206" s="9" t="n">
        <v>8</v>
      </c>
      <c r="AY206" s="9" t="n">
        <v>7</v>
      </c>
      <c r="AZ206" s="9" t="n">
        <v>8</v>
      </c>
      <c r="BA206" s="9" t="n">
        <v>11</v>
      </c>
      <c r="BB206" s="9" t="n">
        <v>4</v>
      </c>
      <c r="BC206" s="9" t="n">
        <v>11</v>
      </c>
      <c r="BD206" s="9" t="n">
        <v>6</v>
      </c>
      <c r="BE206" s="9" t="n">
        <v>6</v>
      </c>
      <c r="BF206" s="9" t="n">
        <v>8</v>
      </c>
      <c r="BG206" s="9" t="n">
        <v>4</v>
      </c>
      <c r="BH206" s="9" t="n">
        <v>13</v>
      </c>
      <c r="BI206" s="9" t="n">
        <v>6</v>
      </c>
      <c r="BJ206" s="9" t="n">
        <v>10</v>
      </c>
      <c r="BK206" s="9" t="n">
        <v>4</v>
      </c>
      <c r="BL206" s="9" t="n">
        <v>12</v>
      </c>
      <c r="BM206" s="9" t="n">
        <v>6</v>
      </c>
      <c r="BN206" s="9" t="n">
        <v>8</v>
      </c>
      <c r="BO206" s="9" t="n">
        <v>14</v>
      </c>
      <c r="BP206" s="9" t="n">
        <v>13</v>
      </c>
      <c r="BQ206" s="9" t="n">
        <v>8</v>
      </c>
      <c r="BR206" s="9" t="n">
        <v>10</v>
      </c>
      <c r="BS206" s="9" t="n">
        <v>5</v>
      </c>
      <c r="BT206" s="9" t="n">
        <v>6</v>
      </c>
      <c r="BU206" s="10" t="n">
        <v>338</v>
      </c>
      <c r="BV206" s="11" t="n">
        <f aca="false">IF(ISERROR(ROUND(MEDIAN(BQ206:BT206),0)),0,ROUND(MEDIAN(BQ206:BT206),0))</f>
        <v>7</v>
      </c>
      <c r="BW206" s="11" t="n">
        <f aca="false">IF(ISERROR(ROUND(MEDIAN(BM206:BT206),0)),0,ROUND(MEDIAN(BM206:BT206),0))</f>
        <v>8</v>
      </c>
      <c r="BX206" s="11" t="n">
        <f aca="false">IF(ISERROR(ROUND(MEDIAN(BI206:BT206),0)),0,ROUND(MEDIAN(BI206:BT206),0))</f>
        <v>8</v>
      </c>
      <c r="BY206" s="11" t="n">
        <f aca="false">IF(ISERROR(ROUND(MEDIAN(BE206:BT206),0)),0,ROUND(MEDIAN(BE206:BT206),0))</f>
        <v>8</v>
      </c>
      <c r="BZ206" s="11" t="n">
        <f aca="false">IF(ISERROR(ROUND(MEDIAN(AU206:BT206),0)),0,ROUND(MEDIAN(AU206:BT206),0))</f>
        <v>8</v>
      </c>
      <c r="CA206" s="12" t="n">
        <f aca="false">IF(ISERROR(ROUND(MEDIAN(U206:BT206),0)),0,ROUND(MEDIAN(U206:BT206),0))</f>
        <v>8</v>
      </c>
      <c r="CB206" s="12" t="n">
        <f aca="false">IF(ISERROR(ROUND(MEDIAN(BT206),0)),0,ROUND(MEDIAN(BT206),0))</f>
        <v>6</v>
      </c>
      <c r="CC206" s="12" t="n">
        <f aca="false">IF(ISERROR(ROUND(MEDIAN(D206:BT206),0)),0,ROUND(MEDIAN(D206:BT206),0))</f>
        <v>8</v>
      </c>
      <c r="CD206" s="12" t="n">
        <f aca="false">MAX(D206:BT206)</f>
        <v>14</v>
      </c>
      <c r="CE206" s="7" t="n">
        <f aca="false">COUNTA(BQ206:BT206)</f>
        <v>4</v>
      </c>
      <c r="CF206" s="7" t="n">
        <f aca="false">COUNTA(BM206:BT206)</f>
        <v>8</v>
      </c>
      <c r="CG206" s="7" t="n">
        <f aca="false">COUNTA(BI206:BT206)</f>
        <v>12</v>
      </c>
      <c r="CH206" s="7" t="n">
        <f aca="false">COUNTA(BE206:BT206)</f>
        <v>16</v>
      </c>
      <c r="CI206" s="7" t="n">
        <f aca="false">COUNTA(AU206:BT206)</f>
        <v>26</v>
      </c>
      <c r="CJ206" s="7" t="n">
        <f aca="false">COUNTA(U206:BT206)</f>
        <v>43</v>
      </c>
      <c r="CK206" s="7" t="n">
        <f aca="false">COUNTA(BT206)</f>
        <v>1</v>
      </c>
      <c r="CL206" s="7" t="n">
        <f aca="false">COUNTA(D206:BT206)</f>
        <v>44</v>
      </c>
      <c r="CM206" s="13" t="str">
        <f aca="false">IF(AND(CE206=1,CJ206=1,BT206&lt;&gt;""),"5.ENTRANTES",IF(AND(CE206&lt;&gt;0,CE206/RIGHT($CE$1,1)&gt;=0.5,CJ206=CE206),"4.RECENTES",IF(AND(CF206&lt;&gt;0,CF206/RIGHT($CF$1,1)&gt;=0.5,CJ206=CF206),"4.RECENTES",IF(AND(CG206&lt;&gt;0,CG206/RIGHT($CG$1,2)&gt;=0.5,CJ206=CG206),"4.RECENTES",IF(AND(CH206&lt;&gt;0,CH206/RIGHT($CH$1,2)&gt;=0.5,CJ206=CH206),"4.RECENTES",IF(AND(CI206&lt;&gt;0,CI206/RIGHT($CI$1,2)&gt;=0.5,CJ206=CI206),"4.RECENTES",IF(AND(CE206=0,CF206=0,CG206=0,CH206=0),"3.INATIVOS",IF(CJ206/RIGHT($CJ$1,2)&lt;0.5,"2.INTERMITENTES","1.ORDINÁRIOS"))))))))</f>
        <v>1.ORDINÁRIOS</v>
      </c>
      <c r="CN206" s="14" t="n">
        <f aca="false">IF(AND(CE206=1,CJ206=1,BT206&lt;&gt;""),BT206,IF(AND(CE206&lt;&gt;0,CE206/RIGHT($CE$1,1)&gt;=0.5,CJ206=CE206),MAX(BV206:CC206),IF(AND(CF206&lt;&gt;0,CF206/RIGHT($CF$1,1)&gt;=0.5,CJ206=CF206),MAX(BV206:CC206),IF(AND(CG206&lt;&gt;0,CG206/RIGHT($CG$1,2)&gt;=0.5,CJ206=CG206),MAX(BV206:CC206),IF(AND(CH206&lt;&gt;0,CH206/RIGHT($CH$1,2)&gt;=0.5,CJ206=CH206),MAX(BV206:CC206),IF(AND(CI206&lt;&gt;0,CI206/RIGHT($CI$1,2)&gt;=0.5,CJ206=CI206),MAX(BV206:CC206),IF(AND(CE206=0,CF206=0,CG206=0,CH206=0),0,IF(CJ206/RIGHT($CJ$1,2)&lt;0.5,ROUND(BU206/RIGHT($CJ$1,2),0),MAX(BV206:CC206)))))))))</f>
        <v>8</v>
      </c>
      <c r="CO206" s="14" t="n">
        <f aca="false">CN206*3</f>
        <v>24</v>
      </c>
      <c r="CP206" s="15" t="n">
        <v>3</v>
      </c>
      <c r="CQ206" s="16" t="n">
        <f aca="false">IF((CO206-CP206)&lt;0,0,(CO206-CP206))</f>
        <v>21</v>
      </c>
      <c r="CR206" s="7"/>
    </row>
    <row r="207" customFormat="false" ht="12.75" hidden="false" customHeight="true" outlineLevel="0" collapsed="false">
      <c r="A207" s="7" t="s">
        <v>273</v>
      </c>
      <c r="B207" s="7" t="s">
        <v>303</v>
      </c>
      <c r="C207" s="8" t="n">
        <v>306002004</v>
      </c>
      <c r="D207" s="9"/>
      <c r="E207" s="9"/>
      <c r="F207" s="9"/>
      <c r="G207" s="9"/>
      <c r="H207" s="9"/>
      <c r="I207" s="9"/>
      <c r="J207" s="9"/>
      <c r="K207" s="9"/>
      <c r="L207" s="9" t="n">
        <v>10</v>
      </c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/>
      <c r="BD207" s="9"/>
      <c r="BE207" s="9"/>
      <c r="BF207" s="9"/>
      <c r="BG207" s="9"/>
      <c r="BH207" s="9"/>
      <c r="BI207" s="9"/>
      <c r="BJ207" s="9"/>
      <c r="BK207" s="9"/>
      <c r="BL207" s="9"/>
      <c r="BM207" s="9"/>
      <c r="BN207" s="9"/>
      <c r="BO207" s="9"/>
      <c r="BP207" s="9"/>
      <c r="BQ207" s="9"/>
      <c r="BR207" s="9"/>
      <c r="BS207" s="9"/>
      <c r="BT207" s="9"/>
      <c r="BU207" s="10" t="n">
        <v>10</v>
      </c>
      <c r="BV207" s="11" t="n">
        <f aca="false">IF(ISERROR(ROUND(MEDIAN(BQ207:BT207),0)),0,ROUND(MEDIAN(BQ207:BT207),0))</f>
        <v>0</v>
      </c>
      <c r="BW207" s="11" t="n">
        <f aca="false">IF(ISERROR(ROUND(MEDIAN(BM207:BT207),0)),0,ROUND(MEDIAN(BM207:BT207),0))</f>
        <v>0</v>
      </c>
      <c r="BX207" s="11" t="n">
        <f aca="false">IF(ISERROR(ROUND(MEDIAN(BI207:BT207),0)),0,ROUND(MEDIAN(BI207:BT207),0))</f>
        <v>0</v>
      </c>
      <c r="BY207" s="11" t="n">
        <f aca="false">IF(ISERROR(ROUND(MEDIAN(BE207:BT207),0)),0,ROUND(MEDIAN(BE207:BT207),0))</f>
        <v>0</v>
      </c>
      <c r="BZ207" s="11" t="n">
        <f aca="false">IF(ISERROR(ROUND(MEDIAN(AU207:BT207),0)),0,ROUND(MEDIAN(AU207:BT207),0))</f>
        <v>0</v>
      </c>
      <c r="CA207" s="12" t="n">
        <f aca="false">IF(ISERROR(ROUND(MEDIAN(U207:BT207),0)),0,ROUND(MEDIAN(U207:BT207),0))</f>
        <v>0</v>
      </c>
      <c r="CB207" s="12" t="n">
        <f aca="false">IF(ISERROR(ROUND(MEDIAN(BT207),0)),0,ROUND(MEDIAN(BT207),0))</f>
        <v>0</v>
      </c>
      <c r="CC207" s="12" t="n">
        <f aca="false">IF(ISERROR(ROUND(MEDIAN(D207:BT207),0)),0,ROUND(MEDIAN(D207:BT207),0))</f>
        <v>10</v>
      </c>
      <c r="CD207" s="12" t="n">
        <f aca="false">MAX(D207:BT207)</f>
        <v>10</v>
      </c>
      <c r="CE207" s="7" t="n">
        <f aca="false">COUNTA(BQ207:BT207)</f>
        <v>0</v>
      </c>
      <c r="CF207" s="7" t="n">
        <f aca="false">COUNTA(BM207:BT207)</f>
        <v>0</v>
      </c>
      <c r="CG207" s="7" t="n">
        <f aca="false">COUNTA(BI207:BT207)</f>
        <v>0</v>
      </c>
      <c r="CH207" s="7" t="n">
        <f aca="false">COUNTA(BE207:BT207)</f>
        <v>0</v>
      </c>
      <c r="CI207" s="7" t="n">
        <f aca="false">COUNTA(AU207:BT207)</f>
        <v>0</v>
      </c>
      <c r="CJ207" s="7" t="n">
        <f aca="false">COUNTA(U207:BT207)</f>
        <v>0</v>
      </c>
      <c r="CK207" s="7" t="n">
        <f aca="false">COUNTA(BT207)</f>
        <v>0</v>
      </c>
      <c r="CL207" s="7" t="n">
        <f aca="false">COUNTA(D207:BT207)</f>
        <v>1</v>
      </c>
      <c r="CM207" s="19" t="str">
        <f aca="false">IF(AND(CE207=1,CJ207=1,BT207&lt;&gt;""),"5.ENTRANTES",IF(AND(CE207&lt;&gt;0,CE207/RIGHT($CE$1,1)&gt;=0.5,CJ207=CE207),"4.RECENTES",IF(AND(CF207&lt;&gt;0,CF207/RIGHT($CF$1,1)&gt;=0.5,CJ207=CF207),"4.RECENTES",IF(AND(CG207&lt;&gt;0,CG207/RIGHT($CG$1,2)&gt;=0.5,CJ207=CG207),"4.RECENTES",IF(AND(CH207&lt;&gt;0,CH207/RIGHT($CH$1,2)&gt;=0.5,CJ207=CH207),"4.RECENTES",IF(AND(CI207&lt;&gt;0,CI207/RIGHT($CI$1,2)&gt;=0.5,CJ207=CI207),"4.RECENTES",IF(AND(CE207=0,CF207=0,CG207=0,CH207=0),"3.INATIVOS",IF(CJ207/RIGHT($CJ$1,2)&lt;0.5,"2.INTERMITENTES","1.ORDINÁRIOS"))))))))</f>
        <v>3.INATIVOS</v>
      </c>
      <c r="CN207" s="20" t="n">
        <f aca="false">IF(AND(CE207=1,CJ207=1,BT207&lt;&gt;""),BT207,IF(AND(CE207&lt;&gt;0,CE207/RIGHT($CE$1,1)&gt;=0.5,CJ207=CE207),MAX(BV207:CC207),IF(AND(CF207&lt;&gt;0,CF207/RIGHT($CF$1,1)&gt;=0.5,CJ207=CF207),MAX(BV207:CC207),IF(AND(CG207&lt;&gt;0,CG207/RIGHT($CG$1,2)&gt;=0.5,CJ207=CG207),MAX(BV207:CC207),IF(AND(CH207&lt;&gt;0,CH207/RIGHT($CH$1,2)&gt;=0.5,CJ207=CH207),MAX(BV207:CC207),IF(AND(CI207&lt;&gt;0,CI207/RIGHT($CI$1,2)&gt;=0.5,CJ207=CI207),MAX(BV207:CC207),IF(AND(CE207=0,CF207=0,CG207=0,CH207=0),0,IF(CJ207/RIGHT($CJ$1,2)&lt;0.5,ROUND(BU207/RIGHT($CJ$1,2),0),MAX(BV207:CC207)))))))))</f>
        <v>0</v>
      </c>
      <c r="CO207" s="20" t="n">
        <f aca="false">CN207*3</f>
        <v>0</v>
      </c>
      <c r="CP207" s="15" t="n">
        <v>0</v>
      </c>
      <c r="CQ207" s="16" t="n">
        <f aca="false">IF((CO207-CP207)&lt;0,0,(CO207-CP207))</f>
        <v>0</v>
      </c>
      <c r="CR207" s="7"/>
    </row>
    <row r="208" customFormat="false" ht="12.75" hidden="false" customHeight="true" outlineLevel="0" collapsed="false">
      <c r="A208" s="7" t="s">
        <v>273</v>
      </c>
      <c r="B208" s="7" t="s">
        <v>304</v>
      </c>
      <c r="C208" s="8" t="n">
        <v>325001003</v>
      </c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 t="n">
        <v>30</v>
      </c>
      <c r="BT208" s="9"/>
      <c r="BU208" s="10" t="n">
        <v>30</v>
      </c>
      <c r="BV208" s="11" t="n">
        <f aca="false">IF(ISERROR(ROUND(MEDIAN(BQ208:BT208),0)),0,ROUND(MEDIAN(BQ208:BT208),0))</f>
        <v>30</v>
      </c>
      <c r="BW208" s="11" t="n">
        <f aca="false">IF(ISERROR(ROUND(MEDIAN(BM208:BT208),0)),0,ROUND(MEDIAN(BM208:BT208),0))</f>
        <v>30</v>
      </c>
      <c r="BX208" s="11" t="n">
        <f aca="false">IF(ISERROR(ROUND(MEDIAN(BI208:BT208),0)),0,ROUND(MEDIAN(BI208:BT208),0))</f>
        <v>30</v>
      </c>
      <c r="BY208" s="11" t="n">
        <f aca="false">IF(ISERROR(ROUND(MEDIAN(BE208:BT208),0)),0,ROUND(MEDIAN(BE208:BT208),0))</f>
        <v>30</v>
      </c>
      <c r="BZ208" s="11" t="n">
        <f aca="false">IF(ISERROR(ROUND(MEDIAN(AU208:BT208),0)),0,ROUND(MEDIAN(AU208:BT208),0))</f>
        <v>30</v>
      </c>
      <c r="CA208" s="12" t="n">
        <f aca="false">IF(ISERROR(ROUND(MEDIAN(U208:BT208),0)),0,ROUND(MEDIAN(U208:BT208),0))</f>
        <v>30</v>
      </c>
      <c r="CB208" s="12" t="n">
        <f aca="false">IF(ISERROR(ROUND(MEDIAN(BT208),0)),0,ROUND(MEDIAN(BT208),0))</f>
        <v>0</v>
      </c>
      <c r="CC208" s="12" t="n">
        <f aca="false">IF(ISERROR(ROUND(MEDIAN(D208:BT208),0)),0,ROUND(MEDIAN(D208:BT208),0))</f>
        <v>30</v>
      </c>
      <c r="CD208" s="12" t="n">
        <f aca="false">MAX(D208:BT208)</f>
        <v>30</v>
      </c>
      <c r="CE208" s="7" t="n">
        <f aca="false">COUNTA(BQ208:BT208)</f>
        <v>1</v>
      </c>
      <c r="CF208" s="7" t="n">
        <f aca="false">COUNTA(BM208:BT208)</f>
        <v>1</v>
      </c>
      <c r="CG208" s="7" t="n">
        <f aca="false">COUNTA(BI208:BT208)</f>
        <v>1</v>
      </c>
      <c r="CH208" s="7" t="n">
        <f aca="false">COUNTA(BE208:BT208)</f>
        <v>1</v>
      </c>
      <c r="CI208" s="7" t="n">
        <f aca="false">COUNTA(AU208:BT208)</f>
        <v>1</v>
      </c>
      <c r="CJ208" s="7" t="n">
        <f aca="false">COUNTA(U208:BT208)</f>
        <v>1</v>
      </c>
      <c r="CK208" s="7" t="n">
        <f aca="false">COUNTA(BT208)</f>
        <v>0</v>
      </c>
      <c r="CL208" s="7" t="n">
        <f aca="false">COUNTA(D208:BT208)</f>
        <v>1</v>
      </c>
      <c r="CM208" s="17" t="str">
        <f aca="false">IF(AND(CE208=1,CJ208=1,BT208&lt;&gt;""),"5.ENTRANTES",IF(AND(CE208&lt;&gt;0,CE208/RIGHT($CE$1,1)&gt;=0.5,CJ208=CE208),"4.RECENTES",IF(AND(CF208&lt;&gt;0,CF208/RIGHT($CF$1,1)&gt;=0.5,CJ208=CF208),"4.RECENTES",IF(AND(CG208&lt;&gt;0,CG208/RIGHT($CG$1,2)&gt;=0.5,CJ208=CG208),"4.RECENTES",IF(AND(CH208&lt;&gt;0,CH208/RIGHT($CH$1,2)&gt;=0.5,CJ208=CH208),"4.RECENTES",IF(AND(CI208&lt;&gt;0,CI208/RIGHT($CI$1,2)&gt;=0.5,CJ208=CI208),"4.RECENTES",IF(AND(CE208=0,CF208=0,CG208=0,CH208=0),"3.INATIVOS",IF(CJ208/RIGHT($CJ$1,2)&lt;0.5,"2.INTERMITENTES","1.ORDINÁRIOS"))))))))</f>
        <v>2.INTERMITENTES</v>
      </c>
      <c r="CN208" s="18" t="n">
        <f aca="false">IF(AND(CE208=1,CJ208=1,BT208&lt;&gt;""),BT208,IF(AND(CE208&lt;&gt;0,CE208/RIGHT($CE$1,1)&gt;=0.5,CJ208=CE208),MAX(BV208:CC208),IF(AND(CF208&lt;&gt;0,CF208/RIGHT($CF$1,1)&gt;=0.5,CJ208=CF208),MAX(BV208:CC208),IF(AND(CG208&lt;&gt;0,CG208/RIGHT($CG$1,2)&gt;=0.5,CJ208=CG208),MAX(BV208:CC208),IF(AND(CH208&lt;&gt;0,CH208/RIGHT($CH$1,2)&gt;=0.5,CJ208=CH208),MAX(BV208:CC208),IF(AND(CI208&lt;&gt;0,CI208/RIGHT($CI$1,2)&gt;=0.5,CJ208=CI208),MAX(BV208:CC208),IF(AND(CE208=0,CF208=0,CG208=0,CH208=0),0,IF(CJ208/RIGHT($CJ$1,2)&lt;0.5,ROUND(BU208/RIGHT($CJ$1,2),0),MAX(BV208:CC208)))))))))</f>
        <v>1</v>
      </c>
      <c r="CO208" s="18" t="n">
        <f aca="false">CD208</f>
        <v>30</v>
      </c>
      <c r="CP208" s="15" t="n">
        <v>0</v>
      </c>
      <c r="CQ208" s="16" t="n">
        <f aca="false">IF((CO208-CP208)&lt;0,0,(CO208-CP208))</f>
        <v>30</v>
      </c>
      <c r="CR208" s="7"/>
    </row>
    <row r="209" customFormat="false" ht="12.75" hidden="false" customHeight="true" outlineLevel="0" collapsed="false">
      <c r="A209" s="7" t="s">
        <v>273</v>
      </c>
      <c r="B209" s="7" t="s">
        <v>305</v>
      </c>
      <c r="C209" s="8" t="n">
        <v>321001097</v>
      </c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 t="n">
        <v>1</v>
      </c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s="9"/>
      <c r="BU209" s="10" t="n">
        <v>1</v>
      </c>
      <c r="BV209" s="11" t="n">
        <f aca="false">IF(ISERROR(ROUND(MEDIAN(BQ209:BT209),0)),0,ROUND(MEDIAN(BQ209:BT209),0))</f>
        <v>0</v>
      </c>
      <c r="BW209" s="11" t="n">
        <f aca="false">IF(ISERROR(ROUND(MEDIAN(BM209:BT209),0)),0,ROUND(MEDIAN(BM209:BT209),0))</f>
        <v>0</v>
      </c>
      <c r="BX209" s="11" t="n">
        <f aca="false">IF(ISERROR(ROUND(MEDIAN(BI209:BT209),0)),0,ROUND(MEDIAN(BI209:BT209),0))</f>
        <v>0</v>
      </c>
      <c r="BY209" s="11" t="n">
        <f aca="false">IF(ISERROR(ROUND(MEDIAN(BE209:BT209),0)),0,ROUND(MEDIAN(BE209:BT209),0))</f>
        <v>0</v>
      </c>
      <c r="BZ209" s="11" t="n">
        <f aca="false">IF(ISERROR(ROUND(MEDIAN(AU209:BT209),0)),0,ROUND(MEDIAN(AU209:BT209),0))</f>
        <v>0</v>
      </c>
      <c r="CA209" s="12" t="n">
        <f aca="false">IF(ISERROR(ROUND(MEDIAN(U209:BT209),0)),0,ROUND(MEDIAN(U209:BT209),0))</f>
        <v>1</v>
      </c>
      <c r="CB209" s="12" t="n">
        <f aca="false">IF(ISERROR(ROUND(MEDIAN(BT209),0)),0,ROUND(MEDIAN(BT209),0))</f>
        <v>0</v>
      </c>
      <c r="CC209" s="12" t="n">
        <f aca="false">IF(ISERROR(ROUND(MEDIAN(D209:BT209),0)),0,ROUND(MEDIAN(D209:BT209),0))</f>
        <v>1</v>
      </c>
      <c r="CD209" s="12" t="n">
        <f aca="false">MAX(D209:BT209)</f>
        <v>1</v>
      </c>
      <c r="CE209" s="7" t="n">
        <f aca="false">COUNTA(BQ209:BT209)</f>
        <v>0</v>
      </c>
      <c r="CF209" s="7" t="n">
        <f aca="false">COUNTA(BM209:BT209)</f>
        <v>0</v>
      </c>
      <c r="CG209" s="7" t="n">
        <f aca="false">COUNTA(BI209:BT209)</f>
        <v>0</v>
      </c>
      <c r="CH209" s="7" t="n">
        <f aca="false">COUNTA(BE209:BT209)</f>
        <v>0</v>
      </c>
      <c r="CI209" s="7" t="n">
        <f aca="false">COUNTA(AU209:BT209)</f>
        <v>0</v>
      </c>
      <c r="CJ209" s="7" t="n">
        <f aca="false">COUNTA(U209:BT209)</f>
        <v>1</v>
      </c>
      <c r="CK209" s="7" t="n">
        <f aca="false">COUNTA(BT209)</f>
        <v>0</v>
      </c>
      <c r="CL209" s="7" t="n">
        <f aca="false">COUNTA(D209:BT209)</f>
        <v>1</v>
      </c>
      <c r="CM209" s="19" t="str">
        <f aca="false">IF(AND(CE209=1,CJ209=1,BT209&lt;&gt;""),"5.ENTRANTES",IF(AND(CE209&lt;&gt;0,CE209/RIGHT($CE$1,1)&gt;=0.5,CJ209=CE209),"4.RECENTES",IF(AND(CF209&lt;&gt;0,CF209/RIGHT($CF$1,1)&gt;=0.5,CJ209=CF209),"4.RECENTES",IF(AND(CG209&lt;&gt;0,CG209/RIGHT($CG$1,2)&gt;=0.5,CJ209=CG209),"4.RECENTES",IF(AND(CH209&lt;&gt;0,CH209/RIGHT($CH$1,2)&gt;=0.5,CJ209=CH209),"4.RECENTES",IF(AND(CI209&lt;&gt;0,CI209/RIGHT($CI$1,2)&gt;=0.5,CJ209=CI209),"4.RECENTES",IF(AND(CE209=0,CF209=0,CG209=0,CH209=0),"3.INATIVOS",IF(CJ209/RIGHT($CJ$1,2)&lt;0.5,"2.INTERMITENTES","1.ORDINÁRIOS"))))))))</f>
        <v>3.INATIVOS</v>
      </c>
      <c r="CN209" s="20" t="n">
        <f aca="false">IF(AND(CE209=1,CJ209=1,BT209&lt;&gt;""),BT209,IF(AND(CE209&lt;&gt;0,CE209/RIGHT($CE$1,1)&gt;=0.5,CJ209=CE209),MAX(BV209:CC209),IF(AND(CF209&lt;&gt;0,CF209/RIGHT($CF$1,1)&gt;=0.5,CJ209=CF209),MAX(BV209:CC209),IF(AND(CG209&lt;&gt;0,CG209/RIGHT($CG$1,2)&gt;=0.5,CJ209=CG209),MAX(BV209:CC209),IF(AND(CH209&lt;&gt;0,CH209/RIGHT($CH$1,2)&gt;=0.5,CJ209=CH209),MAX(BV209:CC209),IF(AND(CI209&lt;&gt;0,CI209/RIGHT($CI$1,2)&gt;=0.5,CJ209=CI209),MAX(BV209:CC209),IF(AND(CE209=0,CF209=0,CG209=0,CH209=0),0,IF(CJ209/RIGHT($CJ$1,2)&lt;0.5,ROUND(BU209/RIGHT($CJ$1,2),0),MAX(BV209:CC209)))))))))</f>
        <v>0</v>
      </c>
      <c r="CO209" s="20" t="n">
        <f aca="false">CN209*3</f>
        <v>0</v>
      </c>
      <c r="CP209" s="15" t="n">
        <v>0</v>
      </c>
      <c r="CQ209" s="16" t="n">
        <f aca="false">IF((CO209-CP209)&lt;0,0,(CO209-CP209))</f>
        <v>0</v>
      </c>
      <c r="CR209" s="7"/>
    </row>
    <row r="210" customFormat="false" ht="12.75" hidden="false" customHeight="true" outlineLevel="0" collapsed="false">
      <c r="A210" s="7" t="s">
        <v>273</v>
      </c>
      <c r="B210" s="7" t="s">
        <v>306</v>
      </c>
      <c r="C210" s="8" t="n">
        <v>40001001</v>
      </c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 t="n">
        <v>32</v>
      </c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  <c r="BD210" s="9"/>
      <c r="BE210" s="9"/>
      <c r="BF210" s="9"/>
      <c r="BG210" s="9"/>
      <c r="BH210" s="9"/>
      <c r="BI210" s="9"/>
      <c r="BJ210" s="9"/>
      <c r="BK210" s="9"/>
      <c r="BL210" s="9"/>
      <c r="BM210" s="9"/>
      <c r="BN210" s="9"/>
      <c r="BO210" s="9"/>
      <c r="BP210" s="9"/>
      <c r="BQ210" s="9"/>
      <c r="BR210" s="9"/>
      <c r="BS210" s="9"/>
      <c r="BT210" s="9"/>
      <c r="BU210" s="10" t="n">
        <v>32</v>
      </c>
      <c r="BV210" s="11" t="n">
        <f aca="false">IF(ISERROR(ROUND(MEDIAN(BQ210:BT210),0)),0,ROUND(MEDIAN(BQ210:BT210),0))</f>
        <v>0</v>
      </c>
      <c r="BW210" s="11" t="n">
        <f aca="false">IF(ISERROR(ROUND(MEDIAN(BM210:BT210),0)),0,ROUND(MEDIAN(BM210:BT210),0))</f>
        <v>0</v>
      </c>
      <c r="BX210" s="11" t="n">
        <f aca="false">IF(ISERROR(ROUND(MEDIAN(BI210:BT210),0)),0,ROUND(MEDIAN(BI210:BT210),0))</f>
        <v>0</v>
      </c>
      <c r="BY210" s="11" t="n">
        <f aca="false">IF(ISERROR(ROUND(MEDIAN(BE210:BT210),0)),0,ROUND(MEDIAN(BE210:BT210),0))</f>
        <v>0</v>
      </c>
      <c r="BZ210" s="11" t="n">
        <f aca="false">IF(ISERROR(ROUND(MEDIAN(AU210:BT210),0)),0,ROUND(MEDIAN(AU210:BT210),0))</f>
        <v>0</v>
      </c>
      <c r="CA210" s="12" t="n">
        <f aca="false">IF(ISERROR(ROUND(MEDIAN(U210:BT210),0)),0,ROUND(MEDIAN(U210:BT210),0))</f>
        <v>32</v>
      </c>
      <c r="CB210" s="12" t="n">
        <f aca="false">IF(ISERROR(ROUND(MEDIAN(BT210),0)),0,ROUND(MEDIAN(BT210),0))</f>
        <v>0</v>
      </c>
      <c r="CC210" s="12" t="n">
        <f aca="false">IF(ISERROR(ROUND(MEDIAN(D210:BT210),0)),0,ROUND(MEDIAN(D210:BT210),0))</f>
        <v>32</v>
      </c>
      <c r="CD210" s="12" t="n">
        <f aca="false">MAX(D210:BT210)</f>
        <v>32</v>
      </c>
      <c r="CE210" s="7" t="n">
        <f aca="false">COUNTA(BQ210:BT210)</f>
        <v>0</v>
      </c>
      <c r="CF210" s="7" t="n">
        <f aca="false">COUNTA(BM210:BT210)</f>
        <v>0</v>
      </c>
      <c r="CG210" s="7" t="n">
        <f aca="false">COUNTA(BI210:BT210)</f>
        <v>0</v>
      </c>
      <c r="CH210" s="7" t="n">
        <f aca="false">COUNTA(BE210:BT210)</f>
        <v>0</v>
      </c>
      <c r="CI210" s="7" t="n">
        <f aca="false">COUNTA(AU210:BT210)</f>
        <v>0</v>
      </c>
      <c r="CJ210" s="7" t="n">
        <f aca="false">COUNTA(U210:BT210)</f>
        <v>1</v>
      </c>
      <c r="CK210" s="7" t="n">
        <f aca="false">COUNTA(BT210)</f>
        <v>0</v>
      </c>
      <c r="CL210" s="7" t="n">
        <f aca="false">COUNTA(D210:BT210)</f>
        <v>1</v>
      </c>
      <c r="CM210" s="19" t="str">
        <f aca="false">IF(AND(CE210=1,CJ210=1,BT210&lt;&gt;""),"5.ENTRANTES",IF(AND(CE210&lt;&gt;0,CE210/RIGHT($CE$1,1)&gt;=0.5,CJ210=CE210),"4.RECENTES",IF(AND(CF210&lt;&gt;0,CF210/RIGHT($CF$1,1)&gt;=0.5,CJ210=CF210),"4.RECENTES",IF(AND(CG210&lt;&gt;0,CG210/RIGHT($CG$1,2)&gt;=0.5,CJ210=CG210),"4.RECENTES",IF(AND(CH210&lt;&gt;0,CH210/RIGHT($CH$1,2)&gt;=0.5,CJ210=CH210),"4.RECENTES",IF(AND(CI210&lt;&gt;0,CI210/RIGHT($CI$1,2)&gt;=0.5,CJ210=CI210),"4.RECENTES",IF(AND(CE210=0,CF210=0,CG210=0,CH210=0),"3.INATIVOS",IF(CJ210/RIGHT($CJ$1,2)&lt;0.5,"2.INTERMITENTES","1.ORDINÁRIOS"))))))))</f>
        <v>3.INATIVOS</v>
      </c>
      <c r="CN210" s="20" t="n">
        <f aca="false">IF(AND(CE210=1,CJ210=1,BT210&lt;&gt;""),BT210,IF(AND(CE210&lt;&gt;0,CE210/RIGHT($CE$1,1)&gt;=0.5,CJ210=CE210),MAX(BV210:CC210),IF(AND(CF210&lt;&gt;0,CF210/RIGHT($CF$1,1)&gt;=0.5,CJ210=CF210),MAX(BV210:CC210),IF(AND(CG210&lt;&gt;0,CG210/RIGHT($CG$1,2)&gt;=0.5,CJ210=CG210),MAX(BV210:CC210),IF(AND(CH210&lt;&gt;0,CH210/RIGHT($CH$1,2)&gt;=0.5,CJ210=CH210),MAX(BV210:CC210),IF(AND(CI210&lt;&gt;0,CI210/RIGHT($CI$1,2)&gt;=0.5,CJ210=CI210),MAX(BV210:CC210),IF(AND(CE210=0,CF210=0,CG210=0,CH210=0),0,IF(CJ210/RIGHT($CJ$1,2)&lt;0.5,ROUND(BU210/RIGHT($CJ$1,2),0),MAX(BV210:CC210)))))))))</f>
        <v>0</v>
      </c>
      <c r="CO210" s="20" t="n">
        <f aca="false">CN210*3</f>
        <v>0</v>
      </c>
      <c r="CP210" s="15" t="n">
        <v>0</v>
      </c>
      <c r="CQ210" s="16" t="n">
        <f aca="false">IF((CO210-CP210)&lt;0,0,(CO210-CP210))</f>
        <v>0</v>
      </c>
      <c r="CR210" s="7"/>
    </row>
    <row r="211" customFormat="false" ht="12.75" hidden="false" customHeight="true" outlineLevel="0" collapsed="false">
      <c r="A211" s="7" t="s">
        <v>273</v>
      </c>
      <c r="B211" s="7" t="s">
        <v>307</v>
      </c>
      <c r="C211" s="8" t="n">
        <v>10001009</v>
      </c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 t="n">
        <v>1</v>
      </c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  <c r="BC211" s="9"/>
      <c r="BD211" s="9"/>
      <c r="BE211" s="9"/>
      <c r="BF211" s="9"/>
      <c r="BG211" s="9"/>
      <c r="BH211" s="9"/>
      <c r="BI211" s="9"/>
      <c r="BJ211" s="9"/>
      <c r="BK211" s="9"/>
      <c r="BL211" s="9"/>
      <c r="BM211" s="9"/>
      <c r="BN211" s="9"/>
      <c r="BO211" s="9"/>
      <c r="BP211" s="9"/>
      <c r="BQ211" s="9"/>
      <c r="BR211" s="9"/>
      <c r="BS211" s="9"/>
      <c r="BT211" s="9"/>
      <c r="BU211" s="10" t="n">
        <v>1</v>
      </c>
      <c r="BV211" s="11" t="n">
        <f aca="false">IF(ISERROR(ROUND(MEDIAN(BQ211:BT211),0)),0,ROUND(MEDIAN(BQ211:BT211),0))</f>
        <v>0</v>
      </c>
      <c r="BW211" s="11" t="n">
        <f aca="false">IF(ISERROR(ROUND(MEDIAN(BM211:BT211),0)),0,ROUND(MEDIAN(BM211:BT211),0))</f>
        <v>0</v>
      </c>
      <c r="BX211" s="11" t="n">
        <f aca="false">IF(ISERROR(ROUND(MEDIAN(BI211:BT211),0)),0,ROUND(MEDIAN(BI211:BT211),0))</f>
        <v>0</v>
      </c>
      <c r="BY211" s="11" t="n">
        <f aca="false">IF(ISERROR(ROUND(MEDIAN(BE211:BT211),0)),0,ROUND(MEDIAN(BE211:BT211),0))</f>
        <v>0</v>
      </c>
      <c r="BZ211" s="11" t="n">
        <f aca="false">IF(ISERROR(ROUND(MEDIAN(AU211:BT211),0)),0,ROUND(MEDIAN(AU211:BT211),0))</f>
        <v>0</v>
      </c>
      <c r="CA211" s="12" t="n">
        <f aca="false">IF(ISERROR(ROUND(MEDIAN(U211:BT211),0)),0,ROUND(MEDIAN(U211:BT211),0))</f>
        <v>0</v>
      </c>
      <c r="CB211" s="12" t="n">
        <f aca="false">IF(ISERROR(ROUND(MEDIAN(BT211),0)),0,ROUND(MEDIAN(BT211),0))</f>
        <v>0</v>
      </c>
      <c r="CC211" s="12" t="n">
        <f aca="false">IF(ISERROR(ROUND(MEDIAN(D211:BT211),0)),0,ROUND(MEDIAN(D211:BT211),0))</f>
        <v>1</v>
      </c>
      <c r="CD211" s="12" t="n">
        <f aca="false">MAX(D211:BT211)</f>
        <v>1</v>
      </c>
      <c r="CE211" s="7" t="n">
        <f aca="false">COUNTA(BQ211:BT211)</f>
        <v>0</v>
      </c>
      <c r="CF211" s="7" t="n">
        <f aca="false">COUNTA(BM211:BT211)</f>
        <v>0</v>
      </c>
      <c r="CG211" s="7" t="n">
        <f aca="false">COUNTA(BI211:BT211)</f>
        <v>0</v>
      </c>
      <c r="CH211" s="7" t="n">
        <f aca="false">COUNTA(BE211:BT211)</f>
        <v>0</v>
      </c>
      <c r="CI211" s="7" t="n">
        <f aca="false">COUNTA(AU211:BT211)</f>
        <v>0</v>
      </c>
      <c r="CJ211" s="7" t="n">
        <f aca="false">COUNTA(U211:BT211)</f>
        <v>0</v>
      </c>
      <c r="CK211" s="7" t="n">
        <f aca="false">COUNTA(BT211)</f>
        <v>0</v>
      </c>
      <c r="CL211" s="7" t="n">
        <f aca="false">COUNTA(D211:BT211)</f>
        <v>1</v>
      </c>
      <c r="CM211" s="19" t="str">
        <f aca="false">IF(AND(CE211=1,CJ211=1,BT211&lt;&gt;""),"5.ENTRANTES",IF(AND(CE211&lt;&gt;0,CE211/RIGHT($CE$1,1)&gt;=0.5,CJ211=CE211),"4.RECENTES",IF(AND(CF211&lt;&gt;0,CF211/RIGHT($CF$1,1)&gt;=0.5,CJ211=CF211),"4.RECENTES",IF(AND(CG211&lt;&gt;0,CG211/RIGHT($CG$1,2)&gt;=0.5,CJ211=CG211),"4.RECENTES",IF(AND(CH211&lt;&gt;0,CH211/RIGHT($CH$1,2)&gt;=0.5,CJ211=CH211),"4.RECENTES",IF(AND(CI211&lt;&gt;0,CI211/RIGHT($CI$1,2)&gt;=0.5,CJ211=CI211),"4.RECENTES",IF(AND(CE211=0,CF211=0,CG211=0,CH211=0),"3.INATIVOS",IF(CJ211/RIGHT($CJ$1,2)&lt;0.5,"2.INTERMITENTES","1.ORDINÁRIOS"))))))))</f>
        <v>3.INATIVOS</v>
      </c>
      <c r="CN211" s="20" t="n">
        <f aca="false">IF(AND(CE211=1,CJ211=1,BT211&lt;&gt;""),BT211,IF(AND(CE211&lt;&gt;0,CE211/RIGHT($CE$1,1)&gt;=0.5,CJ211=CE211),MAX(BV211:CC211),IF(AND(CF211&lt;&gt;0,CF211/RIGHT($CF$1,1)&gt;=0.5,CJ211=CF211),MAX(BV211:CC211),IF(AND(CG211&lt;&gt;0,CG211/RIGHT($CG$1,2)&gt;=0.5,CJ211=CG211),MAX(BV211:CC211),IF(AND(CH211&lt;&gt;0,CH211/RIGHT($CH$1,2)&gt;=0.5,CJ211=CH211),MAX(BV211:CC211),IF(AND(CI211&lt;&gt;0,CI211/RIGHT($CI$1,2)&gt;=0.5,CJ211=CI211),MAX(BV211:CC211),IF(AND(CE211=0,CF211=0,CG211=0,CH211=0),0,IF(CJ211/RIGHT($CJ$1,2)&lt;0.5,ROUND(BU211/RIGHT($CJ$1,2),0),MAX(BV211:CC211)))))))))</f>
        <v>0</v>
      </c>
      <c r="CO211" s="20" t="n">
        <f aca="false">CN211*3</f>
        <v>0</v>
      </c>
      <c r="CP211" s="15" t="n">
        <v>0</v>
      </c>
      <c r="CQ211" s="16" t="n">
        <f aca="false">IF((CO211-CP211)&lt;0,0,(CO211-CP211))</f>
        <v>0</v>
      </c>
      <c r="CR211" s="7"/>
    </row>
    <row r="212" customFormat="false" ht="12.75" hidden="false" customHeight="true" outlineLevel="0" collapsed="false">
      <c r="A212" s="7" t="s">
        <v>273</v>
      </c>
      <c r="B212" s="7" t="s">
        <v>308</v>
      </c>
      <c r="C212" s="8" t="n">
        <v>325005001</v>
      </c>
      <c r="D212" s="9"/>
      <c r="E212" s="9"/>
      <c r="F212" s="9"/>
      <c r="G212" s="9"/>
      <c r="H212" s="9"/>
      <c r="I212" s="9"/>
      <c r="J212" s="9"/>
      <c r="K212" s="9" t="n">
        <v>30</v>
      </c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  <c r="BE212" s="9"/>
      <c r="BF212" s="9"/>
      <c r="BG212" s="9"/>
      <c r="BH212" s="9"/>
      <c r="BI212" s="9"/>
      <c r="BJ212" s="9"/>
      <c r="BK212" s="9"/>
      <c r="BL212" s="9"/>
      <c r="BM212" s="9"/>
      <c r="BN212" s="9"/>
      <c r="BO212" s="9"/>
      <c r="BP212" s="9"/>
      <c r="BQ212" s="9" t="n">
        <v>30</v>
      </c>
      <c r="BR212" s="9"/>
      <c r="BS212" s="9"/>
      <c r="BT212" s="9"/>
      <c r="BU212" s="10" t="n">
        <v>60</v>
      </c>
      <c r="BV212" s="11" t="n">
        <f aca="false">IF(ISERROR(ROUND(MEDIAN(BQ212:BT212),0)),0,ROUND(MEDIAN(BQ212:BT212),0))</f>
        <v>30</v>
      </c>
      <c r="BW212" s="11" t="n">
        <f aca="false">IF(ISERROR(ROUND(MEDIAN(BM212:BT212),0)),0,ROUND(MEDIAN(BM212:BT212),0))</f>
        <v>30</v>
      </c>
      <c r="BX212" s="11" t="n">
        <f aca="false">IF(ISERROR(ROUND(MEDIAN(BI212:BT212),0)),0,ROUND(MEDIAN(BI212:BT212),0))</f>
        <v>30</v>
      </c>
      <c r="BY212" s="11" t="n">
        <f aca="false">IF(ISERROR(ROUND(MEDIAN(BE212:BT212),0)),0,ROUND(MEDIAN(BE212:BT212),0))</f>
        <v>30</v>
      </c>
      <c r="BZ212" s="11" t="n">
        <f aca="false">IF(ISERROR(ROUND(MEDIAN(AU212:BT212),0)),0,ROUND(MEDIAN(AU212:BT212),0))</f>
        <v>30</v>
      </c>
      <c r="CA212" s="12" t="n">
        <f aca="false">IF(ISERROR(ROUND(MEDIAN(U212:BT212),0)),0,ROUND(MEDIAN(U212:BT212),0))</f>
        <v>30</v>
      </c>
      <c r="CB212" s="12" t="n">
        <f aca="false">IF(ISERROR(ROUND(MEDIAN(BT212),0)),0,ROUND(MEDIAN(BT212),0))</f>
        <v>0</v>
      </c>
      <c r="CC212" s="12" t="n">
        <f aca="false">IF(ISERROR(ROUND(MEDIAN(D212:BT212),0)),0,ROUND(MEDIAN(D212:BT212),0))</f>
        <v>30</v>
      </c>
      <c r="CD212" s="12" t="n">
        <f aca="false">MAX(D212:BT212)</f>
        <v>30</v>
      </c>
      <c r="CE212" s="7" t="n">
        <f aca="false">COUNTA(BQ212:BT212)</f>
        <v>1</v>
      </c>
      <c r="CF212" s="7" t="n">
        <f aca="false">COUNTA(BM212:BT212)</f>
        <v>1</v>
      </c>
      <c r="CG212" s="7" t="n">
        <f aca="false">COUNTA(BI212:BT212)</f>
        <v>1</v>
      </c>
      <c r="CH212" s="7" t="n">
        <f aca="false">COUNTA(BE212:BT212)</f>
        <v>1</v>
      </c>
      <c r="CI212" s="7" t="n">
        <f aca="false">COUNTA(AU212:BT212)</f>
        <v>1</v>
      </c>
      <c r="CJ212" s="7" t="n">
        <f aca="false">COUNTA(U212:BT212)</f>
        <v>1</v>
      </c>
      <c r="CK212" s="7" t="n">
        <f aca="false">COUNTA(BT212)</f>
        <v>0</v>
      </c>
      <c r="CL212" s="7" t="n">
        <f aca="false">COUNTA(D212:BT212)</f>
        <v>2</v>
      </c>
      <c r="CM212" s="17" t="str">
        <f aca="false">IF(AND(CE212=1,CJ212=1,BT212&lt;&gt;""),"5.ENTRANTES",IF(AND(CE212&lt;&gt;0,CE212/RIGHT($CE$1,1)&gt;=0.5,CJ212=CE212),"4.RECENTES",IF(AND(CF212&lt;&gt;0,CF212/RIGHT($CF$1,1)&gt;=0.5,CJ212=CF212),"4.RECENTES",IF(AND(CG212&lt;&gt;0,CG212/RIGHT($CG$1,2)&gt;=0.5,CJ212=CG212),"4.RECENTES",IF(AND(CH212&lt;&gt;0,CH212/RIGHT($CH$1,2)&gt;=0.5,CJ212=CH212),"4.RECENTES",IF(AND(CI212&lt;&gt;0,CI212/RIGHT($CI$1,2)&gt;=0.5,CJ212=CI212),"4.RECENTES",IF(AND(CE212=0,CF212=0,CG212=0,CH212=0),"3.INATIVOS",IF(CJ212/RIGHT($CJ$1,2)&lt;0.5,"2.INTERMITENTES","1.ORDINÁRIOS"))))))))</f>
        <v>2.INTERMITENTES</v>
      </c>
      <c r="CN212" s="18" t="n">
        <f aca="false">IF(AND(CE212=1,CJ212=1,BT212&lt;&gt;""),BT212,IF(AND(CE212&lt;&gt;0,CE212/RIGHT($CE$1,1)&gt;=0.5,CJ212=CE212),MAX(BV212:CC212),IF(AND(CF212&lt;&gt;0,CF212/RIGHT($CF$1,1)&gt;=0.5,CJ212=CF212),MAX(BV212:CC212),IF(AND(CG212&lt;&gt;0,CG212/RIGHT($CG$1,2)&gt;=0.5,CJ212=CG212),MAX(BV212:CC212),IF(AND(CH212&lt;&gt;0,CH212/RIGHT($CH$1,2)&gt;=0.5,CJ212=CH212),MAX(BV212:CC212),IF(AND(CI212&lt;&gt;0,CI212/RIGHT($CI$1,2)&gt;=0.5,CJ212=CI212),MAX(BV212:CC212),IF(AND(CE212=0,CF212=0,CG212=0,CH212=0),0,IF(CJ212/RIGHT($CJ$1,2)&lt;0.5,ROUND(BU212/RIGHT($CJ$1,2),0),MAX(BV212:CC212)))))))))</f>
        <v>1</v>
      </c>
      <c r="CO212" s="18" t="n">
        <f aca="false">CD212</f>
        <v>30</v>
      </c>
      <c r="CP212" s="15" t="n">
        <v>0</v>
      </c>
      <c r="CQ212" s="16" t="n">
        <f aca="false">IF((CO212-CP212)&lt;0,0,(CO212-CP212))</f>
        <v>30</v>
      </c>
      <c r="CR212" s="7"/>
    </row>
    <row r="213" customFormat="false" ht="12.75" hidden="false" customHeight="true" outlineLevel="0" collapsed="false">
      <c r="A213" s="7" t="s">
        <v>273</v>
      </c>
      <c r="B213" s="7" t="s">
        <v>309</v>
      </c>
      <c r="C213" s="8" t="n">
        <v>22001015</v>
      </c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 t="n">
        <v>30</v>
      </c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/>
      <c r="BD213" s="9"/>
      <c r="BE213" s="9"/>
      <c r="BF213" s="9"/>
      <c r="BG213" s="9"/>
      <c r="BH213" s="9"/>
      <c r="BI213" s="9"/>
      <c r="BJ213" s="9"/>
      <c r="BK213" s="9" t="n">
        <v>1</v>
      </c>
      <c r="BL213" s="9"/>
      <c r="BM213" s="9"/>
      <c r="BN213" s="9"/>
      <c r="BO213" s="9"/>
      <c r="BP213" s="9"/>
      <c r="BQ213" s="9"/>
      <c r="BR213" s="9"/>
      <c r="BS213" s="9"/>
      <c r="BT213" s="9"/>
      <c r="BU213" s="10" t="n">
        <v>31</v>
      </c>
      <c r="BV213" s="11" t="n">
        <f aca="false">IF(ISERROR(ROUND(MEDIAN(BQ213:BT213),0)),0,ROUND(MEDIAN(BQ213:BT213),0))</f>
        <v>0</v>
      </c>
      <c r="BW213" s="11" t="n">
        <f aca="false">IF(ISERROR(ROUND(MEDIAN(BM213:BT213),0)),0,ROUND(MEDIAN(BM213:BT213),0))</f>
        <v>0</v>
      </c>
      <c r="BX213" s="11" t="n">
        <f aca="false">IF(ISERROR(ROUND(MEDIAN(BI213:BT213),0)),0,ROUND(MEDIAN(BI213:BT213),0))</f>
        <v>1</v>
      </c>
      <c r="BY213" s="11" t="n">
        <f aca="false">IF(ISERROR(ROUND(MEDIAN(BE213:BT213),0)),0,ROUND(MEDIAN(BE213:BT213),0))</f>
        <v>1</v>
      </c>
      <c r="BZ213" s="11" t="n">
        <f aca="false">IF(ISERROR(ROUND(MEDIAN(AU213:BT213),0)),0,ROUND(MEDIAN(AU213:BT213),0))</f>
        <v>1</v>
      </c>
      <c r="CA213" s="12" t="n">
        <f aca="false">IF(ISERROR(ROUND(MEDIAN(U213:BT213),0)),0,ROUND(MEDIAN(U213:BT213),0))</f>
        <v>1</v>
      </c>
      <c r="CB213" s="12" t="n">
        <f aca="false">IF(ISERROR(ROUND(MEDIAN(BT213),0)),0,ROUND(MEDIAN(BT213),0))</f>
        <v>0</v>
      </c>
      <c r="CC213" s="12" t="n">
        <f aca="false">IF(ISERROR(ROUND(MEDIAN(D213:BT213),0)),0,ROUND(MEDIAN(D213:BT213),0))</f>
        <v>16</v>
      </c>
      <c r="CD213" s="12" t="n">
        <f aca="false">MAX(D213:BT213)</f>
        <v>30</v>
      </c>
      <c r="CE213" s="7" t="n">
        <f aca="false">COUNTA(BQ213:BT213)</f>
        <v>0</v>
      </c>
      <c r="CF213" s="7" t="n">
        <f aca="false">COUNTA(BM213:BT213)</f>
        <v>0</v>
      </c>
      <c r="CG213" s="7" t="n">
        <f aca="false">COUNTA(BI213:BT213)</f>
        <v>1</v>
      </c>
      <c r="CH213" s="7" t="n">
        <f aca="false">COUNTA(BE213:BT213)</f>
        <v>1</v>
      </c>
      <c r="CI213" s="7" t="n">
        <f aca="false">COUNTA(AU213:BT213)</f>
        <v>1</v>
      </c>
      <c r="CJ213" s="7" t="n">
        <f aca="false">COUNTA(U213:BT213)</f>
        <v>1</v>
      </c>
      <c r="CK213" s="7" t="n">
        <f aca="false">COUNTA(BT213)</f>
        <v>0</v>
      </c>
      <c r="CL213" s="7" t="n">
        <f aca="false">COUNTA(D213:BT213)</f>
        <v>2</v>
      </c>
      <c r="CM213" s="17" t="str">
        <f aca="false">IF(AND(CE213=1,CJ213=1,BT213&lt;&gt;""),"5.ENTRANTES",IF(AND(CE213&lt;&gt;0,CE213/RIGHT($CE$1,1)&gt;=0.5,CJ213=CE213),"4.RECENTES",IF(AND(CF213&lt;&gt;0,CF213/RIGHT($CF$1,1)&gt;=0.5,CJ213=CF213),"4.RECENTES",IF(AND(CG213&lt;&gt;0,CG213/RIGHT($CG$1,2)&gt;=0.5,CJ213=CG213),"4.RECENTES",IF(AND(CH213&lt;&gt;0,CH213/RIGHT($CH$1,2)&gt;=0.5,CJ213=CH213),"4.RECENTES",IF(AND(CI213&lt;&gt;0,CI213/RIGHT($CI$1,2)&gt;=0.5,CJ213=CI213),"4.RECENTES",IF(AND(CE213=0,CF213=0,CG213=0,CH213=0),"3.INATIVOS",IF(CJ213/RIGHT($CJ$1,2)&lt;0.5,"2.INTERMITENTES","1.ORDINÁRIOS"))))))))</f>
        <v>2.INTERMITENTES</v>
      </c>
      <c r="CN213" s="18" t="n">
        <f aca="false">IF(AND(CE213=1,CJ213=1,BT213&lt;&gt;""),BT213,IF(AND(CE213&lt;&gt;0,CE213/RIGHT($CE$1,1)&gt;=0.5,CJ213=CE213),MAX(BV213:CC213),IF(AND(CF213&lt;&gt;0,CF213/RIGHT($CF$1,1)&gt;=0.5,CJ213=CF213),MAX(BV213:CC213),IF(AND(CG213&lt;&gt;0,CG213/RIGHT($CG$1,2)&gt;=0.5,CJ213=CG213),MAX(BV213:CC213),IF(AND(CH213&lt;&gt;0,CH213/RIGHT($CH$1,2)&gt;=0.5,CJ213=CH213),MAX(BV213:CC213),IF(AND(CI213&lt;&gt;0,CI213/RIGHT($CI$1,2)&gt;=0.5,CJ213=CI213),MAX(BV213:CC213),IF(AND(CE213=0,CF213=0,CG213=0,CH213=0),0,IF(CJ213/RIGHT($CJ$1,2)&lt;0.5,ROUND(BU213/RIGHT($CJ$1,2),0),MAX(BV213:CC213)))))))))</f>
        <v>1</v>
      </c>
      <c r="CO213" s="18" t="n">
        <f aca="false">CD213</f>
        <v>30</v>
      </c>
      <c r="CP213" s="15" t="n">
        <v>0</v>
      </c>
      <c r="CQ213" s="16" t="n">
        <f aca="false">IF((CO213-CP213)&lt;0,0,(CO213-CP213))</f>
        <v>30</v>
      </c>
      <c r="CR213" s="7"/>
    </row>
    <row r="214" customFormat="false" ht="12.75" hidden="false" customHeight="true" outlineLevel="0" collapsed="false">
      <c r="A214" s="7" t="s">
        <v>273</v>
      </c>
      <c r="B214" s="7" t="s">
        <v>310</v>
      </c>
      <c r="C214" s="8" t="n">
        <v>311002005</v>
      </c>
      <c r="D214" s="9"/>
      <c r="E214" s="9"/>
      <c r="F214" s="9"/>
      <c r="G214" s="9"/>
      <c r="H214" s="9"/>
      <c r="I214" s="9" t="n">
        <v>1</v>
      </c>
      <c r="J214" s="9"/>
      <c r="K214" s="9"/>
      <c r="L214" s="9"/>
      <c r="M214" s="9"/>
      <c r="N214" s="9"/>
      <c r="O214" s="9"/>
      <c r="P214" s="9"/>
      <c r="Q214" s="9"/>
      <c r="R214" s="9" t="n">
        <v>1</v>
      </c>
      <c r="S214" s="9"/>
      <c r="T214" s="9"/>
      <c r="U214" s="9"/>
      <c r="V214" s="9"/>
      <c r="W214" s="9"/>
      <c r="X214" s="9" t="n">
        <v>1</v>
      </c>
      <c r="Y214" s="9"/>
      <c r="Z214" s="9"/>
      <c r="AA214" s="9"/>
      <c r="AB214" s="9"/>
      <c r="AC214" s="9"/>
      <c r="AD214" s="9" t="n">
        <v>2</v>
      </c>
      <c r="AE214" s="9" t="n">
        <v>4</v>
      </c>
      <c r="AF214" s="9" t="n">
        <v>1</v>
      </c>
      <c r="AG214" s="9"/>
      <c r="AH214" s="9"/>
      <c r="AI214" s="9"/>
      <c r="AJ214" s="9" t="n">
        <v>4</v>
      </c>
      <c r="AK214" s="9" t="n">
        <v>1</v>
      </c>
      <c r="AL214" s="9"/>
      <c r="AM214" s="9"/>
      <c r="AN214" s="9" t="n">
        <v>4</v>
      </c>
      <c r="AO214" s="9"/>
      <c r="AP214" s="9" t="n">
        <v>2</v>
      </c>
      <c r="AQ214" s="9"/>
      <c r="AR214" s="9"/>
      <c r="AS214" s="9" t="n">
        <v>1</v>
      </c>
      <c r="AT214" s="9" t="n">
        <v>4</v>
      </c>
      <c r="AU214" s="9" t="n">
        <v>2</v>
      </c>
      <c r="AV214" s="9"/>
      <c r="AW214" s="9"/>
      <c r="AX214" s="9"/>
      <c r="AY214" s="9" t="n">
        <v>1</v>
      </c>
      <c r="AZ214" s="9" t="n">
        <v>5</v>
      </c>
      <c r="BA214" s="9"/>
      <c r="BB214" s="9"/>
      <c r="BC214" s="9" t="n">
        <v>2</v>
      </c>
      <c r="BD214" s="9"/>
      <c r="BE214" s="9"/>
      <c r="BF214" s="9"/>
      <c r="BG214" s="9" t="n">
        <v>2</v>
      </c>
      <c r="BH214" s="9"/>
      <c r="BI214" s="9"/>
      <c r="BJ214" s="9"/>
      <c r="BK214" s="9"/>
      <c r="BL214" s="9"/>
      <c r="BM214" s="9"/>
      <c r="BN214" s="9"/>
      <c r="BO214" s="9"/>
      <c r="BP214" s="9"/>
      <c r="BQ214" s="9"/>
      <c r="BR214" s="9"/>
      <c r="BS214" s="9"/>
      <c r="BT214" s="9"/>
      <c r="BU214" s="10" t="n">
        <v>38</v>
      </c>
      <c r="BV214" s="11" t="n">
        <f aca="false">IF(ISERROR(ROUND(MEDIAN(BQ214:BT214),0)),0,ROUND(MEDIAN(BQ214:BT214),0))</f>
        <v>0</v>
      </c>
      <c r="BW214" s="11" t="n">
        <f aca="false">IF(ISERROR(ROUND(MEDIAN(BM214:BT214),0)),0,ROUND(MEDIAN(BM214:BT214),0))</f>
        <v>0</v>
      </c>
      <c r="BX214" s="11" t="n">
        <f aca="false">IF(ISERROR(ROUND(MEDIAN(BI214:BT214),0)),0,ROUND(MEDIAN(BI214:BT214),0))</f>
        <v>0</v>
      </c>
      <c r="BY214" s="11" t="n">
        <f aca="false">IF(ISERROR(ROUND(MEDIAN(BE214:BT214),0)),0,ROUND(MEDIAN(BE214:BT214),0))</f>
        <v>2</v>
      </c>
      <c r="BZ214" s="11" t="n">
        <f aca="false">IF(ISERROR(ROUND(MEDIAN(AU214:BT214),0)),0,ROUND(MEDIAN(AU214:BT214),0))</f>
        <v>2</v>
      </c>
      <c r="CA214" s="12" t="n">
        <f aca="false">IF(ISERROR(ROUND(MEDIAN(U214:BT214),0)),0,ROUND(MEDIAN(U214:BT214),0))</f>
        <v>2</v>
      </c>
      <c r="CB214" s="12" t="n">
        <f aca="false">IF(ISERROR(ROUND(MEDIAN(BT214),0)),0,ROUND(MEDIAN(BT214),0))</f>
        <v>0</v>
      </c>
      <c r="CC214" s="12" t="n">
        <f aca="false">IF(ISERROR(ROUND(MEDIAN(D214:BT214),0)),0,ROUND(MEDIAN(D214:BT214),0))</f>
        <v>2</v>
      </c>
      <c r="CD214" s="12" t="n">
        <f aca="false">MAX(D214:BT214)</f>
        <v>5</v>
      </c>
      <c r="CE214" s="7" t="n">
        <f aca="false">COUNTA(BQ214:BT214)</f>
        <v>0</v>
      </c>
      <c r="CF214" s="7" t="n">
        <f aca="false">COUNTA(BM214:BT214)</f>
        <v>0</v>
      </c>
      <c r="CG214" s="7" t="n">
        <f aca="false">COUNTA(BI214:BT214)</f>
        <v>0</v>
      </c>
      <c r="CH214" s="7" t="n">
        <f aca="false">COUNTA(BE214:BT214)</f>
        <v>1</v>
      </c>
      <c r="CI214" s="7" t="n">
        <f aca="false">COUNTA(AU214:BT214)</f>
        <v>5</v>
      </c>
      <c r="CJ214" s="7" t="n">
        <f aca="false">COUNTA(U214:BT214)</f>
        <v>15</v>
      </c>
      <c r="CK214" s="7" t="n">
        <f aca="false">COUNTA(BT214)</f>
        <v>0</v>
      </c>
      <c r="CL214" s="7" t="n">
        <f aca="false">COUNTA(D214:BT214)</f>
        <v>17</v>
      </c>
      <c r="CM214" s="17" t="str">
        <f aca="false">IF(AND(CE214=1,CJ214=1,BT214&lt;&gt;""),"5.ENTRANTES",IF(AND(CE214&lt;&gt;0,CE214/RIGHT($CE$1,1)&gt;=0.5,CJ214=CE214),"4.RECENTES",IF(AND(CF214&lt;&gt;0,CF214/RIGHT($CF$1,1)&gt;=0.5,CJ214=CF214),"4.RECENTES",IF(AND(CG214&lt;&gt;0,CG214/RIGHT($CG$1,2)&gt;=0.5,CJ214=CG214),"4.RECENTES",IF(AND(CH214&lt;&gt;0,CH214/RIGHT($CH$1,2)&gt;=0.5,CJ214=CH214),"4.RECENTES",IF(AND(CI214&lt;&gt;0,CI214/RIGHT($CI$1,2)&gt;=0.5,CJ214=CI214),"4.RECENTES",IF(AND(CE214=0,CF214=0,CG214=0,CH214=0),"3.INATIVOS",IF(CJ214/RIGHT($CJ$1,2)&lt;0.5,"2.INTERMITENTES","1.ORDINÁRIOS"))))))))</f>
        <v>2.INTERMITENTES</v>
      </c>
      <c r="CN214" s="18" t="n">
        <f aca="false">IF(AND(CE214=1,CJ214=1,BT214&lt;&gt;""),BT214,IF(AND(CE214&lt;&gt;0,CE214/RIGHT($CE$1,1)&gt;=0.5,CJ214=CE214),MAX(BV214:CC214),IF(AND(CF214&lt;&gt;0,CF214/RIGHT($CF$1,1)&gt;=0.5,CJ214=CF214),MAX(BV214:CC214),IF(AND(CG214&lt;&gt;0,CG214/RIGHT($CG$1,2)&gt;=0.5,CJ214=CG214),MAX(BV214:CC214),IF(AND(CH214&lt;&gt;0,CH214/RIGHT($CH$1,2)&gt;=0.5,CJ214=CH214),MAX(BV214:CC214),IF(AND(CI214&lt;&gt;0,CI214/RIGHT($CI$1,2)&gt;=0.5,CJ214=CI214),MAX(BV214:CC214),IF(AND(CE214=0,CF214=0,CG214=0,CH214=0),0,IF(CJ214/RIGHT($CJ$1,2)&lt;0.5,ROUND(BU214/RIGHT($CJ$1,2),0),MAX(BV214:CC214)))))))))</f>
        <v>1</v>
      </c>
      <c r="CO214" s="18" t="n">
        <f aca="false">CD214</f>
        <v>5</v>
      </c>
      <c r="CP214" s="15" t="n">
        <v>4</v>
      </c>
      <c r="CQ214" s="16" t="n">
        <f aca="false">IF((CO214-CP214)&lt;0,0,(CO214-CP214))</f>
        <v>1</v>
      </c>
      <c r="CR214" s="7"/>
    </row>
    <row r="215" customFormat="false" ht="12.75" hidden="false" customHeight="true" outlineLevel="0" collapsed="false">
      <c r="A215" s="7" t="s">
        <v>273</v>
      </c>
      <c r="B215" s="7" t="s">
        <v>311</v>
      </c>
      <c r="C215" s="8" t="n">
        <v>10001011</v>
      </c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 t="n">
        <v>1</v>
      </c>
      <c r="AS215" s="9"/>
      <c r="AT215" s="9"/>
      <c r="AU215" s="9"/>
      <c r="AV215" s="9"/>
      <c r="AW215" s="9"/>
      <c r="AX215" s="9"/>
      <c r="AY215" s="9"/>
      <c r="AZ215" s="9"/>
      <c r="BA215" s="9"/>
      <c r="BB215" s="9"/>
      <c r="BC215" s="9"/>
      <c r="BD215" s="9"/>
      <c r="BE215" s="9"/>
      <c r="BF215" s="9"/>
      <c r="BG215" s="9"/>
      <c r="BH215" s="9"/>
      <c r="BI215" s="9"/>
      <c r="BJ215" s="9"/>
      <c r="BK215" s="9"/>
      <c r="BL215" s="9"/>
      <c r="BM215" s="9"/>
      <c r="BN215" s="9"/>
      <c r="BO215" s="9"/>
      <c r="BP215" s="9"/>
      <c r="BQ215" s="9"/>
      <c r="BR215" s="9"/>
      <c r="BS215" s="9"/>
      <c r="BT215" s="9"/>
      <c r="BU215" s="10" t="n">
        <v>1</v>
      </c>
      <c r="BV215" s="11" t="n">
        <f aca="false">IF(ISERROR(ROUND(MEDIAN(BQ215:BT215),0)),0,ROUND(MEDIAN(BQ215:BT215),0))</f>
        <v>0</v>
      </c>
      <c r="BW215" s="11" t="n">
        <f aca="false">IF(ISERROR(ROUND(MEDIAN(BM215:BT215),0)),0,ROUND(MEDIAN(BM215:BT215),0))</f>
        <v>0</v>
      </c>
      <c r="BX215" s="11" t="n">
        <f aca="false">IF(ISERROR(ROUND(MEDIAN(BI215:BT215),0)),0,ROUND(MEDIAN(BI215:BT215),0))</f>
        <v>0</v>
      </c>
      <c r="BY215" s="11" t="n">
        <f aca="false">IF(ISERROR(ROUND(MEDIAN(BE215:BT215),0)),0,ROUND(MEDIAN(BE215:BT215),0))</f>
        <v>0</v>
      </c>
      <c r="BZ215" s="11" t="n">
        <f aca="false">IF(ISERROR(ROUND(MEDIAN(AU215:BT215),0)),0,ROUND(MEDIAN(AU215:BT215),0))</f>
        <v>0</v>
      </c>
      <c r="CA215" s="12" t="n">
        <f aca="false">IF(ISERROR(ROUND(MEDIAN(U215:BT215),0)),0,ROUND(MEDIAN(U215:BT215),0))</f>
        <v>1</v>
      </c>
      <c r="CB215" s="12" t="n">
        <f aca="false">IF(ISERROR(ROUND(MEDIAN(BT215),0)),0,ROUND(MEDIAN(BT215),0))</f>
        <v>0</v>
      </c>
      <c r="CC215" s="12" t="n">
        <f aca="false">IF(ISERROR(ROUND(MEDIAN(D215:BT215),0)),0,ROUND(MEDIAN(D215:BT215),0))</f>
        <v>1</v>
      </c>
      <c r="CD215" s="12" t="n">
        <f aca="false">MAX(D215:BT215)</f>
        <v>1</v>
      </c>
      <c r="CE215" s="7" t="n">
        <f aca="false">COUNTA(BQ215:BT215)</f>
        <v>0</v>
      </c>
      <c r="CF215" s="7" t="n">
        <f aca="false">COUNTA(BM215:BT215)</f>
        <v>0</v>
      </c>
      <c r="CG215" s="7" t="n">
        <f aca="false">COUNTA(BI215:BT215)</f>
        <v>0</v>
      </c>
      <c r="CH215" s="7" t="n">
        <f aca="false">COUNTA(BE215:BT215)</f>
        <v>0</v>
      </c>
      <c r="CI215" s="7" t="n">
        <f aca="false">COUNTA(AU215:BT215)</f>
        <v>0</v>
      </c>
      <c r="CJ215" s="7" t="n">
        <f aca="false">COUNTA(U215:BT215)</f>
        <v>1</v>
      </c>
      <c r="CK215" s="7" t="n">
        <f aca="false">COUNTA(BT215)</f>
        <v>0</v>
      </c>
      <c r="CL215" s="7" t="n">
        <f aca="false">COUNTA(D215:BT215)</f>
        <v>1</v>
      </c>
      <c r="CM215" s="19" t="str">
        <f aca="false">IF(AND(CE215=1,CJ215=1,BT215&lt;&gt;""),"5.ENTRANTES",IF(AND(CE215&lt;&gt;0,CE215/RIGHT($CE$1,1)&gt;=0.5,CJ215=CE215),"4.RECENTES",IF(AND(CF215&lt;&gt;0,CF215/RIGHT($CF$1,1)&gt;=0.5,CJ215=CF215),"4.RECENTES",IF(AND(CG215&lt;&gt;0,CG215/RIGHT($CG$1,2)&gt;=0.5,CJ215=CG215),"4.RECENTES",IF(AND(CH215&lt;&gt;0,CH215/RIGHT($CH$1,2)&gt;=0.5,CJ215=CH215),"4.RECENTES",IF(AND(CI215&lt;&gt;0,CI215/RIGHT($CI$1,2)&gt;=0.5,CJ215=CI215),"4.RECENTES",IF(AND(CE215=0,CF215=0,CG215=0,CH215=0),"3.INATIVOS",IF(CJ215/RIGHT($CJ$1,2)&lt;0.5,"2.INTERMITENTES","1.ORDINÁRIOS"))))))))</f>
        <v>3.INATIVOS</v>
      </c>
      <c r="CN215" s="20" t="n">
        <f aca="false">IF(AND(CE215=1,CJ215=1,BT215&lt;&gt;""),BT215,IF(AND(CE215&lt;&gt;0,CE215/RIGHT($CE$1,1)&gt;=0.5,CJ215=CE215),MAX(BV215:CC215),IF(AND(CF215&lt;&gt;0,CF215/RIGHT($CF$1,1)&gt;=0.5,CJ215=CF215),MAX(BV215:CC215),IF(AND(CG215&lt;&gt;0,CG215/RIGHT($CG$1,2)&gt;=0.5,CJ215=CG215),MAX(BV215:CC215),IF(AND(CH215&lt;&gt;0,CH215/RIGHT($CH$1,2)&gt;=0.5,CJ215=CH215),MAX(BV215:CC215),IF(AND(CI215&lt;&gt;0,CI215/RIGHT($CI$1,2)&gt;=0.5,CJ215=CI215),MAX(BV215:CC215),IF(AND(CE215=0,CF215=0,CG215=0,CH215=0),0,IF(CJ215/RIGHT($CJ$1,2)&lt;0.5,ROUND(BU215/RIGHT($CJ$1,2),0),MAX(BV215:CC215)))))))))</f>
        <v>0</v>
      </c>
      <c r="CO215" s="20" t="n">
        <f aca="false">CN215*3</f>
        <v>0</v>
      </c>
      <c r="CP215" s="15" t="n">
        <v>0</v>
      </c>
      <c r="CQ215" s="16" t="n">
        <f aca="false">IF((CO215-CP215)&lt;0,0,(CO215-CP215))</f>
        <v>0</v>
      </c>
      <c r="CR215" s="7"/>
    </row>
    <row r="216" customFormat="false" ht="12.75" hidden="false" customHeight="true" outlineLevel="0" collapsed="false">
      <c r="A216" s="7" t="s">
        <v>273</v>
      </c>
      <c r="B216" s="7" t="s">
        <v>312</v>
      </c>
      <c r="C216" s="8" t="n">
        <v>21001088</v>
      </c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 t="n">
        <v>30</v>
      </c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s="9"/>
      <c r="BU216" s="10" t="n">
        <v>30</v>
      </c>
      <c r="BV216" s="11" t="n">
        <f aca="false">IF(ISERROR(ROUND(MEDIAN(BQ216:BT216),0)),0,ROUND(MEDIAN(BQ216:BT216),0))</f>
        <v>0</v>
      </c>
      <c r="BW216" s="11" t="n">
        <f aca="false">IF(ISERROR(ROUND(MEDIAN(BM216:BT216),0)),0,ROUND(MEDIAN(BM216:BT216),0))</f>
        <v>0</v>
      </c>
      <c r="BX216" s="11" t="n">
        <f aca="false">IF(ISERROR(ROUND(MEDIAN(BI216:BT216),0)),0,ROUND(MEDIAN(BI216:BT216),0))</f>
        <v>0</v>
      </c>
      <c r="BY216" s="11" t="n">
        <f aca="false">IF(ISERROR(ROUND(MEDIAN(BE216:BT216),0)),0,ROUND(MEDIAN(BE216:BT216),0))</f>
        <v>0</v>
      </c>
      <c r="BZ216" s="11" t="n">
        <f aca="false">IF(ISERROR(ROUND(MEDIAN(AU216:BT216),0)),0,ROUND(MEDIAN(AU216:BT216),0))</f>
        <v>0</v>
      </c>
      <c r="CA216" s="12" t="n">
        <f aca="false">IF(ISERROR(ROUND(MEDIAN(U216:BT216),0)),0,ROUND(MEDIAN(U216:BT216),0))</f>
        <v>30</v>
      </c>
      <c r="CB216" s="12" t="n">
        <f aca="false">IF(ISERROR(ROUND(MEDIAN(BT216),0)),0,ROUND(MEDIAN(BT216),0))</f>
        <v>0</v>
      </c>
      <c r="CC216" s="12" t="n">
        <f aca="false">IF(ISERROR(ROUND(MEDIAN(D216:BT216),0)),0,ROUND(MEDIAN(D216:BT216),0))</f>
        <v>30</v>
      </c>
      <c r="CD216" s="12" t="n">
        <f aca="false">MAX(D216:BT216)</f>
        <v>30</v>
      </c>
      <c r="CE216" s="7" t="n">
        <f aca="false">COUNTA(BQ216:BT216)</f>
        <v>0</v>
      </c>
      <c r="CF216" s="7" t="n">
        <f aca="false">COUNTA(BM216:BT216)</f>
        <v>0</v>
      </c>
      <c r="CG216" s="7" t="n">
        <f aca="false">COUNTA(BI216:BT216)</f>
        <v>0</v>
      </c>
      <c r="CH216" s="7" t="n">
        <f aca="false">COUNTA(BE216:BT216)</f>
        <v>0</v>
      </c>
      <c r="CI216" s="7" t="n">
        <f aca="false">COUNTA(AU216:BT216)</f>
        <v>0</v>
      </c>
      <c r="CJ216" s="7" t="n">
        <f aca="false">COUNTA(U216:BT216)</f>
        <v>1</v>
      </c>
      <c r="CK216" s="7" t="n">
        <f aca="false">COUNTA(BT216)</f>
        <v>0</v>
      </c>
      <c r="CL216" s="7" t="n">
        <f aca="false">COUNTA(D216:BT216)</f>
        <v>1</v>
      </c>
      <c r="CM216" s="19" t="str">
        <f aca="false">IF(AND(CE216=1,CJ216=1,BT216&lt;&gt;""),"5.ENTRANTES",IF(AND(CE216&lt;&gt;0,CE216/RIGHT($CE$1,1)&gt;=0.5,CJ216=CE216),"4.RECENTES",IF(AND(CF216&lt;&gt;0,CF216/RIGHT($CF$1,1)&gt;=0.5,CJ216=CF216),"4.RECENTES",IF(AND(CG216&lt;&gt;0,CG216/RIGHT($CG$1,2)&gt;=0.5,CJ216=CG216),"4.RECENTES",IF(AND(CH216&lt;&gt;0,CH216/RIGHT($CH$1,2)&gt;=0.5,CJ216=CH216),"4.RECENTES",IF(AND(CI216&lt;&gt;0,CI216/RIGHT($CI$1,2)&gt;=0.5,CJ216=CI216),"4.RECENTES",IF(AND(CE216=0,CF216=0,CG216=0,CH216=0),"3.INATIVOS",IF(CJ216/RIGHT($CJ$1,2)&lt;0.5,"2.INTERMITENTES","1.ORDINÁRIOS"))))))))</f>
        <v>3.INATIVOS</v>
      </c>
      <c r="CN216" s="20" t="n">
        <f aca="false">IF(AND(CE216=1,CJ216=1,BT216&lt;&gt;""),BT216,IF(AND(CE216&lt;&gt;0,CE216/RIGHT($CE$1,1)&gt;=0.5,CJ216=CE216),MAX(BV216:CC216),IF(AND(CF216&lt;&gt;0,CF216/RIGHT($CF$1,1)&gt;=0.5,CJ216=CF216),MAX(BV216:CC216),IF(AND(CG216&lt;&gt;0,CG216/RIGHT($CG$1,2)&gt;=0.5,CJ216=CG216),MAX(BV216:CC216),IF(AND(CH216&lt;&gt;0,CH216/RIGHT($CH$1,2)&gt;=0.5,CJ216=CH216),MAX(BV216:CC216),IF(AND(CI216&lt;&gt;0,CI216/RIGHT($CI$1,2)&gt;=0.5,CJ216=CI216),MAX(BV216:CC216),IF(AND(CE216=0,CF216=0,CG216=0,CH216=0),0,IF(CJ216/RIGHT($CJ$1,2)&lt;0.5,ROUND(BU216/RIGHT($CJ$1,2),0),MAX(BV216:CC216)))))))))</f>
        <v>0</v>
      </c>
      <c r="CO216" s="20" t="n">
        <f aca="false">CN216*3</f>
        <v>0</v>
      </c>
      <c r="CP216" s="15" t="n">
        <v>0</v>
      </c>
      <c r="CQ216" s="16" t="n">
        <f aca="false">IF((CO216-CP216)&lt;0,0,(CO216-CP216))</f>
        <v>0</v>
      </c>
      <c r="CR216" s="7"/>
    </row>
    <row r="217" customFormat="false" ht="12.75" hidden="false" customHeight="true" outlineLevel="0" collapsed="false">
      <c r="A217" s="7" t="s">
        <v>273</v>
      </c>
      <c r="B217" s="7" t="s">
        <v>313</v>
      </c>
      <c r="C217" s="8" t="n">
        <v>329003001</v>
      </c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 t="n">
        <v>60</v>
      </c>
      <c r="BR217" s="9"/>
      <c r="BS217" s="9"/>
      <c r="BT217" s="9"/>
      <c r="BU217" s="10" t="n">
        <v>60</v>
      </c>
      <c r="BV217" s="11" t="n">
        <f aca="false">IF(ISERROR(ROUND(MEDIAN(BQ217:BT217),0)),0,ROUND(MEDIAN(BQ217:BT217),0))</f>
        <v>60</v>
      </c>
      <c r="BW217" s="11" t="n">
        <f aca="false">IF(ISERROR(ROUND(MEDIAN(BM217:BT217),0)),0,ROUND(MEDIAN(BM217:BT217),0))</f>
        <v>60</v>
      </c>
      <c r="BX217" s="11" t="n">
        <f aca="false">IF(ISERROR(ROUND(MEDIAN(BI217:BT217),0)),0,ROUND(MEDIAN(BI217:BT217),0))</f>
        <v>60</v>
      </c>
      <c r="BY217" s="11" t="n">
        <f aca="false">IF(ISERROR(ROUND(MEDIAN(BE217:BT217),0)),0,ROUND(MEDIAN(BE217:BT217),0))</f>
        <v>60</v>
      </c>
      <c r="BZ217" s="11" t="n">
        <f aca="false">IF(ISERROR(ROUND(MEDIAN(AU217:BT217),0)),0,ROUND(MEDIAN(AU217:BT217),0))</f>
        <v>60</v>
      </c>
      <c r="CA217" s="12" t="n">
        <f aca="false">IF(ISERROR(ROUND(MEDIAN(U217:BT217),0)),0,ROUND(MEDIAN(U217:BT217),0))</f>
        <v>60</v>
      </c>
      <c r="CB217" s="12" t="n">
        <f aca="false">IF(ISERROR(ROUND(MEDIAN(BT217),0)),0,ROUND(MEDIAN(BT217),0))</f>
        <v>0</v>
      </c>
      <c r="CC217" s="12" t="n">
        <f aca="false">IF(ISERROR(ROUND(MEDIAN(D217:BT217),0)),0,ROUND(MEDIAN(D217:BT217),0))</f>
        <v>60</v>
      </c>
      <c r="CD217" s="12" t="n">
        <f aca="false">MAX(D217:BT217)</f>
        <v>60</v>
      </c>
      <c r="CE217" s="7" t="n">
        <f aca="false">COUNTA(BQ217:BT217)</f>
        <v>1</v>
      </c>
      <c r="CF217" s="7" t="n">
        <f aca="false">COUNTA(BM217:BT217)</f>
        <v>1</v>
      </c>
      <c r="CG217" s="7" t="n">
        <f aca="false">COUNTA(BI217:BT217)</f>
        <v>1</v>
      </c>
      <c r="CH217" s="7" t="n">
        <f aca="false">COUNTA(BE217:BT217)</f>
        <v>1</v>
      </c>
      <c r="CI217" s="7" t="n">
        <f aca="false">COUNTA(AU217:BT217)</f>
        <v>1</v>
      </c>
      <c r="CJ217" s="7" t="n">
        <f aca="false">COUNTA(U217:BT217)</f>
        <v>1</v>
      </c>
      <c r="CK217" s="7" t="n">
        <f aca="false">COUNTA(BT217)</f>
        <v>0</v>
      </c>
      <c r="CL217" s="7" t="n">
        <f aca="false">COUNTA(D217:BT217)</f>
        <v>1</v>
      </c>
      <c r="CM217" s="17" t="str">
        <f aca="false">IF(AND(CE217=1,CJ217=1,BT217&lt;&gt;""),"5.ENTRANTES",IF(AND(CE217&lt;&gt;0,CE217/RIGHT($CE$1,1)&gt;=0.5,CJ217=CE217),"4.RECENTES",IF(AND(CF217&lt;&gt;0,CF217/RIGHT($CF$1,1)&gt;=0.5,CJ217=CF217),"4.RECENTES",IF(AND(CG217&lt;&gt;0,CG217/RIGHT($CG$1,2)&gt;=0.5,CJ217=CG217),"4.RECENTES",IF(AND(CH217&lt;&gt;0,CH217/RIGHT($CH$1,2)&gt;=0.5,CJ217=CH217),"4.RECENTES",IF(AND(CI217&lt;&gt;0,CI217/RIGHT($CI$1,2)&gt;=0.5,CJ217=CI217),"4.RECENTES",IF(AND(CE217=0,CF217=0,CG217=0,CH217=0),"3.INATIVOS",IF(CJ217/RIGHT($CJ$1,2)&lt;0.5,"2.INTERMITENTES","1.ORDINÁRIOS"))))))))</f>
        <v>2.INTERMITENTES</v>
      </c>
      <c r="CN217" s="18" t="n">
        <f aca="false">IF(AND(CE217=1,CJ217=1,BT217&lt;&gt;""),BT217,IF(AND(CE217&lt;&gt;0,CE217/RIGHT($CE$1,1)&gt;=0.5,CJ217=CE217),MAX(BV217:CC217),IF(AND(CF217&lt;&gt;0,CF217/RIGHT($CF$1,1)&gt;=0.5,CJ217=CF217),MAX(BV217:CC217),IF(AND(CG217&lt;&gt;0,CG217/RIGHT($CG$1,2)&gt;=0.5,CJ217=CG217),MAX(BV217:CC217),IF(AND(CH217&lt;&gt;0,CH217/RIGHT($CH$1,2)&gt;=0.5,CJ217=CH217),MAX(BV217:CC217),IF(AND(CI217&lt;&gt;0,CI217/RIGHT($CI$1,2)&gt;=0.5,CJ217=CI217),MAX(BV217:CC217),IF(AND(CE217=0,CF217=0,CG217=0,CH217=0),0,IF(CJ217/RIGHT($CJ$1,2)&lt;0.5,ROUND(BU217/RIGHT($CJ$1,2),0),MAX(BV217:CC217)))))))))</f>
        <v>1</v>
      </c>
      <c r="CO217" s="18" t="n">
        <f aca="false">CD217</f>
        <v>60</v>
      </c>
      <c r="CP217" s="15" t="n">
        <v>0</v>
      </c>
      <c r="CQ217" s="16" t="n">
        <f aca="false">IF((CO217-CP217)&lt;0,0,(CO217-CP217))</f>
        <v>60</v>
      </c>
      <c r="CR217" s="7"/>
    </row>
    <row r="218" customFormat="false" ht="12.75" hidden="false" customHeight="true" outlineLevel="0" collapsed="false">
      <c r="A218" s="7" t="s">
        <v>273</v>
      </c>
      <c r="B218" s="7" t="s">
        <v>314</v>
      </c>
      <c r="C218" s="8" t="n">
        <v>325004002</v>
      </c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 t="n">
        <v>30</v>
      </c>
      <c r="R218" s="9"/>
      <c r="S218" s="9"/>
      <c r="T218" s="9"/>
      <c r="U218" s="9"/>
      <c r="V218" s="9" t="n">
        <v>30</v>
      </c>
      <c r="W218" s="9"/>
      <c r="X218" s="9"/>
      <c r="Y218" s="9"/>
      <c r="Z218" s="9" t="n">
        <v>30</v>
      </c>
      <c r="AA218" s="9"/>
      <c r="AB218" s="9"/>
      <c r="AC218" s="9"/>
      <c r="AD218" s="9" t="n">
        <v>30</v>
      </c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 t="n">
        <v>30</v>
      </c>
      <c r="AV218" s="9"/>
      <c r="AW218" s="9"/>
      <c r="AX218" s="9"/>
      <c r="AY218" s="9"/>
      <c r="AZ218" s="9"/>
      <c r="BA218" s="9"/>
      <c r="BB218" s="9"/>
      <c r="BC218" s="9"/>
      <c r="BD218" s="9"/>
      <c r="BE218" s="9" t="n">
        <v>30</v>
      </c>
      <c r="BF218" s="9"/>
      <c r="BG218" s="9"/>
      <c r="BH218" s="9"/>
      <c r="BI218" s="9"/>
      <c r="BJ218" s="9" t="n">
        <v>30</v>
      </c>
      <c r="BK218" s="9"/>
      <c r="BL218" s="9"/>
      <c r="BM218" s="9"/>
      <c r="BN218" s="9"/>
      <c r="BO218" s="9"/>
      <c r="BP218" s="9"/>
      <c r="BQ218" s="9"/>
      <c r="BR218" s="9"/>
      <c r="BS218" s="9"/>
      <c r="BT218" s="9"/>
      <c r="BU218" s="10" t="n">
        <v>210</v>
      </c>
      <c r="BV218" s="11" t="n">
        <f aca="false">IF(ISERROR(ROUND(MEDIAN(BQ218:BT218),0)),0,ROUND(MEDIAN(BQ218:BT218),0))</f>
        <v>0</v>
      </c>
      <c r="BW218" s="11" t="n">
        <f aca="false">IF(ISERROR(ROUND(MEDIAN(BM218:BT218),0)),0,ROUND(MEDIAN(BM218:BT218),0))</f>
        <v>0</v>
      </c>
      <c r="BX218" s="11" t="n">
        <f aca="false">IF(ISERROR(ROUND(MEDIAN(BI218:BT218),0)),0,ROUND(MEDIAN(BI218:BT218),0))</f>
        <v>30</v>
      </c>
      <c r="BY218" s="11" t="n">
        <f aca="false">IF(ISERROR(ROUND(MEDIAN(BE218:BT218),0)),0,ROUND(MEDIAN(BE218:BT218),0))</f>
        <v>30</v>
      </c>
      <c r="BZ218" s="11" t="n">
        <f aca="false">IF(ISERROR(ROUND(MEDIAN(AU218:BT218),0)),0,ROUND(MEDIAN(AU218:BT218),0))</f>
        <v>30</v>
      </c>
      <c r="CA218" s="12" t="n">
        <f aca="false">IF(ISERROR(ROUND(MEDIAN(U218:BT218),0)),0,ROUND(MEDIAN(U218:BT218),0))</f>
        <v>30</v>
      </c>
      <c r="CB218" s="12" t="n">
        <f aca="false">IF(ISERROR(ROUND(MEDIAN(BT218),0)),0,ROUND(MEDIAN(BT218),0))</f>
        <v>0</v>
      </c>
      <c r="CC218" s="12" t="n">
        <f aca="false">IF(ISERROR(ROUND(MEDIAN(D218:BT218),0)),0,ROUND(MEDIAN(D218:BT218),0))</f>
        <v>30</v>
      </c>
      <c r="CD218" s="12" t="n">
        <f aca="false">MAX(D218:BT218)</f>
        <v>30</v>
      </c>
      <c r="CE218" s="7" t="n">
        <f aca="false">COUNTA(BQ218:BT218)</f>
        <v>0</v>
      </c>
      <c r="CF218" s="7" t="n">
        <f aca="false">COUNTA(BM218:BT218)</f>
        <v>0</v>
      </c>
      <c r="CG218" s="7" t="n">
        <f aca="false">COUNTA(BI218:BT218)</f>
        <v>1</v>
      </c>
      <c r="CH218" s="7" t="n">
        <f aca="false">COUNTA(BE218:BT218)</f>
        <v>2</v>
      </c>
      <c r="CI218" s="7" t="n">
        <f aca="false">COUNTA(AU218:BT218)</f>
        <v>3</v>
      </c>
      <c r="CJ218" s="7" t="n">
        <f aca="false">COUNTA(U218:BT218)</f>
        <v>6</v>
      </c>
      <c r="CK218" s="7" t="n">
        <f aca="false">COUNTA(BT218)</f>
        <v>0</v>
      </c>
      <c r="CL218" s="7" t="n">
        <f aca="false">COUNTA(D218:BT218)</f>
        <v>7</v>
      </c>
      <c r="CM218" s="17" t="str">
        <f aca="false">IF(AND(CE218=1,CJ218=1,BT218&lt;&gt;""),"5.ENTRANTES",IF(AND(CE218&lt;&gt;0,CE218/RIGHT($CE$1,1)&gt;=0.5,CJ218=CE218),"4.RECENTES",IF(AND(CF218&lt;&gt;0,CF218/RIGHT($CF$1,1)&gt;=0.5,CJ218=CF218),"4.RECENTES",IF(AND(CG218&lt;&gt;0,CG218/RIGHT($CG$1,2)&gt;=0.5,CJ218=CG218),"4.RECENTES",IF(AND(CH218&lt;&gt;0,CH218/RIGHT($CH$1,2)&gt;=0.5,CJ218=CH218),"4.RECENTES",IF(AND(CI218&lt;&gt;0,CI218/RIGHT($CI$1,2)&gt;=0.5,CJ218=CI218),"4.RECENTES",IF(AND(CE218=0,CF218=0,CG218=0,CH218=0),"3.INATIVOS",IF(CJ218/RIGHT($CJ$1,2)&lt;0.5,"2.INTERMITENTES","1.ORDINÁRIOS"))))))))</f>
        <v>2.INTERMITENTES</v>
      </c>
      <c r="CN218" s="18" t="n">
        <f aca="false">IF(AND(CE218=1,CJ218=1,BT218&lt;&gt;""),BT218,IF(AND(CE218&lt;&gt;0,CE218/RIGHT($CE$1,1)&gt;=0.5,CJ218=CE218),MAX(BV218:CC218),IF(AND(CF218&lt;&gt;0,CF218/RIGHT($CF$1,1)&gt;=0.5,CJ218=CF218),MAX(BV218:CC218),IF(AND(CG218&lt;&gt;0,CG218/RIGHT($CG$1,2)&gt;=0.5,CJ218=CG218),MAX(BV218:CC218),IF(AND(CH218&lt;&gt;0,CH218/RIGHT($CH$1,2)&gt;=0.5,CJ218=CH218),MAX(BV218:CC218),IF(AND(CI218&lt;&gt;0,CI218/RIGHT($CI$1,2)&gt;=0.5,CJ218=CI218),MAX(BV218:CC218),IF(AND(CE218=0,CF218=0,CG218=0,CH218=0),0,IF(CJ218/RIGHT($CJ$1,2)&lt;0.5,ROUND(BU218/RIGHT($CJ$1,2),0),MAX(BV218:CC218)))))))))</f>
        <v>4</v>
      </c>
      <c r="CO218" s="18" t="n">
        <f aca="false">CD218</f>
        <v>30</v>
      </c>
      <c r="CP218" s="15" t="n">
        <v>30</v>
      </c>
      <c r="CQ218" s="16" t="n">
        <f aca="false">IF((CO218-CP218)&lt;0,0,(CO218-CP218))</f>
        <v>0</v>
      </c>
      <c r="CR218" s="7"/>
    </row>
    <row r="219" customFormat="false" ht="12.75" hidden="false" customHeight="true" outlineLevel="0" collapsed="false">
      <c r="A219" s="7" t="s">
        <v>273</v>
      </c>
      <c r="B219" s="7" t="s">
        <v>315</v>
      </c>
      <c r="C219" s="8" t="n">
        <v>311002006</v>
      </c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 t="n">
        <v>12</v>
      </c>
      <c r="AM219" s="9"/>
      <c r="AN219" s="9"/>
      <c r="AO219" s="9"/>
      <c r="AP219" s="9"/>
      <c r="AQ219" s="9"/>
      <c r="AR219" s="9"/>
      <c r="AS219" s="9"/>
      <c r="AT219" s="9"/>
      <c r="AU219" s="9"/>
      <c r="AV219" s="9" t="n">
        <v>14</v>
      </c>
      <c r="AW219" s="9" t="n">
        <v>13</v>
      </c>
      <c r="AX219" s="9"/>
      <c r="AY219" s="9"/>
      <c r="AZ219" s="9"/>
      <c r="BA219" s="9"/>
      <c r="BB219" s="9"/>
      <c r="BC219" s="9" t="n">
        <v>10</v>
      </c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s="9"/>
      <c r="BU219" s="10" t="n">
        <v>49</v>
      </c>
      <c r="BV219" s="11" t="n">
        <f aca="false">IF(ISERROR(ROUND(MEDIAN(BQ219:BT219),0)),0,ROUND(MEDIAN(BQ219:BT219),0))</f>
        <v>0</v>
      </c>
      <c r="BW219" s="11" t="n">
        <f aca="false">IF(ISERROR(ROUND(MEDIAN(BM219:BT219),0)),0,ROUND(MEDIAN(BM219:BT219),0))</f>
        <v>0</v>
      </c>
      <c r="BX219" s="11" t="n">
        <f aca="false">IF(ISERROR(ROUND(MEDIAN(BI219:BT219),0)),0,ROUND(MEDIAN(BI219:BT219),0))</f>
        <v>0</v>
      </c>
      <c r="BY219" s="11" t="n">
        <f aca="false">IF(ISERROR(ROUND(MEDIAN(BE219:BT219),0)),0,ROUND(MEDIAN(BE219:BT219),0))</f>
        <v>0</v>
      </c>
      <c r="BZ219" s="11" t="n">
        <f aca="false">IF(ISERROR(ROUND(MEDIAN(AU219:BT219),0)),0,ROUND(MEDIAN(AU219:BT219),0))</f>
        <v>13</v>
      </c>
      <c r="CA219" s="12" t="n">
        <f aca="false">IF(ISERROR(ROUND(MEDIAN(U219:BT219),0)),0,ROUND(MEDIAN(U219:BT219),0))</f>
        <v>13</v>
      </c>
      <c r="CB219" s="12" t="n">
        <f aca="false">IF(ISERROR(ROUND(MEDIAN(BT219),0)),0,ROUND(MEDIAN(BT219),0))</f>
        <v>0</v>
      </c>
      <c r="CC219" s="12" t="n">
        <f aca="false">IF(ISERROR(ROUND(MEDIAN(D219:BT219),0)),0,ROUND(MEDIAN(D219:BT219),0))</f>
        <v>13</v>
      </c>
      <c r="CD219" s="12" t="n">
        <f aca="false">MAX(D219:BT219)</f>
        <v>14</v>
      </c>
      <c r="CE219" s="7" t="n">
        <f aca="false">COUNTA(BQ219:BT219)</f>
        <v>0</v>
      </c>
      <c r="CF219" s="7" t="n">
        <f aca="false">COUNTA(BM219:BT219)</f>
        <v>0</v>
      </c>
      <c r="CG219" s="7" t="n">
        <f aca="false">COUNTA(BI219:BT219)</f>
        <v>0</v>
      </c>
      <c r="CH219" s="7" t="n">
        <f aca="false">COUNTA(BE219:BT219)</f>
        <v>0</v>
      </c>
      <c r="CI219" s="7" t="n">
        <f aca="false">COUNTA(AU219:BT219)</f>
        <v>3</v>
      </c>
      <c r="CJ219" s="7" t="n">
        <f aca="false">COUNTA(U219:BT219)</f>
        <v>4</v>
      </c>
      <c r="CK219" s="7" t="n">
        <f aca="false">COUNTA(BT219)</f>
        <v>0</v>
      </c>
      <c r="CL219" s="7" t="n">
        <f aca="false">COUNTA(D219:BT219)</f>
        <v>4</v>
      </c>
      <c r="CM219" s="19" t="str">
        <f aca="false">IF(AND(CE219=1,CJ219=1,BT219&lt;&gt;""),"5.ENTRANTES",IF(AND(CE219&lt;&gt;0,CE219/RIGHT($CE$1,1)&gt;=0.5,CJ219=CE219),"4.RECENTES",IF(AND(CF219&lt;&gt;0,CF219/RIGHT($CF$1,1)&gt;=0.5,CJ219=CF219),"4.RECENTES",IF(AND(CG219&lt;&gt;0,CG219/RIGHT($CG$1,2)&gt;=0.5,CJ219=CG219),"4.RECENTES",IF(AND(CH219&lt;&gt;0,CH219/RIGHT($CH$1,2)&gt;=0.5,CJ219=CH219),"4.RECENTES",IF(AND(CI219&lt;&gt;0,CI219/RIGHT($CI$1,2)&gt;=0.5,CJ219=CI219),"4.RECENTES",IF(AND(CE219=0,CF219=0,CG219=0,CH219=0),"3.INATIVOS",IF(CJ219/RIGHT($CJ$1,2)&lt;0.5,"2.INTERMITENTES","1.ORDINÁRIOS"))))))))</f>
        <v>3.INATIVOS</v>
      </c>
      <c r="CN219" s="20" t="n">
        <f aca="false">IF(AND(CE219=1,CJ219=1,BT219&lt;&gt;""),BT219,IF(AND(CE219&lt;&gt;0,CE219/RIGHT($CE$1,1)&gt;=0.5,CJ219=CE219),MAX(BV219:CC219),IF(AND(CF219&lt;&gt;0,CF219/RIGHT($CF$1,1)&gt;=0.5,CJ219=CF219),MAX(BV219:CC219),IF(AND(CG219&lt;&gt;0,CG219/RIGHT($CG$1,2)&gt;=0.5,CJ219=CG219),MAX(BV219:CC219),IF(AND(CH219&lt;&gt;0,CH219/RIGHT($CH$1,2)&gt;=0.5,CJ219=CH219),MAX(BV219:CC219),IF(AND(CI219&lt;&gt;0,CI219/RIGHT($CI$1,2)&gt;=0.5,CJ219=CI219),MAX(BV219:CC219),IF(AND(CE219=0,CF219=0,CG219=0,CH219=0),0,IF(CJ219/RIGHT($CJ$1,2)&lt;0.5,ROUND(BU219/RIGHT($CJ$1,2),0),MAX(BV219:CC219)))))))))</f>
        <v>0</v>
      </c>
      <c r="CO219" s="20" t="n">
        <f aca="false">CN219*3</f>
        <v>0</v>
      </c>
      <c r="CP219" s="15" t="n">
        <v>10</v>
      </c>
      <c r="CQ219" s="16" t="n">
        <f aca="false">IF((CO219-CP219)&lt;0,0,(CO219-CP219))</f>
        <v>0</v>
      </c>
      <c r="CR219" s="7"/>
    </row>
    <row r="220" customFormat="false" ht="12.75" hidden="false" customHeight="true" outlineLevel="0" collapsed="false">
      <c r="A220" s="7" t="s">
        <v>273</v>
      </c>
      <c r="B220" s="7" t="s">
        <v>316</v>
      </c>
      <c r="C220" s="8" t="n">
        <v>330001001</v>
      </c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 t="n">
        <v>28</v>
      </c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9"/>
      <c r="BU220" s="10" t="n">
        <v>28</v>
      </c>
      <c r="BV220" s="11" t="n">
        <f aca="false">IF(ISERROR(ROUND(MEDIAN(BQ220:BT220),0)),0,ROUND(MEDIAN(BQ220:BT220),0))</f>
        <v>0</v>
      </c>
      <c r="BW220" s="11" t="n">
        <f aca="false">IF(ISERROR(ROUND(MEDIAN(BM220:BT220),0)),0,ROUND(MEDIAN(BM220:BT220),0))</f>
        <v>0</v>
      </c>
      <c r="BX220" s="11" t="n">
        <f aca="false">IF(ISERROR(ROUND(MEDIAN(BI220:BT220),0)),0,ROUND(MEDIAN(BI220:BT220),0))</f>
        <v>0</v>
      </c>
      <c r="BY220" s="11" t="n">
        <f aca="false">IF(ISERROR(ROUND(MEDIAN(BE220:BT220),0)),0,ROUND(MEDIAN(BE220:BT220),0))</f>
        <v>0</v>
      </c>
      <c r="BZ220" s="11" t="n">
        <f aca="false">IF(ISERROR(ROUND(MEDIAN(AU220:BT220),0)),0,ROUND(MEDIAN(AU220:BT220),0))</f>
        <v>0</v>
      </c>
      <c r="CA220" s="12" t="n">
        <f aca="false">IF(ISERROR(ROUND(MEDIAN(U220:BT220),0)),0,ROUND(MEDIAN(U220:BT220),0))</f>
        <v>28</v>
      </c>
      <c r="CB220" s="12" t="n">
        <f aca="false">IF(ISERROR(ROUND(MEDIAN(BT220),0)),0,ROUND(MEDIAN(BT220),0))</f>
        <v>0</v>
      </c>
      <c r="CC220" s="12" t="n">
        <f aca="false">IF(ISERROR(ROUND(MEDIAN(D220:BT220),0)),0,ROUND(MEDIAN(D220:BT220),0))</f>
        <v>28</v>
      </c>
      <c r="CD220" s="12" t="n">
        <f aca="false">MAX(D220:BT220)</f>
        <v>28</v>
      </c>
      <c r="CE220" s="7" t="n">
        <f aca="false">COUNTA(BQ220:BT220)</f>
        <v>0</v>
      </c>
      <c r="CF220" s="7" t="n">
        <f aca="false">COUNTA(BM220:BT220)</f>
        <v>0</v>
      </c>
      <c r="CG220" s="7" t="n">
        <f aca="false">COUNTA(BI220:BT220)</f>
        <v>0</v>
      </c>
      <c r="CH220" s="7" t="n">
        <f aca="false">COUNTA(BE220:BT220)</f>
        <v>0</v>
      </c>
      <c r="CI220" s="7" t="n">
        <f aca="false">COUNTA(AU220:BT220)</f>
        <v>0</v>
      </c>
      <c r="CJ220" s="7" t="n">
        <f aca="false">COUNTA(U220:BT220)</f>
        <v>1</v>
      </c>
      <c r="CK220" s="7" t="n">
        <f aca="false">COUNTA(BT220)</f>
        <v>0</v>
      </c>
      <c r="CL220" s="7" t="n">
        <f aca="false">COUNTA(D220:BT220)</f>
        <v>1</v>
      </c>
      <c r="CM220" s="19" t="str">
        <f aca="false">IF(AND(CE220=1,CJ220=1,BT220&lt;&gt;""),"5.ENTRANTES",IF(AND(CE220&lt;&gt;0,CE220/RIGHT($CE$1,1)&gt;=0.5,CJ220=CE220),"4.RECENTES",IF(AND(CF220&lt;&gt;0,CF220/RIGHT($CF$1,1)&gt;=0.5,CJ220=CF220),"4.RECENTES",IF(AND(CG220&lt;&gt;0,CG220/RIGHT($CG$1,2)&gt;=0.5,CJ220=CG220),"4.RECENTES",IF(AND(CH220&lt;&gt;0,CH220/RIGHT($CH$1,2)&gt;=0.5,CJ220=CH220),"4.RECENTES",IF(AND(CI220&lt;&gt;0,CI220/RIGHT($CI$1,2)&gt;=0.5,CJ220=CI220),"4.RECENTES",IF(AND(CE220=0,CF220=0,CG220=0,CH220=0),"3.INATIVOS",IF(CJ220/RIGHT($CJ$1,2)&lt;0.5,"2.INTERMITENTES","1.ORDINÁRIOS"))))))))</f>
        <v>3.INATIVOS</v>
      </c>
      <c r="CN220" s="20" t="n">
        <f aca="false">IF(AND(CE220=1,CJ220=1,BT220&lt;&gt;""),BT220,IF(AND(CE220&lt;&gt;0,CE220/RIGHT($CE$1,1)&gt;=0.5,CJ220=CE220),MAX(BV220:CC220),IF(AND(CF220&lt;&gt;0,CF220/RIGHT($CF$1,1)&gt;=0.5,CJ220=CF220),MAX(BV220:CC220),IF(AND(CG220&lt;&gt;0,CG220/RIGHT($CG$1,2)&gt;=0.5,CJ220=CG220),MAX(BV220:CC220),IF(AND(CH220&lt;&gt;0,CH220/RIGHT($CH$1,2)&gt;=0.5,CJ220=CH220),MAX(BV220:CC220),IF(AND(CI220&lt;&gt;0,CI220/RIGHT($CI$1,2)&gt;=0.5,CJ220=CI220),MAX(BV220:CC220),IF(AND(CE220=0,CF220=0,CG220=0,CH220=0),0,IF(CJ220/RIGHT($CJ$1,2)&lt;0.5,ROUND(BU220/RIGHT($CJ$1,2),0),MAX(BV220:CC220)))))))))</f>
        <v>0</v>
      </c>
      <c r="CO220" s="20" t="n">
        <f aca="false">CN220*3</f>
        <v>0</v>
      </c>
      <c r="CP220" s="15" t="n">
        <v>0</v>
      </c>
      <c r="CQ220" s="16" t="n">
        <f aca="false">IF((CO220-CP220)&lt;0,0,(CO220-CP220))</f>
        <v>0</v>
      </c>
      <c r="CR220" s="7"/>
    </row>
    <row r="221" customFormat="false" ht="12.75" hidden="false" customHeight="true" outlineLevel="0" collapsed="false">
      <c r="A221" s="7" t="s">
        <v>273</v>
      </c>
      <c r="B221" s="7" t="s">
        <v>317</v>
      </c>
      <c r="C221" s="8" t="n">
        <v>21001035</v>
      </c>
      <c r="D221" s="9" t="n">
        <v>1</v>
      </c>
      <c r="E221" s="9"/>
      <c r="F221" s="9"/>
      <c r="G221" s="9"/>
      <c r="H221" s="9" t="n">
        <v>1</v>
      </c>
      <c r="I221" s="9" t="n">
        <v>3</v>
      </c>
      <c r="J221" s="9" t="n">
        <v>6</v>
      </c>
      <c r="K221" s="9"/>
      <c r="L221" s="9" t="n">
        <v>9</v>
      </c>
      <c r="M221" s="9"/>
      <c r="N221" s="9" t="n">
        <v>2</v>
      </c>
      <c r="O221" s="9" t="n">
        <v>1</v>
      </c>
      <c r="P221" s="9" t="n">
        <v>2</v>
      </c>
      <c r="Q221" s="9"/>
      <c r="R221" s="9" t="n">
        <v>3</v>
      </c>
      <c r="S221" s="9" t="n">
        <v>2</v>
      </c>
      <c r="T221" s="9"/>
      <c r="U221" s="9"/>
      <c r="V221" s="9" t="n">
        <v>3</v>
      </c>
      <c r="W221" s="9" t="n">
        <v>3</v>
      </c>
      <c r="X221" s="9"/>
      <c r="Y221" s="9"/>
      <c r="Z221" s="9" t="n">
        <v>2</v>
      </c>
      <c r="AA221" s="9" t="n">
        <v>2</v>
      </c>
      <c r="AB221" s="9"/>
      <c r="AC221" s="9" t="n">
        <v>2</v>
      </c>
      <c r="AD221" s="9" t="n">
        <v>1</v>
      </c>
      <c r="AE221" s="9" t="n">
        <v>3</v>
      </c>
      <c r="AF221" s="9" t="n">
        <v>2</v>
      </c>
      <c r="AG221" s="9"/>
      <c r="AH221" s="9" t="n">
        <v>1</v>
      </c>
      <c r="AI221" s="9" t="n">
        <v>1</v>
      </c>
      <c r="AJ221" s="9" t="n">
        <v>2</v>
      </c>
      <c r="AK221" s="9" t="n">
        <v>1</v>
      </c>
      <c r="AL221" s="9" t="n">
        <v>1</v>
      </c>
      <c r="AM221" s="9"/>
      <c r="AN221" s="9" t="n">
        <v>2</v>
      </c>
      <c r="AO221" s="9" t="n">
        <v>10</v>
      </c>
      <c r="AP221" s="9" t="n">
        <v>4</v>
      </c>
      <c r="AQ221" s="9" t="n">
        <v>2</v>
      </c>
      <c r="AR221" s="9" t="n">
        <v>7</v>
      </c>
      <c r="AS221" s="9"/>
      <c r="AT221" s="9" t="n">
        <v>7</v>
      </c>
      <c r="AU221" s="9"/>
      <c r="AV221" s="9" t="n">
        <v>7</v>
      </c>
      <c r="AW221" s="9"/>
      <c r="AX221" s="9" t="n">
        <v>2</v>
      </c>
      <c r="AY221" s="9" t="n">
        <v>4</v>
      </c>
      <c r="AZ221" s="9" t="n">
        <v>6</v>
      </c>
      <c r="BA221" s="9" t="n">
        <v>13</v>
      </c>
      <c r="BB221" s="9" t="n">
        <v>11</v>
      </c>
      <c r="BC221" s="9"/>
      <c r="BD221" s="9"/>
      <c r="BE221" s="9" t="n">
        <v>10</v>
      </c>
      <c r="BF221" s="9" t="n">
        <v>2</v>
      </c>
      <c r="BG221" s="9" t="n">
        <v>10</v>
      </c>
      <c r="BH221" s="9"/>
      <c r="BI221" s="9"/>
      <c r="BJ221" s="9" t="n">
        <v>14</v>
      </c>
      <c r="BK221" s="9" t="n">
        <v>5</v>
      </c>
      <c r="BL221" s="9" t="n">
        <v>7</v>
      </c>
      <c r="BM221" s="9" t="n">
        <v>3</v>
      </c>
      <c r="BN221" s="9" t="n">
        <v>1</v>
      </c>
      <c r="BO221" s="9"/>
      <c r="BP221" s="9" t="n">
        <v>7</v>
      </c>
      <c r="BQ221" s="9" t="n">
        <v>2</v>
      </c>
      <c r="BR221" s="9" t="n">
        <v>7</v>
      </c>
      <c r="BS221" s="9" t="n">
        <v>2</v>
      </c>
      <c r="BT221" s="9" t="n">
        <v>7</v>
      </c>
      <c r="BU221" s="10" t="n">
        <v>206</v>
      </c>
      <c r="BV221" s="11" t="n">
        <f aca="false">IF(ISERROR(ROUND(MEDIAN(BQ221:BT221),0)),0,ROUND(MEDIAN(BQ221:BT221),0))</f>
        <v>5</v>
      </c>
      <c r="BW221" s="11" t="n">
        <f aca="false">IF(ISERROR(ROUND(MEDIAN(BM221:BT221),0)),0,ROUND(MEDIAN(BM221:BT221),0))</f>
        <v>3</v>
      </c>
      <c r="BX221" s="11" t="n">
        <f aca="false">IF(ISERROR(ROUND(MEDIAN(BI221:BT221),0)),0,ROUND(MEDIAN(BI221:BT221),0))</f>
        <v>6</v>
      </c>
      <c r="BY221" s="11" t="n">
        <f aca="false">IF(ISERROR(ROUND(MEDIAN(BE221:BT221),0)),0,ROUND(MEDIAN(BE221:BT221),0))</f>
        <v>7</v>
      </c>
      <c r="BZ221" s="11" t="n">
        <f aca="false">IF(ISERROR(ROUND(MEDIAN(AU221:BT221),0)),0,ROUND(MEDIAN(AU221:BT221),0))</f>
        <v>7</v>
      </c>
      <c r="CA221" s="12" t="n">
        <f aca="false">IF(ISERROR(ROUND(MEDIAN(U221:BT221),0)),0,ROUND(MEDIAN(U221:BT221),0))</f>
        <v>3</v>
      </c>
      <c r="CB221" s="12" t="n">
        <f aca="false">IF(ISERROR(ROUND(MEDIAN(BT221),0)),0,ROUND(MEDIAN(BT221),0))</f>
        <v>7</v>
      </c>
      <c r="CC221" s="12" t="n">
        <f aca="false">IF(ISERROR(ROUND(MEDIAN(D221:BT221),0)),0,ROUND(MEDIAN(D221:BT221),0))</f>
        <v>3</v>
      </c>
      <c r="CD221" s="12" t="n">
        <f aca="false">MAX(D221:BT221)</f>
        <v>14</v>
      </c>
      <c r="CE221" s="7" t="n">
        <f aca="false">COUNTA(BQ221:BT221)</f>
        <v>4</v>
      </c>
      <c r="CF221" s="7" t="n">
        <f aca="false">COUNTA(BM221:BT221)</f>
        <v>7</v>
      </c>
      <c r="CG221" s="7" t="n">
        <f aca="false">COUNTA(BI221:BT221)</f>
        <v>10</v>
      </c>
      <c r="CH221" s="7" t="n">
        <f aca="false">COUNTA(BE221:BT221)</f>
        <v>13</v>
      </c>
      <c r="CI221" s="7" t="n">
        <f aca="false">COUNTA(AU221:BT221)</f>
        <v>19</v>
      </c>
      <c r="CJ221" s="7" t="n">
        <f aca="false">COUNTA(U221:BT221)</f>
        <v>38</v>
      </c>
      <c r="CK221" s="7" t="n">
        <f aca="false">COUNTA(BT221)</f>
        <v>1</v>
      </c>
      <c r="CL221" s="7" t="n">
        <f aca="false">COUNTA(D221:BT221)</f>
        <v>48</v>
      </c>
      <c r="CM221" s="13" t="str">
        <f aca="false">IF(AND(CE221=1,CJ221=1,BT221&lt;&gt;""),"5.ENTRANTES",IF(AND(CE221&lt;&gt;0,CE221/RIGHT($CE$1,1)&gt;=0.5,CJ221=CE221),"4.RECENTES",IF(AND(CF221&lt;&gt;0,CF221/RIGHT($CF$1,1)&gt;=0.5,CJ221=CF221),"4.RECENTES",IF(AND(CG221&lt;&gt;0,CG221/RIGHT($CG$1,2)&gt;=0.5,CJ221=CG221),"4.RECENTES",IF(AND(CH221&lt;&gt;0,CH221/RIGHT($CH$1,2)&gt;=0.5,CJ221=CH221),"4.RECENTES",IF(AND(CI221&lt;&gt;0,CI221/RIGHT($CI$1,2)&gt;=0.5,CJ221=CI221),"4.RECENTES",IF(AND(CE221=0,CF221=0,CG221=0,CH221=0),"3.INATIVOS",IF(CJ221/RIGHT($CJ$1,2)&lt;0.5,"2.INTERMITENTES","1.ORDINÁRIOS"))))))))</f>
        <v>1.ORDINÁRIOS</v>
      </c>
      <c r="CN221" s="14" t="n">
        <f aca="false">IF(AND(CE221=1,CJ221=1,BT221&lt;&gt;""),BT221,IF(AND(CE221&lt;&gt;0,CE221/RIGHT($CE$1,1)&gt;=0.5,CJ221=CE221),MAX(BV221:CC221),IF(AND(CF221&lt;&gt;0,CF221/RIGHT($CF$1,1)&gt;=0.5,CJ221=CF221),MAX(BV221:CC221),IF(AND(CG221&lt;&gt;0,CG221/RIGHT($CG$1,2)&gt;=0.5,CJ221=CG221),MAX(BV221:CC221),IF(AND(CH221&lt;&gt;0,CH221/RIGHT($CH$1,2)&gt;=0.5,CJ221=CH221),MAX(BV221:CC221),IF(AND(CI221&lt;&gt;0,CI221/RIGHT($CI$1,2)&gt;=0.5,CJ221=CI221),MAX(BV221:CC221),IF(AND(CE221=0,CF221=0,CG221=0,CH221=0),0,IF(CJ221/RIGHT($CJ$1,2)&lt;0.5,ROUND(BU221/RIGHT($CJ$1,2),0),MAX(BV221:CC221)))))))))</f>
        <v>7</v>
      </c>
      <c r="CO221" s="14" t="n">
        <f aca="false">CN221*3</f>
        <v>21</v>
      </c>
      <c r="CP221" s="15" t="n">
        <v>22</v>
      </c>
      <c r="CQ221" s="16" t="n">
        <f aca="false">IF((CO221-CP221)&lt;0,0,(CO221-CP221))</f>
        <v>0</v>
      </c>
      <c r="CR221" s="7"/>
    </row>
    <row r="222" customFormat="false" ht="12.75" hidden="false" customHeight="true" outlineLevel="0" collapsed="false">
      <c r="A222" s="7" t="s">
        <v>273</v>
      </c>
      <c r="B222" s="7" t="s">
        <v>318</v>
      </c>
      <c r="C222" s="8" t="n">
        <v>311001012</v>
      </c>
      <c r="D222" s="9"/>
      <c r="E222" s="9"/>
      <c r="F222" s="9"/>
      <c r="G222" s="9"/>
      <c r="H222" s="9"/>
      <c r="I222" s="9"/>
      <c r="J222" s="9"/>
      <c r="K222" s="9" t="n">
        <v>1</v>
      </c>
      <c r="L222" s="9"/>
      <c r="M222" s="9"/>
      <c r="N222" s="9"/>
      <c r="O222" s="9"/>
      <c r="P222" s="9"/>
      <c r="Q222" s="9"/>
      <c r="R222" s="9" t="n">
        <v>1</v>
      </c>
      <c r="S222" s="9"/>
      <c r="T222" s="9" t="n">
        <v>1</v>
      </c>
      <c r="U222" s="9"/>
      <c r="V222" s="9"/>
      <c r="W222" s="9"/>
      <c r="X222" s="9"/>
      <c r="Y222" s="9"/>
      <c r="Z222" s="9" t="n">
        <v>1</v>
      </c>
      <c r="AA222" s="9"/>
      <c r="AB222" s="9"/>
      <c r="AC222" s="9"/>
      <c r="AD222" s="9"/>
      <c r="AE222" s="9" t="n">
        <v>1</v>
      </c>
      <c r="AF222" s="9"/>
      <c r="AG222" s="9"/>
      <c r="AH222" s="9"/>
      <c r="AI222" s="9"/>
      <c r="AJ222" s="9"/>
      <c r="AK222" s="9"/>
      <c r="AL222" s="9"/>
      <c r="AM222" s="9" t="n">
        <v>1</v>
      </c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/>
      <c r="BD222" s="9"/>
      <c r="BE222" s="9"/>
      <c r="BF222" s="9"/>
      <c r="BG222" s="9"/>
      <c r="BH222" s="9"/>
      <c r="BI222" s="9"/>
      <c r="BJ222" s="9"/>
      <c r="BK222" s="9"/>
      <c r="BL222" s="9"/>
      <c r="BM222" s="9"/>
      <c r="BN222" s="9"/>
      <c r="BO222" s="9"/>
      <c r="BP222" s="9"/>
      <c r="BQ222" s="9"/>
      <c r="BR222" s="9"/>
      <c r="BS222" s="9"/>
      <c r="BT222" s="9"/>
      <c r="BU222" s="10" t="n">
        <v>6</v>
      </c>
      <c r="BV222" s="11" t="n">
        <f aca="false">IF(ISERROR(ROUND(MEDIAN(BQ222:BT222),0)),0,ROUND(MEDIAN(BQ222:BT222),0))</f>
        <v>0</v>
      </c>
      <c r="BW222" s="11" t="n">
        <f aca="false">IF(ISERROR(ROUND(MEDIAN(BM222:BT222),0)),0,ROUND(MEDIAN(BM222:BT222),0))</f>
        <v>0</v>
      </c>
      <c r="BX222" s="11" t="n">
        <f aca="false">IF(ISERROR(ROUND(MEDIAN(BI222:BT222),0)),0,ROUND(MEDIAN(BI222:BT222),0))</f>
        <v>0</v>
      </c>
      <c r="BY222" s="11" t="n">
        <f aca="false">IF(ISERROR(ROUND(MEDIAN(BE222:BT222),0)),0,ROUND(MEDIAN(BE222:BT222),0))</f>
        <v>0</v>
      </c>
      <c r="BZ222" s="11" t="n">
        <f aca="false">IF(ISERROR(ROUND(MEDIAN(AU222:BT222),0)),0,ROUND(MEDIAN(AU222:BT222),0))</f>
        <v>0</v>
      </c>
      <c r="CA222" s="12" t="n">
        <f aca="false">IF(ISERROR(ROUND(MEDIAN(U222:BT222),0)),0,ROUND(MEDIAN(U222:BT222),0))</f>
        <v>1</v>
      </c>
      <c r="CB222" s="12" t="n">
        <f aca="false">IF(ISERROR(ROUND(MEDIAN(BT222),0)),0,ROUND(MEDIAN(BT222),0))</f>
        <v>0</v>
      </c>
      <c r="CC222" s="12" t="n">
        <f aca="false">IF(ISERROR(ROUND(MEDIAN(D222:BT222),0)),0,ROUND(MEDIAN(D222:BT222),0))</f>
        <v>1</v>
      </c>
      <c r="CD222" s="12" t="n">
        <f aca="false">MAX(D222:BT222)</f>
        <v>1</v>
      </c>
      <c r="CE222" s="7" t="n">
        <f aca="false">COUNTA(BQ222:BT222)</f>
        <v>0</v>
      </c>
      <c r="CF222" s="7" t="n">
        <f aca="false">COUNTA(BM222:BT222)</f>
        <v>0</v>
      </c>
      <c r="CG222" s="7" t="n">
        <f aca="false">COUNTA(BI222:BT222)</f>
        <v>0</v>
      </c>
      <c r="CH222" s="7" t="n">
        <f aca="false">COUNTA(BE222:BT222)</f>
        <v>0</v>
      </c>
      <c r="CI222" s="7" t="n">
        <f aca="false">COUNTA(AU222:BT222)</f>
        <v>0</v>
      </c>
      <c r="CJ222" s="7" t="n">
        <f aca="false">COUNTA(U222:BT222)</f>
        <v>3</v>
      </c>
      <c r="CK222" s="7" t="n">
        <f aca="false">COUNTA(BT222)</f>
        <v>0</v>
      </c>
      <c r="CL222" s="7" t="n">
        <f aca="false">COUNTA(D222:BT222)</f>
        <v>6</v>
      </c>
      <c r="CM222" s="19" t="str">
        <f aca="false">IF(AND(CE222=1,CJ222=1,BT222&lt;&gt;""),"5.ENTRANTES",IF(AND(CE222&lt;&gt;0,CE222/RIGHT($CE$1,1)&gt;=0.5,CJ222=CE222),"4.RECENTES",IF(AND(CF222&lt;&gt;0,CF222/RIGHT($CF$1,1)&gt;=0.5,CJ222=CF222),"4.RECENTES",IF(AND(CG222&lt;&gt;0,CG222/RIGHT($CG$1,2)&gt;=0.5,CJ222=CG222),"4.RECENTES",IF(AND(CH222&lt;&gt;0,CH222/RIGHT($CH$1,2)&gt;=0.5,CJ222=CH222),"4.RECENTES",IF(AND(CI222&lt;&gt;0,CI222/RIGHT($CI$1,2)&gt;=0.5,CJ222=CI222),"4.RECENTES",IF(AND(CE222=0,CF222=0,CG222=0,CH222=0),"3.INATIVOS",IF(CJ222/RIGHT($CJ$1,2)&lt;0.5,"2.INTERMITENTES","1.ORDINÁRIOS"))))))))</f>
        <v>3.INATIVOS</v>
      </c>
      <c r="CN222" s="20" t="n">
        <f aca="false">IF(AND(CE222=1,CJ222=1,BT222&lt;&gt;""),BT222,IF(AND(CE222&lt;&gt;0,CE222/RIGHT($CE$1,1)&gt;=0.5,CJ222=CE222),MAX(BV222:CC222),IF(AND(CF222&lt;&gt;0,CF222/RIGHT($CF$1,1)&gt;=0.5,CJ222=CF222),MAX(BV222:CC222),IF(AND(CG222&lt;&gt;0,CG222/RIGHT($CG$1,2)&gt;=0.5,CJ222=CG222),MAX(BV222:CC222),IF(AND(CH222&lt;&gt;0,CH222/RIGHT($CH$1,2)&gt;=0.5,CJ222=CH222),MAX(BV222:CC222),IF(AND(CI222&lt;&gt;0,CI222/RIGHT($CI$1,2)&gt;=0.5,CJ222=CI222),MAX(BV222:CC222),IF(AND(CE222=0,CF222=0,CG222=0,CH222=0),0,IF(CJ222/RIGHT($CJ$1,2)&lt;0.5,ROUND(BU222/RIGHT($CJ$1,2),0),MAX(BV222:CC222)))))))))</f>
        <v>0</v>
      </c>
      <c r="CO222" s="20" t="n">
        <f aca="false">CN222*3</f>
        <v>0</v>
      </c>
      <c r="CP222" s="15" t="n">
        <v>0</v>
      </c>
      <c r="CQ222" s="16" t="n">
        <f aca="false">IF((CO222-CP222)&lt;0,0,(CO222-CP222))</f>
        <v>0</v>
      </c>
      <c r="CR222" s="7"/>
    </row>
    <row r="223" customFormat="false" ht="12.75" hidden="false" customHeight="true" outlineLevel="0" collapsed="false">
      <c r="A223" s="7" t="s">
        <v>273</v>
      </c>
      <c r="B223" s="7" t="s">
        <v>319</v>
      </c>
      <c r="C223" s="8" t="n">
        <v>311001022</v>
      </c>
      <c r="D223" s="9"/>
      <c r="E223" s="9"/>
      <c r="F223" s="9"/>
      <c r="G223" s="9"/>
      <c r="H223" s="9"/>
      <c r="I223" s="9"/>
      <c r="J223" s="9" t="n">
        <v>2</v>
      </c>
      <c r="K223" s="9"/>
      <c r="L223" s="9"/>
      <c r="M223" s="9"/>
      <c r="N223" s="9" t="n">
        <v>2</v>
      </c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 t="n">
        <v>2</v>
      </c>
      <c r="AO223" s="9"/>
      <c r="AP223" s="9" t="n">
        <v>2</v>
      </c>
      <c r="AQ223" s="9" t="n">
        <v>2</v>
      </c>
      <c r="AR223" s="9"/>
      <c r="AS223" s="9"/>
      <c r="AT223" s="9"/>
      <c r="AU223" s="9"/>
      <c r="AV223" s="9"/>
      <c r="AW223" s="9"/>
      <c r="AX223" s="9"/>
      <c r="AY223" s="9"/>
      <c r="AZ223" s="9"/>
      <c r="BA223" s="9"/>
      <c r="BB223" s="9"/>
      <c r="BC223" s="9"/>
      <c r="BD223" s="9"/>
      <c r="BE223" s="9"/>
      <c r="BF223" s="9"/>
      <c r="BG223" s="9"/>
      <c r="BH223" s="9"/>
      <c r="BI223" s="9"/>
      <c r="BJ223" s="9"/>
      <c r="BK223" s="9"/>
      <c r="BL223" s="9"/>
      <c r="BM223" s="9"/>
      <c r="BN223" s="9"/>
      <c r="BO223" s="9"/>
      <c r="BP223" s="9"/>
      <c r="BQ223" s="9"/>
      <c r="BR223" s="9"/>
      <c r="BS223" s="9"/>
      <c r="BT223" s="9"/>
      <c r="BU223" s="10" t="n">
        <v>10</v>
      </c>
      <c r="BV223" s="11" t="n">
        <f aca="false">IF(ISERROR(ROUND(MEDIAN(BQ223:BT223),0)),0,ROUND(MEDIAN(BQ223:BT223),0))</f>
        <v>0</v>
      </c>
      <c r="BW223" s="11" t="n">
        <f aca="false">IF(ISERROR(ROUND(MEDIAN(BM223:BT223),0)),0,ROUND(MEDIAN(BM223:BT223),0))</f>
        <v>0</v>
      </c>
      <c r="BX223" s="11" t="n">
        <f aca="false">IF(ISERROR(ROUND(MEDIAN(BI223:BT223),0)),0,ROUND(MEDIAN(BI223:BT223),0))</f>
        <v>0</v>
      </c>
      <c r="BY223" s="11" t="n">
        <f aca="false">IF(ISERROR(ROUND(MEDIAN(BE223:BT223),0)),0,ROUND(MEDIAN(BE223:BT223),0))</f>
        <v>0</v>
      </c>
      <c r="BZ223" s="11" t="n">
        <f aca="false">IF(ISERROR(ROUND(MEDIAN(AU223:BT223),0)),0,ROUND(MEDIAN(AU223:BT223),0))</f>
        <v>0</v>
      </c>
      <c r="CA223" s="12" t="n">
        <f aca="false">IF(ISERROR(ROUND(MEDIAN(U223:BT223),0)),0,ROUND(MEDIAN(U223:BT223),0))</f>
        <v>2</v>
      </c>
      <c r="CB223" s="12" t="n">
        <f aca="false">IF(ISERROR(ROUND(MEDIAN(BT223),0)),0,ROUND(MEDIAN(BT223),0))</f>
        <v>0</v>
      </c>
      <c r="CC223" s="12" t="n">
        <f aca="false">IF(ISERROR(ROUND(MEDIAN(D223:BT223),0)),0,ROUND(MEDIAN(D223:BT223),0))</f>
        <v>2</v>
      </c>
      <c r="CD223" s="12" t="n">
        <f aca="false">MAX(D223:BT223)</f>
        <v>2</v>
      </c>
      <c r="CE223" s="7" t="n">
        <f aca="false">COUNTA(BQ223:BT223)</f>
        <v>0</v>
      </c>
      <c r="CF223" s="7" t="n">
        <f aca="false">COUNTA(BM223:BT223)</f>
        <v>0</v>
      </c>
      <c r="CG223" s="7" t="n">
        <f aca="false">COUNTA(BI223:BT223)</f>
        <v>0</v>
      </c>
      <c r="CH223" s="7" t="n">
        <f aca="false">COUNTA(BE223:BT223)</f>
        <v>0</v>
      </c>
      <c r="CI223" s="7" t="n">
        <f aca="false">COUNTA(AU223:BT223)</f>
        <v>0</v>
      </c>
      <c r="CJ223" s="7" t="n">
        <f aca="false">COUNTA(U223:BT223)</f>
        <v>3</v>
      </c>
      <c r="CK223" s="7" t="n">
        <f aca="false">COUNTA(BT223)</f>
        <v>0</v>
      </c>
      <c r="CL223" s="7" t="n">
        <f aca="false">COUNTA(D223:BT223)</f>
        <v>5</v>
      </c>
      <c r="CM223" s="19" t="str">
        <f aca="false">IF(AND(CE223=1,CJ223=1,BT223&lt;&gt;""),"5.ENTRANTES",IF(AND(CE223&lt;&gt;0,CE223/RIGHT($CE$1,1)&gt;=0.5,CJ223=CE223),"4.RECENTES",IF(AND(CF223&lt;&gt;0,CF223/RIGHT($CF$1,1)&gt;=0.5,CJ223=CF223),"4.RECENTES",IF(AND(CG223&lt;&gt;0,CG223/RIGHT($CG$1,2)&gt;=0.5,CJ223=CG223),"4.RECENTES",IF(AND(CH223&lt;&gt;0,CH223/RIGHT($CH$1,2)&gt;=0.5,CJ223=CH223),"4.RECENTES",IF(AND(CI223&lt;&gt;0,CI223/RIGHT($CI$1,2)&gt;=0.5,CJ223=CI223),"4.RECENTES",IF(AND(CE223=0,CF223=0,CG223=0,CH223=0),"3.INATIVOS",IF(CJ223/RIGHT($CJ$1,2)&lt;0.5,"2.INTERMITENTES","1.ORDINÁRIOS"))))))))</f>
        <v>3.INATIVOS</v>
      </c>
      <c r="CN223" s="20" t="n">
        <f aca="false">IF(AND(CE223=1,CJ223=1,BT223&lt;&gt;""),BT223,IF(AND(CE223&lt;&gt;0,CE223/RIGHT($CE$1,1)&gt;=0.5,CJ223=CE223),MAX(BV223:CC223),IF(AND(CF223&lt;&gt;0,CF223/RIGHT($CF$1,1)&gt;=0.5,CJ223=CF223),MAX(BV223:CC223),IF(AND(CG223&lt;&gt;0,CG223/RIGHT($CG$1,2)&gt;=0.5,CJ223=CG223),MAX(BV223:CC223),IF(AND(CH223&lt;&gt;0,CH223/RIGHT($CH$1,2)&gt;=0.5,CJ223=CH223),MAX(BV223:CC223),IF(AND(CI223&lt;&gt;0,CI223/RIGHT($CI$1,2)&gt;=0.5,CJ223=CI223),MAX(BV223:CC223),IF(AND(CE223=0,CF223=0,CG223=0,CH223=0),0,IF(CJ223/RIGHT($CJ$1,2)&lt;0.5,ROUND(BU223/RIGHT($CJ$1,2),0),MAX(BV223:CC223)))))))))</f>
        <v>0</v>
      </c>
      <c r="CO223" s="20" t="n">
        <f aca="false">CN223*3</f>
        <v>0</v>
      </c>
      <c r="CP223" s="15" t="n">
        <v>0</v>
      </c>
      <c r="CQ223" s="16" t="n">
        <f aca="false">IF((CO223-CP223)&lt;0,0,(CO223-CP223))</f>
        <v>0</v>
      </c>
      <c r="CR223" s="7"/>
    </row>
    <row r="224" customFormat="false" ht="12.75" hidden="false" customHeight="true" outlineLevel="0" collapsed="false">
      <c r="A224" s="7" t="s">
        <v>273</v>
      </c>
      <c r="B224" s="7" t="s">
        <v>320</v>
      </c>
      <c r="C224" s="8" t="n">
        <v>311001012</v>
      </c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  <c r="BD224" s="9"/>
      <c r="BE224" s="9"/>
      <c r="BF224" s="9"/>
      <c r="BG224" s="9"/>
      <c r="BH224" s="9"/>
      <c r="BI224" s="9"/>
      <c r="BJ224" s="9"/>
      <c r="BK224" s="9"/>
      <c r="BL224" s="9"/>
      <c r="BM224" s="9"/>
      <c r="BN224" s="9"/>
      <c r="BO224" s="9" t="n">
        <v>4</v>
      </c>
      <c r="BP224" s="9"/>
      <c r="BQ224" s="9"/>
      <c r="BR224" s="9"/>
      <c r="BS224" s="9" t="n">
        <v>4</v>
      </c>
      <c r="BT224" s="9"/>
      <c r="BU224" s="10" t="n">
        <v>8</v>
      </c>
      <c r="BV224" s="11" t="n">
        <f aca="false">IF(ISERROR(ROUND(MEDIAN(BQ224:BT224),0)),0,ROUND(MEDIAN(BQ224:BT224),0))</f>
        <v>4</v>
      </c>
      <c r="BW224" s="11" t="n">
        <f aca="false">IF(ISERROR(ROUND(MEDIAN(BM224:BT224),0)),0,ROUND(MEDIAN(BM224:BT224),0))</f>
        <v>4</v>
      </c>
      <c r="BX224" s="11" t="n">
        <f aca="false">IF(ISERROR(ROUND(MEDIAN(BI224:BT224),0)),0,ROUND(MEDIAN(BI224:BT224),0))</f>
        <v>4</v>
      </c>
      <c r="BY224" s="11" t="n">
        <f aca="false">IF(ISERROR(ROUND(MEDIAN(BE224:BT224),0)),0,ROUND(MEDIAN(BE224:BT224),0))</f>
        <v>4</v>
      </c>
      <c r="BZ224" s="11" t="n">
        <f aca="false">IF(ISERROR(ROUND(MEDIAN(AU224:BT224),0)),0,ROUND(MEDIAN(AU224:BT224),0))</f>
        <v>4</v>
      </c>
      <c r="CA224" s="12" t="n">
        <f aca="false">IF(ISERROR(ROUND(MEDIAN(U224:BT224),0)),0,ROUND(MEDIAN(U224:BT224),0))</f>
        <v>4</v>
      </c>
      <c r="CB224" s="12" t="n">
        <f aca="false">IF(ISERROR(ROUND(MEDIAN(BT224),0)),0,ROUND(MEDIAN(BT224),0))</f>
        <v>0</v>
      </c>
      <c r="CC224" s="12" t="n">
        <f aca="false">IF(ISERROR(ROUND(MEDIAN(D224:BT224),0)),0,ROUND(MEDIAN(D224:BT224),0))</f>
        <v>4</v>
      </c>
      <c r="CD224" s="12" t="n">
        <f aca="false">MAX(D224:BT224)</f>
        <v>4</v>
      </c>
      <c r="CE224" s="7" t="n">
        <f aca="false">COUNTA(BQ224:BT224)</f>
        <v>1</v>
      </c>
      <c r="CF224" s="7" t="n">
        <f aca="false">COUNTA(BM224:BT224)</f>
        <v>2</v>
      </c>
      <c r="CG224" s="7" t="n">
        <f aca="false">COUNTA(BI224:BT224)</f>
        <v>2</v>
      </c>
      <c r="CH224" s="7" t="n">
        <f aca="false">COUNTA(BE224:BT224)</f>
        <v>2</v>
      </c>
      <c r="CI224" s="7" t="n">
        <f aca="false">COUNTA(AU224:BT224)</f>
        <v>2</v>
      </c>
      <c r="CJ224" s="7" t="n">
        <f aca="false">COUNTA(U224:BT224)</f>
        <v>2</v>
      </c>
      <c r="CK224" s="7" t="n">
        <f aca="false">COUNTA(BT224)</f>
        <v>0</v>
      </c>
      <c r="CL224" s="7" t="n">
        <f aca="false">COUNTA(D224:BT224)</f>
        <v>2</v>
      </c>
      <c r="CM224" s="17" t="str">
        <f aca="false">IF(AND(CE224=1,CJ224=1,BT224&lt;&gt;""),"5.ENTRANTES",IF(AND(CE224&lt;&gt;0,CE224/RIGHT($CE$1,1)&gt;=0.5,CJ224=CE224),"4.RECENTES",IF(AND(CF224&lt;&gt;0,CF224/RIGHT($CF$1,1)&gt;=0.5,CJ224=CF224),"4.RECENTES",IF(AND(CG224&lt;&gt;0,CG224/RIGHT($CG$1,2)&gt;=0.5,CJ224=CG224),"4.RECENTES",IF(AND(CH224&lt;&gt;0,CH224/RIGHT($CH$1,2)&gt;=0.5,CJ224=CH224),"4.RECENTES",IF(AND(CI224&lt;&gt;0,CI224/RIGHT($CI$1,2)&gt;=0.5,CJ224=CI224),"4.RECENTES",IF(AND(CE224=0,CF224=0,CG224=0,CH224=0),"3.INATIVOS",IF(CJ224/RIGHT($CJ$1,2)&lt;0.5,"2.INTERMITENTES","1.ORDINÁRIOS"))))))))</f>
        <v>2.INTERMITENTES</v>
      </c>
      <c r="CN224" s="18" t="n">
        <f aca="false">IF(AND(CE224=1,CJ224=1,BT224&lt;&gt;""),BT224,IF(AND(CE224&lt;&gt;0,CE224/RIGHT($CE$1,1)&gt;=0.5,CJ224=CE224),MAX(BV224:CC224),IF(AND(CF224&lt;&gt;0,CF224/RIGHT($CF$1,1)&gt;=0.5,CJ224=CF224),MAX(BV224:CC224),IF(AND(CG224&lt;&gt;0,CG224/RIGHT($CG$1,2)&gt;=0.5,CJ224=CG224),MAX(BV224:CC224),IF(AND(CH224&lt;&gt;0,CH224/RIGHT($CH$1,2)&gt;=0.5,CJ224=CH224),MAX(BV224:CC224),IF(AND(CI224&lt;&gt;0,CI224/RIGHT($CI$1,2)&gt;=0.5,CJ224=CI224),MAX(BV224:CC224),IF(AND(CE224=0,CF224=0,CG224=0,CH224=0),0,IF(CJ224/RIGHT($CJ$1,2)&lt;0.5,ROUND(BU224/RIGHT($CJ$1,2),0),MAX(BV224:CC224)))))))))</f>
        <v>0</v>
      </c>
      <c r="CO224" s="18" t="n">
        <f aca="false">CD224</f>
        <v>4</v>
      </c>
      <c r="CP224" s="15" t="n">
        <v>0</v>
      </c>
      <c r="CQ224" s="16" t="n">
        <f aca="false">IF((CO224-CP224)&lt;0,0,(CO224-CP224))</f>
        <v>4</v>
      </c>
      <c r="CR224" s="7"/>
    </row>
    <row r="225" customFormat="false" ht="12.75" hidden="false" customHeight="true" outlineLevel="0" collapsed="false">
      <c r="A225" s="7" t="s">
        <v>273</v>
      </c>
      <c r="B225" s="7" t="s">
        <v>321</v>
      </c>
      <c r="C225" s="8" t="n">
        <v>311001029</v>
      </c>
      <c r="D225" s="9"/>
      <c r="E225" s="9"/>
      <c r="F225" s="9"/>
      <c r="G225" s="9"/>
      <c r="H225" s="9"/>
      <c r="I225" s="9" t="n">
        <v>2</v>
      </c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s="9"/>
      <c r="BU225" s="10" t="n">
        <v>2</v>
      </c>
      <c r="BV225" s="11" t="n">
        <f aca="false">IF(ISERROR(ROUND(MEDIAN(BQ225:BT225),0)),0,ROUND(MEDIAN(BQ225:BT225),0))</f>
        <v>0</v>
      </c>
      <c r="BW225" s="11" t="n">
        <f aca="false">IF(ISERROR(ROUND(MEDIAN(BM225:BT225),0)),0,ROUND(MEDIAN(BM225:BT225),0))</f>
        <v>0</v>
      </c>
      <c r="BX225" s="11" t="n">
        <f aca="false">IF(ISERROR(ROUND(MEDIAN(BI225:BT225),0)),0,ROUND(MEDIAN(BI225:BT225),0))</f>
        <v>0</v>
      </c>
      <c r="BY225" s="11" t="n">
        <f aca="false">IF(ISERROR(ROUND(MEDIAN(BE225:BT225),0)),0,ROUND(MEDIAN(BE225:BT225),0))</f>
        <v>0</v>
      </c>
      <c r="BZ225" s="11" t="n">
        <f aca="false">IF(ISERROR(ROUND(MEDIAN(AU225:BT225),0)),0,ROUND(MEDIAN(AU225:BT225),0))</f>
        <v>0</v>
      </c>
      <c r="CA225" s="12" t="n">
        <f aca="false">IF(ISERROR(ROUND(MEDIAN(U225:BT225),0)),0,ROUND(MEDIAN(U225:BT225),0))</f>
        <v>0</v>
      </c>
      <c r="CB225" s="12" t="n">
        <f aca="false">IF(ISERROR(ROUND(MEDIAN(BT225),0)),0,ROUND(MEDIAN(BT225),0))</f>
        <v>0</v>
      </c>
      <c r="CC225" s="12" t="n">
        <f aca="false">IF(ISERROR(ROUND(MEDIAN(D225:BT225),0)),0,ROUND(MEDIAN(D225:BT225),0))</f>
        <v>2</v>
      </c>
      <c r="CD225" s="12" t="n">
        <f aca="false">MAX(D225:BT225)</f>
        <v>2</v>
      </c>
      <c r="CE225" s="7" t="n">
        <f aca="false">COUNTA(BQ225:BT225)</f>
        <v>0</v>
      </c>
      <c r="CF225" s="7" t="n">
        <f aca="false">COUNTA(BM225:BT225)</f>
        <v>0</v>
      </c>
      <c r="CG225" s="7" t="n">
        <f aca="false">COUNTA(BI225:BT225)</f>
        <v>0</v>
      </c>
      <c r="CH225" s="7" t="n">
        <f aca="false">COUNTA(BE225:BT225)</f>
        <v>0</v>
      </c>
      <c r="CI225" s="7" t="n">
        <f aca="false">COUNTA(AU225:BT225)</f>
        <v>0</v>
      </c>
      <c r="CJ225" s="7" t="n">
        <f aca="false">COUNTA(U225:BT225)</f>
        <v>0</v>
      </c>
      <c r="CK225" s="7" t="n">
        <f aca="false">COUNTA(BT225)</f>
        <v>0</v>
      </c>
      <c r="CL225" s="7" t="n">
        <f aca="false">COUNTA(D225:BT225)</f>
        <v>1</v>
      </c>
      <c r="CM225" s="19" t="str">
        <f aca="false">IF(AND(CE225=1,CJ225=1,BT225&lt;&gt;""),"5.ENTRANTES",IF(AND(CE225&lt;&gt;0,CE225/RIGHT($CE$1,1)&gt;=0.5,CJ225=CE225),"4.RECENTES",IF(AND(CF225&lt;&gt;0,CF225/RIGHT($CF$1,1)&gt;=0.5,CJ225=CF225),"4.RECENTES",IF(AND(CG225&lt;&gt;0,CG225/RIGHT($CG$1,2)&gt;=0.5,CJ225=CG225),"4.RECENTES",IF(AND(CH225&lt;&gt;0,CH225/RIGHT($CH$1,2)&gt;=0.5,CJ225=CH225),"4.RECENTES",IF(AND(CI225&lt;&gt;0,CI225/RIGHT($CI$1,2)&gt;=0.5,CJ225=CI225),"4.RECENTES",IF(AND(CE225=0,CF225=0,CG225=0,CH225=0),"3.INATIVOS",IF(CJ225/RIGHT($CJ$1,2)&lt;0.5,"2.INTERMITENTES","1.ORDINÁRIOS"))))))))</f>
        <v>3.INATIVOS</v>
      </c>
      <c r="CN225" s="20" t="n">
        <f aca="false">IF(AND(CE225=1,CJ225=1,BT225&lt;&gt;""),BT225,IF(AND(CE225&lt;&gt;0,CE225/RIGHT($CE$1,1)&gt;=0.5,CJ225=CE225),MAX(BV225:CC225),IF(AND(CF225&lt;&gt;0,CF225/RIGHT($CF$1,1)&gt;=0.5,CJ225=CF225),MAX(BV225:CC225),IF(AND(CG225&lt;&gt;0,CG225/RIGHT($CG$1,2)&gt;=0.5,CJ225=CG225),MAX(BV225:CC225),IF(AND(CH225&lt;&gt;0,CH225/RIGHT($CH$1,2)&gt;=0.5,CJ225=CH225),MAX(BV225:CC225),IF(AND(CI225&lt;&gt;0,CI225/RIGHT($CI$1,2)&gt;=0.5,CJ225=CI225),MAX(BV225:CC225),IF(AND(CE225=0,CF225=0,CG225=0,CH225=0),0,IF(CJ225/RIGHT($CJ$1,2)&lt;0.5,ROUND(BU225/RIGHT($CJ$1,2),0),MAX(BV225:CC225)))))))))</f>
        <v>0</v>
      </c>
      <c r="CO225" s="20" t="n">
        <f aca="false">CN225*3</f>
        <v>0</v>
      </c>
      <c r="CP225" s="15" t="n">
        <v>0</v>
      </c>
      <c r="CQ225" s="16" t="n">
        <f aca="false">IF((CO225-CP225)&lt;0,0,(CO225-CP225))</f>
        <v>0</v>
      </c>
      <c r="CR225" s="7"/>
    </row>
    <row r="226" customFormat="false" ht="12.75" hidden="false" customHeight="true" outlineLevel="0" collapsed="false">
      <c r="A226" s="7" t="s">
        <v>273</v>
      </c>
      <c r="B226" s="7" t="s">
        <v>322</v>
      </c>
      <c r="C226" s="8" t="n">
        <v>311001004</v>
      </c>
      <c r="D226" s="9"/>
      <c r="E226" s="9"/>
      <c r="F226" s="9"/>
      <c r="G226" s="9"/>
      <c r="H226" s="9" t="n">
        <v>1</v>
      </c>
      <c r="I226" s="9"/>
      <c r="J226" s="9"/>
      <c r="K226" s="9" t="n">
        <v>2</v>
      </c>
      <c r="L226" s="9"/>
      <c r="M226" s="9"/>
      <c r="N226" s="9"/>
      <c r="O226" s="9"/>
      <c r="P226" s="9" t="n">
        <v>3</v>
      </c>
      <c r="Q226" s="9" t="n">
        <v>2</v>
      </c>
      <c r="R226" s="9"/>
      <c r="S226" s="9"/>
      <c r="T226" s="9"/>
      <c r="U226" s="9"/>
      <c r="V226" s="9"/>
      <c r="W226" s="9"/>
      <c r="X226" s="9" t="n">
        <v>1</v>
      </c>
      <c r="Y226" s="9"/>
      <c r="Z226" s="9"/>
      <c r="AA226" s="9" t="n">
        <v>3</v>
      </c>
      <c r="AB226" s="9"/>
      <c r="AC226" s="9"/>
      <c r="AD226" s="9"/>
      <c r="AE226" s="9"/>
      <c r="AF226" s="9"/>
      <c r="AG226" s="9" t="n">
        <v>2</v>
      </c>
      <c r="AH226" s="9"/>
      <c r="AI226" s="9"/>
      <c r="AJ226" s="9" t="n">
        <v>2</v>
      </c>
      <c r="AK226" s="9" t="n">
        <v>2</v>
      </c>
      <c r="AL226" s="9"/>
      <c r="AM226" s="9"/>
      <c r="AN226" s="9" t="n">
        <v>2</v>
      </c>
      <c r="AO226" s="9"/>
      <c r="AP226" s="9" t="n">
        <v>2</v>
      </c>
      <c r="AQ226" s="9"/>
      <c r="AR226" s="9" t="n">
        <v>2</v>
      </c>
      <c r="AS226" s="9" t="n">
        <v>2</v>
      </c>
      <c r="AT226" s="9"/>
      <c r="AU226" s="9"/>
      <c r="AV226" s="9"/>
      <c r="AW226" s="9"/>
      <c r="AX226" s="9" t="n">
        <v>2</v>
      </c>
      <c r="AY226" s="9"/>
      <c r="AZ226" s="9"/>
      <c r="BA226" s="9"/>
      <c r="BB226" s="9" t="n">
        <v>2</v>
      </c>
      <c r="BC226" s="9"/>
      <c r="BD226" s="9"/>
      <c r="BE226" s="9"/>
      <c r="BF226" s="9" t="n">
        <v>2</v>
      </c>
      <c r="BG226" s="9"/>
      <c r="BH226" s="9"/>
      <c r="BI226" s="9"/>
      <c r="BJ226" s="9"/>
      <c r="BK226" s="9" t="n">
        <v>2</v>
      </c>
      <c r="BL226" s="9"/>
      <c r="BM226" s="9"/>
      <c r="BN226" s="9"/>
      <c r="BO226" s="9"/>
      <c r="BP226" s="9" t="n">
        <v>2</v>
      </c>
      <c r="BQ226" s="9"/>
      <c r="BR226" s="9"/>
      <c r="BS226" s="9" t="n">
        <v>3</v>
      </c>
      <c r="BT226" s="9"/>
      <c r="BU226" s="10" t="n">
        <v>39</v>
      </c>
      <c r="BV226" s="11" t="n">
        <f aca="false">IF(ISERROR(ROUND(MEDIAN(BQ226:BT226),0)),0,ROUND(MEDIAN(BQ226:BT226),0))</f>
        <v>3</v>
      </c>
      <c r="BW226" s="11" t="n">
        <f aca="false">IF(ISERROR(ROUND(MEDIAN(BM226:BT226),0)),0,ROUND(MEDIAN(BM226:BT226),0))</f>
        <v>3</v>
      </c>
      <c r="BX226" s="11" t="n">
        <f aca="false">IF(ISERROR(ROUND(MEDIAN(BI226:BT226),0)),0,ROUND(MEDIAN(BI226:BT226),0))</f>
        <v>2</v>
      </c>
      <c r="BY226" s="11" t="n">
        <f aca="false">IF(ISERROR(ROUND(MEDIAN(BE226:BT226),0)),0,ROUND(MEDIAN(BE226:BT226),0))</f>
        <v>2</v>
      </c>
      <c r="BZ226" s="11" t="n">
        <f aca="false">IF(ISERROR(ROUND(MEDIAN(AU226:BT226),0)),0,ROUND(MEDIAN(AU226:BT226),0))</f>
        <v>2</v>
      </c>
      <c r="CA226" s="12" t="n">
        <f aca="false">IF(ISERROR(ROUND(MEDIAN(U226:BT226),0)),0,ROUND(MEDIAN(U226:BT226),0))</f>
        <v>2</v>
      </c>
      <c r="CB226" s="12" t="n">
        <f aca="false">IF(ISERROR(ROUND(MEDIAN(BT226),0)),0,ROUND(MEDIAN(BT226),0))</f>
        <v>0</v>
      </c>
      <c r="CC226" s="12" t="n">
        <f aca="false">IF(ISERROR(ROUND(MEDIAN(D226:BT226),0)),0,ROUND(MEDIAN(D226:BT226),0))</f>
        <v>2</v>
      </c>
      <c r="CD226" s="12" t="n">
        <f aca="false">MAX(D226:BT226)</f>
        <v>3</v>
      </c>
      <c r="CE226" s="7" t="n">
        <f aca="false">COUNTA(BQ226:BT226)</f>
        <v>1</v>
      </c>
      <c r="CF226" s="7" t="n">
        <f aca="false">COUNTA(BM226:BT226)</f>
        <v>2</v>
      </c>
      <c r="CG226" s="7" t="n">
        <f aca="false">COUNTA(BI226:BT226)</f>
        <v>3</v>
      </c>
      <c r="CH226" s="7" t="n">
        <f aca="false">COUNTA(BE226:BT226)</f>
        <v>4</v>
      </c>
      <c r="CI226" s="7" t="n">
        <f aca="false">COUNTA(AU226:BT226)</f>
        <v>6</v>
      </c>
      <c r="CJ226" s="7" t="n">
        <f aca="false">COUNTA(U226:BT226)</f>
        <v>15</v>
      </c>
      <c r="CK226" s="7" t="n">
        <f aca="false">COUNTA(BT226)</f>
        <v>0</v>
      </c>
      <c r="CL226" s="7" t="n">
        <f aca="false">COUNTA(D226:BT226)</f>
        <v>19</v>
      </c>
      <c r="CM226" s="17" t="str">
        <f aca="false">IF(AND(CE226=1,CJ226=1,BT226&lt;&gt;""),"5.ENTRANTES",IF(AND(CE226&lt;&gt;0,CE226/RIGHT($CE$1,1)&gt;=0.5,CJ226=CE226),"4.RECENTES",IF(AND(CF226&lt;&gt;0,CF226/RIGHT($CF$1,1)&gt;=0.5,CJ226=CF226),"4.RECENTES",IF(AND(CG226&lt;&gt;0,CG226/RIGHT($CG$1,2)&gt;=0.5,CJ226=CG226),"4.RECENTES",IF(AND(CH226&lt;&gt;0,CH226/RIGHT($CH$1,2)&gt;=0.5,CJ226=CH226),"4.RECENTES",IF(AND(CI226&lt;&gt;0,CI226/RIGHT($CI$1,2)&gt;=0.5,CJ226=CI226),"4.RECENTES",IF(AND(CE226=0,CF226=0,CG226=0,CH226=0),"3.INATIVOS",IF(CJ226/RIGHT($CJ$1,2)&lt;0.5,"2.INTERMITENTES","1.ORDINÁRIOS"))))))))</f>
        <v>2.INTERMITENTES</v>
      </c>
      <c r="CN226" s="18" t="n">
        <f aca="false">IF(AND(CE226=1,CJ226=1,BT226&lt;&gt;""),BT226,IF(AND(CE226&lt;&gt;0,CE226/RIGHT($CE$1,1)&gt;=0.5,CJ226=CE226),MAX(BV226:CC226),IF(AND(CF226&lt;&gt;0,CF226/RIGHT($CF$1,1)&gt;=0.5,CJ226=CF226),MAX(BV226:CC226),IF(AND(CG226&lt;&gt;0,CG226/RIGHT($CG$1,2)&gt;=0.5,CJ226=CG226),MAX(BV226:CC226),IF(AND(CH226&lt;&gt;0,CH226/RIGHT($CH$1,2)&gt;=0.5,CJ226=CH226),MAX(BV226:CC226),IF(AND(CI226&lt;&gt;0,CI226/RIGHT($CI$1,2)&gt;=0.5,CJ226=CI226),MAX(BV226:CC226),IF(AND(CE226=0,CF226=0,CG226=0,CH226=0),0,IF(CJ226/RIGHT($CJ$1,2)&lt;0.5,ROUND(BU226/RIGHT($CJ$1,2),0),MAX(BV226:CC226)))))))))</f>
        <v>1</v>
      </c>
      <c r="CO226" s="18" t="n">
        <f aca="false">CD226</f>
        <v>3</v>
      </c>
      <c r="CP226" s="15" t="n">
        <v>2</v>
      </c>
      <c r="CQ226" s="16" t="n">
        <f aca="false">IF((CO226-CP226)&lt;0,0,(CO226-CP226))</f>
        <v>1</v>
      </c>
      <c r="CR226" s="7"/>
    </row>
    <row r="227" customFormat="false" ht="12.75" hidden="false" customHeight="true" outlineLevel="0" collapsed="false">
      <c r="A227" s="7" t="s">
        <v>273</v>
      </c>
      <c r="B227" s="7" t="s">
        <v>323</v>
      </c>
      <c r="C227" s="8" t="n">
        <v>311001005</v>
      </c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 t="n">
        <v>2</v>
      </c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/>
      <c r="BD227" s="9"/>
      <c r="BE227" s="9"/>
      <c r="BF227" s="9"/>
      <c r="BG227" s="9"/>
      <c r="BH227" s="9"/>
      <c r="BI227" s="9"/>
      <c r="BJ227" s="9"/>
      <c r="BK227" s="9"/>
      <c r="BL227" s="9"/>
      <c r="BM227" s="9"/>
      <c r="BN227" s="9"/>
      <c r="BO227" s="9"/>
      <c r="BP227" s="9"/>
      <c r="BQ227" s="9"/>
      <c r="BR227" s="9"/>
      <c r="BS227" s="9"/>
      <c r="BT227" s="9"/>
      <c r="BU227" s="10" t="n">
        <v>2</v>
      </c>
      <c r="BV227" s="11" t="n">
        <f aca="false">IF(ISERROR(ROUND(MEDIAN(BQ227:BT227),0)),0,ROUND(MEDIAN(BQ227:BT227),0))</f>
        <v>0</v>
      </c>
      <c r="BW227" s="11" t="n">
        <f aca="false">IF(ISERROR(ROUND(MEDIAN(BM227:BT227),0)),0,ROUND(MEDIAN(BM227:BT227),0))</f>
        <v>0</v>
      </c>
      <c r="BX227" s="11" t="n">
        <f aca="false">IF(ISERROR(ROUND(MEDIAN(BI227:BT227),0)),0,ROUND(MEDIAN(BI227:BT227),0))</f>
        <v>0</v>
      </c>
      <c r="BY227" s="11" t="n">
        <f aca="false">IF(ISERROR(ROUND(MEDIAN(BE227:BT227),0)),0,ROUND(MEDIAN(BE227:BT227),0))</f>
        <v>0</v>
      </c>
      <c r="BZ227" s="11" t="n">
        <f aca="false">IF(ISERROR(ROUND(MEDIAN(AU227:BT227),0)),0,ROUND(MEDIAN(AU227:BT227),0))</f>
        <v>0</v>
      </c>
      <c r="CA227" s="12" t="n">
        <f aca="false">IF(ISERROR(ROUND(MEDIAN(U227:BT227),0)),0,ROUND(MEDIAN(U227:BT227),0))</f>
        <v>2</v>
      </c>
      <c r="CB227" s="12" t="n">
        <f aca="false">IF(ISERROR(ROUND(MEDIAN(BT227),0)),0,ROUND(MEDIAN(BT227),0))</f>
        <v>0</v>
      </c>
      <c r="CC227" s="12" t="n">
        <f aca="false">IF(ISERROR(ROUND(MEDIAN(D227:BT227),0)),0,ROUND(MEDIAN(D227:BT227),0))</f>
        <v>2</v>
      </c>
      <c r="CD227" s="12" t="n">
        <f aca="false">MAX(D227:BT227)</f>
        <v>2</v>
      </c>
      <c r="CE227" s="7" t="n">
        <f aca="false">COUNTA(BQ227:BT227)</f>
        <v>0</v>
      </c>
      <c r="CF227" s="7" t="n">
        <f aca="false">COUNTA(BM227:BT227)</f>
        <v>0</v>
      </c>
      <c r="CG227" s="7" t="n">
        <f aca="false">COUNTA(BI227:BT227)</f>
        <v>0</v>
      </c>
      <c r="CH227" s="7" t="n">
        <f aca="false">COUNTA(BE227:BT227)</f>
        <v>0</v>
      </c>
      <c r="CI227" s="7" t="n">
        <f aca="false">COUNTA(AU227:BT227)</f>
        <v>0</v>
      </c>
      <c r="CJ227" s="7" t="n">
        <f aca="false">COUNTA(U227:BT227)</f>
        <v>1</v>
      </c>
      <c r="CK227" s="7" t="n">
        <f aca="false">COUNTA(BT227)</f>
        <v>0</v>
      </c>
      <c r="CL227" s="7" t="n">
        <f aca="false">COUNTA(D227:BT227)</f>
        <v>1</v>
      </c>
      <c r="CM227" s="19" t="str">
        <f aca="false">IF(AND(CE227=1,CJ227=1,BT227&lt;&gt;""),"5.ENTRANTES",IF(AND(CE227&lt;&gt;0,CE227/RIGHT($CE$1,1)&gt;=0.5,CJ227=CE227),"4.RECENTES",IF(AND(CF227&lt;&gt;0,CF227/RIGHT($CF$1,1)&gt;=0.5,CJ227=CF227),"4.RECENTES",IF(AND(CG227&lt;&gt;0,CG227/RIGHT($CG$1,2)&gt;=0.5,CJ227=CG227),"4.RECENTES",IF(AND(CH227&lt;&gt;0,CH227/RIGHT($CH$1,2)&gt;=0.5,CJ227=CH227),"4.RECENTES",IF(AND(CI227&lt;&gt;0,CI227/RIGHT($CI$1,2)&gt;=0.5,CJ227=CI227),"4.RECENTES",IF(AND(CE227=0,CF227=0,CG227=0,CH227=0),"3.INATIVOS",IF(CJ227/RIGHT($CJ$1,2)&lt;0.5,"2.INTERMITENTES","1.ORDINÁRIOS"))))))))</f>
        <v>3.INATIVOS</v>
      </c>
      <c r="CN227" s="20" t="n">
        <f aca="false">IF(AND(CE227=1,CJ227=1,BT227&lt;&gt;""),BT227,IF(AND(CE227&lt;&gt;0,CE227/RIGHT($CE$1,1)&gt;=0.5,CJ227=CE227),MAX(BV227:CC227),IF(AND(CF227&lt;&gt;0,CF227/RIGHT($CF$1,1)&gt;=0.5,CJ227=CF227),MAX(BV227:CC227),IF(AND(CG227&lt;&gt;0,CG227/RIGHT($CG$1,2)&gt;=0.5,CJ227=CG227),MAX(BV227:CC227),IF(AND(CH227&lt;&gt;0,CH227/RIGHT($CH$1,2)&gt;=0.5,CJ227=CH227),MAX(BV227:CC227),IF(AND(CI227&lt;&gt;0,CI227/RIGHT($CI$1,2)&gt;=0.5,CJ227=CI227),MAX(BV227:CC227),IF(AND(CE227=0,CF227=0,CG227=0,CH227=0),0,IF(CJ227/RIGHT($CJ$1,2)&lt;0.5,ROUND(BU227/RIGHT($CJ$1,2),0),MAX(BV227:CC227)))))))))</f>
        <v>0</v>
      </c>
      <c r="CO227" s="20" t="n">
        <f aca="false">CN227*3</f>
        <v>0</v>
      </c>
      <c r="CP227" s="15" t="n">
        <v>0</v>
      </c>
      <c r="CQ227" s="16" t="n">
        <f aca="false">IF((CO227-CP227)&lt;0,0,(CO227-CP227))</f>
        <v>0</v>
      </c>
      <c r="CR227" s="7"/>
    </row>
    <row r="228" customFormat="false" ht="12.75" hidden="false" customHeight="true" outlineLevel="0" collapsed="false">
      <c r="A228" s="7" t="s">
        <v>273</v>
      </c>
      <c r="B228" s="7" t="s">
        <v>324</v>
      </c>
      <c r="C228" s="8" t="n">
        <v>311001015</v>
      </c>
      <c r="D228" s="9"/>
      <c r="E228" s="9"/>
      <c r="F228" s="9"/>
      <c r="G228" s="9"/>
      <c r="H228" s="9" t="n">
        <v>2</v>
      </c>
      <c r="I228" s="9"/>
      <c r="J228" s="9"/>
      <c r="K228" s="9"/>
      <c r="L228" s="9"/>
      <c r="M228" s="9" t="n">
        <v>2</v>
      </c>
      <c r="N228" s="9"/>
      <c r="O228" s="9"/>
      <c r="P228" s="9"/>
      <c r="Q228" s="9" t="n">
        <v>2</v>
      </c>
      <c r="R228" s="9"/>
      <c r="S228" s="9"/>
      <c r="T228" s="9"/>
      <c r="U228" s="9"/>
      <c r="V228" s="9"/>
      <c r="W228" s="9" t="n">
        <v>2</v>
      </c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 t="n">
        <v>4</v>
      </c>
      <c r="AS228" s="9"/>
      <c r="AT228" s="9"/>
      <c r="AU228" s="9"/>
      <c r="AV228" s="9"/>
      <c r="AW228" s="9"/>
      <c r="AX228" s="9"/>
      <c r="AY228" s="9"/>
      <c r="AZ228" s="9"/>
      <c r="BA228" s="9"/>
      <c r="BB228" s="9"/>
      <c r="BC228" s="9"/>
      <c r="BD228" s="9"/>
      <c r="BE228" s="9"/>
      <c r="BF228" s="9"/>
      <c r="BG228" s="9"/>
      <c r="BH228" s="9"/>
      <c r="BI228" s="9"/>
      <c r="BJ228" s="9"/>
      <c r="BK228" s="9"/>
      <c r="BL228" s="9"/>
      <c r="BM228" s="9"/>
      <c r="BN228" s="9"/>
      <c r="BO228" s="9"/>
      <c r="BP228" s="9" t="n">
        <v>4</v>
      </c>
      <c r="BQ228" s="9"/>
      <c r="BR228" s="9"/>
      <c r="BS228" s="9"/>
      <c r="BT228" s="9"/>
      <c r="BU228" s="10" t="n">
        <v>16</v>
      </c>
      <c r="BV228" s="11" t="n">
        <f aca="false">IF(ISERROR(ROUND(MEDIAN(BQ228:BT228),0)),0,ROUND(MEDIAN(BQ228:BT228),0))</f>
        <v>0</v>
      </c>
      <c r="BW228" s="11" t="n">
        <f aca="false">IF(ISERROR(ROUND(MEDIAN(BM228:BT228),0)),0,ROUND(MEDIAN(BM228:BT228),0))</f>
        <v>4</v>
      </c>
      <c r="BX228" s="11" t="n">
        <f aca="false">IF(ISERROR(ROUND(MEDIAN(BI228:BT228),0)),0,ROUND(MEDIAN(BI228:BT228),0))</f>
        <v>4</v>
      </c>
      <c r="BY228" s="11" t="n">
        <f aca="false">IF(ISERROR(ROUND(MEDIAN(BE228:BT228),0)),0,ROUND(MEDIAN(BE228:BT228),0))</f>
        <v>4</v>
      </c>
      <c r="BZ228" s="11" t="n">
        <f aca="false">IF(ISERROR(ROUND(MEDIAN(AU228:BT228),0)),0,ROUND(MEDIAN(AU228:BT228),0))</f>
        <v>4</v>
      </c>
      <c r="CA228" s="12" t="n">
        <f aca="false">IF(ISERROR(ROUND(MEDIAN(U228:BT228),0)),0,ROUND(MEDIAN(U228:BT228),0))</f>
        <v>4</v>
      </c>
      <c r="CB228" s="12" t="n">
        <f aca="false">IF(ISERROR(ROUND(MEDIAN(BT228),0)),0,ROUND(MEDIAN(BT228),0))</f>
        <v>0</v>
      </c>
      <c r="CC228" s="12" t="n">
        <f aca="false">IF(ISERROR(ROUND(MEDIAN(D228:BT228),0)),0,ROUND(MEDIAN(D228:BT228),0))</f>
        <v>2</v>
      </c>
      <c r="CD228" s="12" t="n">
        <f aca="false">MAX(D228:BT228)</f>
        <v>4</v>
      </c>
      <c r="CE228" s="7" t="n">
        <f aca="false">COUNTA(BQ228:BT228)</f>
        <v>0</v>
      </c>
      <c r="CF228" s="7" t="n">
        <f aca="false">COUNTA(BM228:BT228)</f>
        <v>1</v>
      </c>
      <c r="CG228" s="7" t="n">
        <f aca="false">COUNTA(BI228:BT228)</f>
        <v>1</v>
      </c>
      <c r="CH228" s="7" t="n">
        <f aca="false">COUNTA(BE228:BT228)</f>
        <v>1</v>
      </c>
      <c r="CI228" s="7" t="n">
        <f aca="false">COUNTA(AU228:BT228)</f>
        <v>1</v>
      </c>
      <c r="CJ228" s="7" t="n">
        <f aca="false">COUNTA(U228:BT228)</f>
        <v>3</v>
      </c>
      <c r="CK228" s="7" t="n">
        <f aca="false">COUNTA(BT228)</f>
        <v>0</v>
      </c>
      <c r="CL228" s="7" t="n">
        <f aca="false">COUNTA(D228:BT228)</f>
        <v>6</v>
      </c>
      <c r="CM228" s="17" t="str">
        <f aca="false">IF(AND(CE228=1,CJ228=1,BT228&lt;&gt;""),"5.ENTRANTES",IF(AND(CE228&lt;&gt;0,CE228/RIGHT($CE$1,1)&gt;=0.5,CJ228=CE228),"4.RECENTES",IF(AND(CF228&lt;&gt;0,CF228/RIGHT($CF$1,1)&gt;=0.5,CJ228=CF228),"4.RECENTES",IF(AND(CG228&lt;&gt;0,CG228/RIGHT($CG$1,2)&gt;=0.5,CJ228=CG228),"4.RECENTES",IF(AND(CH228&lt;&gt;0,CH228/RIGHT($CH$1,2)&gt;=0.5,CJ228=CH228),"4.RECENTES",IF(AND(CI228&lt;&gt;0,CI228/RIGHT($CI$1,2)&gt;=0.5,CJ228=CI228),"4.RECENTES",IF(AND(CE228=0,CF228=0,CG228=0,CH228=0),"3.INATIVOS",IF(CJ228/RIGHT($CJ$1,2)&lt;0.5,"2.INTERMITENTES","1.ORDINÁRIOS"))))))))</f>
        <v>2.INTERMITENTES</v>
      </c>
      <c r="CN228" s="18" t="n">
        <f aca="false">IF(AND(CE228=1,CJ228=1,BT228&lt;&gt;""),BT228,IF(AND(CE228&lt;&gt;0,CE228/RIGHT($CE$1,1)&gt;=0.5,CJ228=CE228),MAX(BV228:CC228),IF(AND(CF228&lt;&gt;0,CF228/RIGHT($CF$1,1)&gt;=0.5,CJ228=CF228),MAX(BV228:CC228),IF(AND(CG228&lt;&gt;0,CG228/RIGHT($CG$1,2)&gt;=0.5,CJ228=CG228),MAX(BV228:CC228),IF(AND(CH228&lt;&gt;0,CH228/RIGHT($CH$1,2)&gt;=0.5,CJ228=CH228),MAX(BV228:CC228),IF(AND(CI228&lt;&gt;0,CI228/RIGHT($CI$1,2)&gt;=0.5,CJ228=CI228),MAX(BV228:CC228),IF(AND(CE228=0,CF228=0,CG228=0,CH228=0),0,IF(CJ228/RIGHT($CJ$1,2)&lt;0.5,ROUND(BU228/RIGHT($CJ$1,2),0),MAX(BV228:CC228)))))))))</f>
        <v>0</v>
      </c>
      <c r="CO228" s="18" t="n">
        <f aca="false">CD228</f>
        <v>4</v>
      </c>
      <c r="CP228" s="15" t="n">
        <v>0</v>
      </c>
      <c r="CQ228" s="16" t="n">
        <f aca="false">IF((CO228-CP228)&lt;0,0,(CO228-CP228))</f>
        <v>4</v>
      </c>
      <c r="CR228" s="7"/>
    </row>
    <row r="229" customFormat="false" ht="12.75" hidden="false" customHeight="true" outlineLevel="0" collapsed="false">
      <c r="A229" s="7" t="s">
        <v>273</v>
      </c>
      <c r="B229" s="7" t="s">
        <v>325</v>
      </c>
      <c r="C229" s="8" t="n">
        <v>311001006</v>
      </c>
      <c r="D229" s="9"/>
      <c r="E229" s="9"/>
      <c r="F229" s="9"/>
      <c r="G229" s="9"/>
      <c r="H229" s="9" t="n">
        <v>2</v>
      </c>
      <c r="I229" s="9" t="n">
        <v>2</v>
      </c>
      <c r="J229" s="9"/>
      <c r="K229" s="9"/>
      <c r="L229" s="9"/>
      <c r="M229" s="9" t="n">
        <v>1</v>
      </c>
      <c r="N229" s="9"/>
      <c r="O229" s="9"/>
      <c r="P229" s="9" t="n">
        <v>2</v>
      </c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  <c r="BB229" s="9"/>
      <c r="BC229" s="9"/>
      <c r="BD229" s="9"/>
      <c r="BE229" s="9"/>
      <c r="BF229" s="9"/>
      <c r="BG229" s="9"/>
      <c r="BH229" s="9"/>
      <c r="BI229" s="9"/>
      <c r="BJ229" s="9"/>
      <c r="BK229" s="9"/>
      <c r="BL229" s="9"/>
      <c r="BM229" s="9"/>
      <c r="BN229" s="9"/>
      <c r="BO229" s="9"/>
      <c r="BP229" s="9"/>
      <c r="BQ229" s="9"/>
      <c r="BR229" s="9"/>
      <c r="BS229" s="9"/>
      <c r="BT229" s="9"/>
      <c r="BU229" s="10" t="n">
        <v>7</v>
      </c>
      <c r="BV229" s="11" t="n">
        <f aca="false">IF(ISERROR(ROUND(MEDIAN(BQ229:BT229),0)),0,ROUND(MEDIAN(BQ229:BT229),0))</f>
        <v>0</v>
      </c>
      <c r="BW229" s="11" t="n">
        <f aca="false">IF(ISERROR(ROUND(MEDIAN(BM229:BT229),0)),0,ROUND(MEDIAN(BM229:BT229),0))</f>
        <v>0</v>
      </c>
      <c r="BX229" s="11" t="n">
        <f aca="false">IF(ISERROR(ROUND(MEDIAN(BI229:BT229),0)),0,ROUND(MEDIAN(BI229:BT229),0))</f>
        <v>0</v>
      </c>
      <c r="BY229" s="11" t="n">
        <f aca="false">IF(ISERROR(ROUND(MEDIAN(BE229:BT229),0)),0,ROUND(MEDIAN(BE229:BT229),0))</f>
        <v>0</v>
      </c>
      <c r="BZ229" s="11" t="n">
        <f aca="false">IF(ISERROR(ROUND(MEDIAN(AU229:BT229),0)),0,ROUND(MEDIAN(AU229:BT229),0))</f>
        <v>0</v>
      </c>
      <c r="CA229" s="12" t="n">
        <f aca="false">IF(ISERROR(ROUND(MEDIAN(U229:BT229),0)),0,ROUND(MEDIAN(U229:BT229),0))</f>
        <v>0</v>
      </c>
      <c r="CB229" s="12" t="n">
        <f aca="false">IF(ISERROR(ROUND(MEDIAN(BT229),0)),0,ROUND(MEDIAN(BT229),0))</f>
        <v>0</v>
      </c>
      <c r="CC229" s="12" t="n">
        <f aca="false">IF(ISERROR(ROUND(MEDIAN(D229:BT229),0)),0,ROUND(MEDIAN(D229:BT229),0))</f>
        <v>2</v>
      </c>
      <c r="CD229" s="12" t="n">
        <f aca="false">MAX(D229:BT229)</f>
        <v>2</v>
      </c>
      <c r="CE229" s="7" t="n">
        <f aca="false">COUNTA(BQ229:BT229)</f>
        <v>0</v>
      </c>
      <c r="CF229" s="7" t="n">
        <f aca="false">COUNTA(BM229:BT229)</f>
        <v>0</v>
      </c>
      <c r="CG229" s="7" t="n">
        <f aca="false">COUNTA(BI229:BT229)</f>
        <v>0</v>
      </c>
      <c r="CH229" s="7" t="n">
        <f aca="false">COUNTA(BE229:BT229)</f>
        <v>0</v>
      </c>
      <c r="CI229" s="7" t="n">
        <f aca="false">COUNTA(AU229:BT229)</f>
        <v>0</v>
      </c>
      <c r="CJ229" s="7" t="n">
        <f aca="false">COUNTA(U229:BT229)</f>
        <v>0</v>
      </c>
      <c r="CK229" s="7" t="n">
        <f aca="false">COUNTA(BT229)</f>
        <v>0</v>
      </c>
      <c r="CL229" s="7" t="n">
        <f aca="false">COUNTA(D229:BT229)</f>
        <v>4</v>
      </c>
      <c r="CM229" s="19" t="str">
        <f aca="false">IF(AND(CE229=1,CJ229=1,BT229&lt;&gt;""),"5.ENTRANTES",IF(AND(CE229&lt;&gt;0,CE229/RIGHT($CE$1,1)&gt;=0.5,CJ229=CE229),"4.RECENTES",IF(AND(CF229&lt;&gt;0,CF229/RIGHT($CF$1,1)&gt;=0.5,CJ229=CF229),"4.RECENTES",IF(AND(CG229&lt;&gt;0,CG229/RIGHT($CG$1,2)&gt;=0.5,CJ229=CG229),"4.RECENTES",IF(AND(CH229&lt;&gt;0,CH229/RIGHT($CH$1,2)&gt;=0.5,CJ229=CH229),"4.RECENTES",IF(AND(CI229&lt;&gt;0,CI229/RIGHT($CI$1,2)&gt;=0.5,CJ229=CI229),"4.RECENTES",IF(AND(CE229=0,CF229=0,CG229=0,CH229=0),"3.INATIVOS",IF(CJ229/RIGHT($CJ$1,2)&lt;0.5,"2.INTERMITENTES","1.ORDINÁRIOS"))))))))</f>
        <v>3.INATIVOS</v>
      </c>
      <c r="CN229" s="20" t="n">
        <f aca="false">IF(AND(CE229=1,CJ229=1,BT229&lt;&gt;""),BT229,IF(AND(CE229&lt;&gt;0,CE229/RIGHT($CE$1,1)&gt;=0.5,CJ229=CE229),MAX(BV229:CC229),IF(AND(CF229&lt;&gt;0,CF229/RIGHT($CF$1,1)&gt;=0.5,CJ229=CF229),MAX(BV229:CC229),IF(AND(CG229&lt;&gt;0,CG229/RIGHT($CG$1,2)&gt;=0.5,CJ229=CG229),MAX(BV229:CC229),IF(AND(CH229&lt;&gt;0,CH229/RIGHT($CH$1,2)&gt;=0.5,CJ229=CH229),MAX(BV229:CC229),IF(AND(CI229&lt;&gt;0,CI229/RIGHT($CI$1,2)&gt;=0.5,CJ229=CI229),MAX(BV229:CC229),IF(AND(CE229=0,CF229=0,CG229=0,CH229=0),0,IF(CJ229/RIGHT($CJ$1,2)&lt;0.5,ROUND(BU229/RIGHT($CJ$1,2),0),MAX(BV229:CC229)))))))))</f>
        <v>0</v>
      </c>
      <c r="CO229" s="20" t="n">
        <f aca="false">CN229*3</f>
        <v>0</v>
      </c>
      <c r="CP229" s="15" t="n">
        <v>0</v>
      </c>
      <c r="CQ229" s="16" t="n">
        <f aca="false">IF((CO229-CP229)&lt;0,0,(CO229-CP229))</f>
        <v>0</v>
      </c>
      <c r="CR229" s="7"/>
    </row>
    <row r="230" customFormat="false" ht="12.75" hidden="false" customHeight="true" outlineLevel="0" collapsed="false">
      <c r="A230" s="7" t="s">
        <v>273</v>
      </c>
      <c r="B230" s="7" t="s">
        <v>326</v>
      </c>
      <c r="C230" s="8" t="n">
        <v>311001011</v>
      </c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 t="n">
        <v>2</v>
      </c>
      <c r="Z230" s="9"/>
      <c r="AA230" s="9"/>
      <c r="AB230" s="9"/>
      <c r="AC230" s="9"/>
      <c r="AD230" s="9" t="n">
        <v>2</v>
      </c>
      <c r="AE230" s="9"/>
      <c r="AF230" s="9"/>
      <c r="AG230" s="9"/>
      <c r="AH230" s="9" t="n">
        <v>2</v>
      </c>
      <c r="AI230" s="9"/>
      <c r="AJ230" s="9"/>
      <c r="AK230" s="9"/>
      <c r="AL230" s="9"/>
      <c r="AM230" s="9" t="n">
        <v>1</v>
      </c>
      <c r="AN230" s="9"/>
      <c r="AO230" s="9" t="n">
        <v>1</v>
      </c>
      <c r="AP230" s="9"/>
      <c r="AQ230" s="9" t="n">
        <v>2</v>
      </c>
      <c r="AR230" s="9" t="n">
        <v>1</v>
      </c>
      <c r="AS230" s="9"/>
      <c r="AT230" s="9"/>
      <c r="AU230" s="9" t="n">
        <v>2</v>
      </c>
      <c r="AV230" s="9"/>
      <c r="AW230" s="9"/>
      <c r="AX230" s="9"/>
      <c r="AY230" s="9" t="n">
        <v>2</v>
      </c>
      <c r="AZ230" s="9"/>
      <c r="BA230" s="9"/>
      <c r="BB230" s="9"/>
      <c r="BC230" s="9"/>
      <c r="BD230" s="9"/>
      <c r="BE230" s="9"/>
      <c r="BF230" s="9"/>
      <c r="BG230" s="9"/>
      <c r="BH230" s="9"/>
      <c r="BI230" s="9"/>
      <c r="BJ230" s="9" t="n">
        <v>1</v>
      </c>
      <c r="BK230" s="9"/>
      <c r="BL230" s="9"/>
      <c r="BM230" s="9"/>
      <c r="BN230" s="9"/>
      <c r="BO230" s="9"/>
      <c r="BP230" s="9"/>
      <c r="BQ230" s="9"/>
      <c r="BR230" s="9"/>
      <c r="BS230" s="9"/>
      <c r="BT230" s="9"/>
      <c r="BU230" s="10" t="n">
        <v>16</v>
      </c>
      <c r="BV230" s="11" t="n">
        <f aca="false">IF(ISERROR(ROUND(MEDIAN(BQ230:BT230),0)),0,ROUND(MEDIAN(BQ230:BT230),0))</f>
        <v>0</v>
      </c>
      <c r="BW230" s="11" t="n">
        <f aca="false">IF(ISERROR(ROUND(MEDIAN(BM230:BT230),0)),0,ROUND(MEDIAN(BM230:BT230),0))</f>
        <v>0</v>
      </c>
      <c r="BX230" s="11" t="n">
        <f aca="false">IF(ISERROR(ROUND(MEDIAN(BI230:BT230),0)),0,ROUND(MEDIAN(BI230:BT230),0))</f>
        <v>1</v>
      </c>
      <c r="BY230" s="11" t="n">
        <f aca="false">IF(ISERROR(ROUND(MEDIAN(BE230:BT230),0)),0,ROUND(MEDIAN(BE230:BT230),0))</f>
        <v>1</v>
      </c>
      <c r="BZ230" s="11" t="n">
        <f aca="false">IF(ISERROR(ROUND(MEDIAN(AU230:BT230),0)),0,ROUND(MEDIAN(AU230:BT230),0))</f>
        <v>2</v>
      </c>
      <c r="CA230" s="12" t="n">
        <f aca="false">IF(ISERROR(ROUND(MEDIAN(U230:BT230),0)),0,ROUND(MEDIAN(U230:BT230),0))</f>
        <v>2</v>
      </c>
      <c r="CB230" s="12" t="n">
        <f aca="false">IF(ISERROR(ROUND(MEDIAN(BT230),0)),0,ROUND(MEDIAN(BT230),0))</f>
        <v>0</v>
      </c>
      <c r="CC230" s="12" t="n">
        <f aca="false">IF(ISERROR(ROUND(MEDIAN(D230:BT230),0)),0,ROUND(MEDIAN(D230:BT230),0))</f>
        <v>2</v>
      </c>
      <c r="CD230" s="12" t="n">
        <f aca="false">MAX(D230:BT230)</f>
        <v>2</v>
      </c>
      <c r="CE230" s="7" t="n">
        <f aca="false">COUNTA(BQ230:BT230)</f>
        <v>0</v>
      </c>
      <c r="CF230" s="7" t="n">
        <f aca="false">COUNTA(BM230:BT230)</f>
        <v>0</v>
      </c>
      <c r="CG230" s="7" t="n">
        <f aca="false">COUNTA(BI230:BT230)</f>
        <v>1</v>
      </c>
      <c r="CH230" s="7" t="n">
        <f aca="false">COUNTA(BE230:BT230)</f>
        <v>1</v>
      </c>
      <c r="CI230" s="7" t="n">
        <f aca="false">COUNTA(AU230:BT230)</f>
        <v>3</v>
      </c>
      <c r="CJ230" s="7" t="n">
        <f aca="false">COUNTA(U230:BT230)</f>
        <v>10</v>
      </c>
      <c r="CK230" s="7" t="n">
        <f aca="false">COUNTA(BT230)</f>
        <v>0</v>
      </c>
      <c r="CL230" s="7" t="n">
        <f aca="false">COUNTA(D230:BT230)</f>
        <v>10</v>
      </c>
      <c r="CM230" s="17" t="str">
        <f aca="false">IF(AND(CE230=1,CJ230=1,BT230&lt;&gt;""),"5.ENTRANTES",IF(AND(CE230&lt;&gt;0,CE230/RIGHT($CE$1,1)&gt;=0.5,CJ230=CE230),"4.RECENTES",IF(AND(CF230&lt;&gt;0,CF230/RIGHT($CF$1,1)&gt;=0.5,CJ230=CF230),"4.RECENTES",IF(AND(CG230&lt;&gt;0,CG230/RIGHT($CG$1,2)&gt;=0.5,CJ230=CG230),"4.RECENTES",IF(AND(CH230&lt;&gt;0,CH230/RIGHT($CH$1,2)&gt;=0.5,CJ230=CH230),"4.RECENTES",IF(AND(CI230&lt;&gt;0,CI230/RIGHT($CI$1,2)&gt;=0.5,CJ230=CI230),"4.RECENTES",IF(AND(CE230=0,CF230=0,CG230=0,CH230=0),"3.INATIVOS",IF(CJ230/RIGHT($CJ$1,2)&lt;0.5,"2.INTERMITENTES","1.ORDINÁRIOS"))))))))</f>
        <v>2.INTERMITENTES</v>
      </c>
      <c r="CN230" s="18" t="n">
        <f aca="false">IF(AND(CE230=1,CJ230=1,BT230&lt;&gt;""),BT230,IF(AND(CE230&lt;&gt;0,CE230/RIGHT($CE$1,1)&gt;=0.5,CJ230=CE230),MAX(BV230:CC230),IF(AND(CF230&lt;&gt;0,CF230/RIGHT($CF$1,1)&gt;=0.5,CJ230=CF230),MAX(BV230:CC230),IF(AND(CG230&lt;&gt;0,CG230/RIGHT($CG$1,2)&gt;=0.5,CJ230=CG230),MAX(BV230:CC230),IF(AND(CH230&lt;&gt;0,CH230/RIGHT($CH$1,2)&gt;=0.5,CJ230=CH230),MAX(BV230:CC230),IF(AND(CI230&lt;&gt;0,CI230/RIGHT($CI$1,2)&gt;=0.5,CJ230=CI230),MAX(BV230:CC230),IF(AND(CE230=0,CF230=0,CG230=0,CH230=0),0,IF(CJ230/RIGHT($CJ$1,2)&lt;0.5,ROUND(BU230/RIGHT($CJ$1,2),0),MAX(BV230:CC230)))))))))</f>
        <v>0</v>
      </c>
      <c r="CO230" s="18" t="n">
        <f aca="false">CD230</f>
        <v>2</v>
      </c>
      <c r="CP230" s="15" t="n">
        <v>0</v>
      </c>
      <c r="CQ230" s="16" t="n">
        <f aca="false">IF((CO230-CP230)&lt;0,0,(CO230-CP230))</f>
        <v>2</v>
      </c>
      <c r="CR230" s="7"/>
    </row>
    <row r="231" customFormat="false" ht="12.75" hidden="false" customHeight="true" outlineLevel="0" collapsed="false">
      <c r="A231" s="7" t="s">
        <v>273</v>
      </c>
      <c r="B231" s="7" t="s">
        <v>327</v>
      </c>
      <c r="C231" s="8" t="n">
        <v>311001023</v>
      </c>
      <c r="D231" s="9"/>
      <c r="E231" s="9"/>
      <c r="F231" s="9"/>
      <c r="G231" s="9"/>
      <c r="H231" s="9"/>
      <c r="I231" s="9" t="n">
        <v>1</v>
      </c>
      <c r="J231" s="9"/>
      <c r="K231" s="9"/>
      <c r="L231" s="9"/>
      <c r="M231" s="9"/>
      <c r="N231" s="9"/>
      <c r="O231" s="9"/>
      <c r="P231" s="9"/>
      <c r="Q231" s="9"/>
      <c r="R231" s="9" t="n">
        <v>1</v>
      </c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 t="n">
        <v>1</v>
      </c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  <c r="BB231" s="9"/>
      <c r="BC231" s="9"/>
      <c r="BD231" s="9"/>
      <c r="BE231" s="9"/>
      <c r="BF231" s="9"/>
      <c r="BG231" s="9"/>
      <c r="BH231" s="9"/>
      <c r="BI231" s="9"/>
      <c r="BJ231" s="9"/>
      <c r="BK231" s="9"/>
      <c r="BL231" s="9"/>
      <c r="BM231" s="9"/>
      <c r="BN231" s="9"/>
      <c r="BO231" s="9"/>
      <c r="BP231" s="9"/>
      <c r="BQ231" s="9" t="n">
        <v>2</v>
      </c>
      <c r="BR231" s="9"/>
      <c r="BS231" s="9"/>
      <c r="BT231" s="9"/>
      <c r="BU231" s="10" t="n">
        <v>5</v>
      </c>
      <c r="BV231" s="11" t="n">
        <f aca="false">IF(ISERROR(ROUND(MEDIAN(BQ231:BT231),0)),0,ROUND(MEDIAN(BQ231:BT231),0))</f>
        <v>2</v>
      </c>
      <c r="BW231" s="11" t="n">
        <f aca="false">IF(ISERROR(ROUND(MEDIAN(BM231:BT231),0)),0,ROUND(MEDIAN(BM231:BT231),0))</f>
        <v>2</v>
      </c>
      <c r="BX231" s="11" t="n">
        <f aca="false">IF(ISERROR(ROUND(MEDIAN(BI231:BT231),0)),0,ROUND(MEDIAN(BI231:BT231),0))</f>
        <v>2</v>
      </c>
      <c r="BY231" s="11" t="n">
        <f aca="false">IF(ISERROR(ROUND(MEDIAN(BE231:BT231),0)),0,ROUND(MEDIAN(BE231:BT231),0))</f>
        <v>2</v>
      </c>
      <c r="BZ231" s="11" t="n">
        <f aca="false">IF(ISERROR(ROUND(MEDIAN(AU231:BT231),0)),0,ROUND(MEDIAN(AU231:BT231),0))</f>
        <v>2</v>
      </c>
      <c r="CA231" s="12" t="n">
        <f aca="false">IF(ISERROR(ROUND(MEDIAN(U231:BT231),0)),0,ROUND(MEDIAN(U231:BT231),0))</f>
        <v>2</v>
      </c>
      <c r="CB231" s="12" t="n">
        <f aca="false">IF(ISERROR(ROUND(MEDIAN(BT231),0)),0,ROUND(MEDIAN(BT231),0))</f>
        <v>0</v>
      </c>
      <c r="CC231" s="12" t="n">
        <f aca="false">IF(ISERROR(ROUND(MEDIAN(D231:BT231),0)),0,ROUND(MEDIAN(D231:BT231),0))</f>
        <v>1</v>
      </c>
      <c r="CD231" s="12" t="n">
        <f aca="false">MAX(D231:BT231)</f>
        <v>2</v>
      </c>
      <c r="CE231" s="7" t="n">
        <f aca="false">COUNTA(BQ231:BT231)</f>
        <v>1</v>
      </c>
      <c r="CF231" s="7" t="n">
        <f aca="false">COUNTA(BM231:BT231)</f>
        <v>1</v>
      </c>
      <c r="CG231" s="7" t="n">
        <f aca="false">COUNTA(BI231:BT231)</f>
        <v>1</v>
      </c>
      <c r="CH231" s="7" t="n">
        <f aca="false">COUNTA(BE231:BT231)</f>
        <v>1</v>
      </c>
      <c r="CI231" s="7" t="n">
        <f aca="false">COUNTA(AU231:BT231)</f>
        <v>1</v>
      </c>
      <c r="CJ231" s="7" t="n">
        <f aca="false">COUNTA(U231:BT231)</f>
        <v>2</v>
      </c>
      <c r="CK231" s="7" t="n">
        <f aca="false">COUNTA(BT231)</f>
        <v>0</v>
      </c>
      <c r="CL231" s="7" t="n">
        <f aca="false">COUNTA(D231:BT231)</f>
        <v>4</v>
      </c>
      <c r="CM231" s="17" t="str">
        <f aca="false">IF(AND(CE231=1,CJ231=1,BT231&lt;&gt;""),"5.ENTRANTES",IF(AND(CE231&lt;&gt;0,CE231/RIGHT($CE$1,1)&gt;=0.5,CJ231=CE231),"4.RECENTES",IF(AND(CF231&lt;&gt;0,CF231/RIGHT($CF$1,1)&gt;=0.5,CJ231=CF231),"4.RECENTES",IF(AND(CG231&lt;&gt;0,CG231/RIGHT($CG$1,2)&gt;=0.5,CJ231=CG231),"4.RECENTES",IF(AND(CH231&lt;&gt;0,CH231/RIGHT($CH$1,2)&gt;=0.5,CJ231=CH231),"4.RECENTES",IF(AND(CI231&lt;&gt;0,CI231/RIGHT($CI$1,2)&gt;=0.5,CJ231=CI231),"4.RECENTES",IF(AND(CE231=0,CF231=0,CG231=0,CH231=0),"3.INATIVOS",IF(CJ231/RIGHT($CJ$1,2)&lt;0.5,"2.INTERMITENTES","1.ORDINÁRIOS"))))))))</f>
        <v>2.INTERMITENTES</v>
      </c>
      <c r="CN231" s="18" t="n">
        <f aca="false">IF(AND(CE231=1,CJ231=1,BT231&lt;&gt;""),BT231,IF(AND(CE231&lt;&gt;0,CE231/RIGHT($CE$1,1)&gt;=0.5,CJ231=CE231),MAX(BV231:CC231),IF(AND(CF231&lt;&gt;0,CF231/RIGHT($CF$1,1)&gt;=0.5,CJ231=CF231),MAX(BV231:CC231),IF(AND(CG231&lt;&gt;0,CG231/RIGHT($CG$1,2)&gt;=0.5,CJ231=CG231),MAX(BV231:CC231),IF(AND(CH231&lt;&gt;0,CH231/RIGHT($CH$1,2)&gt;=0.5,CJ231=CH231),MAX(BV231:CC231),IF(AND(CI231&lt;&gt;0,CI231/RIGHT($CI$1,2)&gt;=0.5,CJ231=CI231),MAX(BV231:CC231),IF(AND(CE231=0,CF231=0,CG231=0,CH231=0),0,IF(CJ231/RIGHT($CJ$1,2)&lt;0.5,ROUND(BU231/RIGHT($CJ$1,2),0),MAX(BV231:CC231)))))))))</f>
        <v>0</v>
      </c>
      <c r="CO231" s="18" t="n">
        <f aca="false">CD231</f>
        <v>2</v>
      </c>
      <c r="CP231" s="15" t="n">
        <v>0</v>
      </c>
      <c r="CQ231" s="16" t="n">
        <f aca="false">IF((CO231-CP231)&lt;0,0,(CO231-CP231))</f>
        <v>2</v>
      </c>
      <c r="CR231" s="7"/>
    </row>
    <row r="232" customFormat="false" ht="12.75" hidden="false" customHeight="true" outlineLevel="0" collapsed="false">
      <c r="A232" s="7" t="s">
        <v>273</v>
      </c>
      <c r="B232" s="7" t="s">
        <v>328</v>
      </c>
      <c r="C232" s="8" t="n">
        <v>325012001</v>
      </c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 t="n">
        <v>28</v>
      </c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  <c r="BB232" s="9"/>
      <c r="BC232" s="9"/>
      <c r="BD232" s="9"/>
      <c r="BE232" s="9"/>
      <c r="BF232" s="9"/>
      <c r="BG232" s="9"/>
      <c r="BH232" s="9"/>
      <c r="BI232" s="9" t="n">
        <v>30</v>
      </c>
      <c r="BJ232" s="9"/>
      <c r="BK232" s="9"/>
      <c r="BL232" s="9"/>
      <c r="BM232" s="9"/>
      <c r="BN232" s="9"/>
      <c r="BO232" s="9"/>
      <c r="BP232" s="9"/>
      <c r="BQ232" s="9"/>
      <c r="BR232" s="9"/>
      <c r="BS232" s="9"/>
      <c r="BT232" s="9"/>
      <c r="BU232" s="10" t="n">
        <v>58</v>
      </c>
      <c r="BV232" s="11" t="n">
        <f aca="false">IF(ISERROR(ROUND(MEDIAN(BQ232:BT232),0)),0,ROUND(MEDIAN(BQ232:BT232),0))</f>
        <v>0</v>
      </c>
      <c r="BW232" s="11" t="n">
        <f aca="false">IF(ISERROR(ROUND(MEDIAN(BM232:BT232),0)),0,ROUND(MEDIAN(BM232:BT232),0))</f>
        <v>0</v>
      </c>
      <c r="BX232" s="11" t="n">
        <f aca="false">IF(ISERROR(ROUND(MEDIAN(BI232:BT232),0)),0,ROUND(MEDIAN(BI232:BT232),0))</f>
        <v>30</v>
      </c>
      <c r="BY232" s="11" t="n">
        <f aca="false">IF(ISERROR(ROUND(MEDIAN(BE232:BT232),0)),0,ROUND(MEDIAN(BE232:BT232),0))</f>
        <v>30</v>
      </c>
      <c r="BZ232" s="11" t="n">
        <f aca="false">IF(ISERROR(ROUND(MEDIAN(AU232:BT232),0)),0,ROUND(MEDIAN(AU232:BT232),0))</f>
        <v>30</v>
      </c>
      <c r="CA232" s="12" t="n">
        <f aca="false">IF(ISERROR(ROUND(MEDIAN(U232:BT232),0)),0,ROUND(MEDIAN(U232:BT232),0))</f>
        <v>30</v>
      </c>
      <c r="CB232" s="12" t="n">
        <f aca="false">IF(ISERROR(ROUND(MEDIAN(BT232),0)),0,ROUND(MEDIAN(BT232),0))</f>
        <v>0</v>
      </c>
      <c r="CC232" s="12" t="n">
        <f aca="false">IF(ISERROR(ROUND(MEDIAN(D232:BT232),0)),0,ROUND(MEDIAN(D232:BT232),0))</f>
        <v>29</v>
      </c>
      <c r="CD232" s="12" t="n">
        <f aca="false">MAX(D232:BT232)</f>
        <v>30</v>
      </c>
      <c r="CE232" s="7" t="n">
        <f aca="false">COUNTA(BQ232:BT232)</f>
        <v>0</v>
      </c>
      <c r="CF232" s="7" t="n">
        <f aca="false">COUNTA(BM232:BT232)</f>
        <v>0</v>
      </c>
      <c r="CG232" s="7" t="n">
        <f aca="false">COUNTA(BI232:BT232)</f>
        <v>1</v>
      </c>
      <c r="CH232" s="7" t="n">
        <f aca="false">COUNTA(BE232:BT232)</f>
        <v>1</v>
      </c>
      <c r="CI232" s="7" t="n">
        <f aca="false">COUNTA(AU232:BT232)</f>
        <v>1</v>
      </c>
      <c r="CJ232" s="7" t="n">
        <f aca="false">COUNTA(U232:BT232)</f>
        <v>1</v>
      </c>
      <c r="CK232" s="7" t="n">
        <f aca="false">COUNTA(BT232)</f>
        <v>0</v>
      </c>
      <c r="CL232" s="7" t="n">
        <f aca="false">COUNTA(D232:BT232)</f>
        <v>2</v>
      </c>
      <c r="CM232" s="17" t="str">
        <f aca="false">IF(AND(CE232=1,CJ232=1,BT232&lt;&gt;""),"5.ENTRANTES",IF(AND(CE232&lt;&gt;0,CE232/RIGHT($CE$1,1)&gt;=0.5,CJ232=CE232),"4.RECENTES",IF(AND(CF232&lt;&gt;0,CF232/RIGHT($CF$1,1)&gt;=0.5,CJ232=CF232),"4.RECENTES",IF(AND(CG232&lt;&gt;0,CG232/RIGHT($CG$1,2)&gt;=0.5,CJ232=CG232),"4.RECENTES",IF(AND(CH232&lt;&gt;0,CH232/RIGHT($CH$1,2)&gt;=0.5,CJ232=CH232),"4.RECENTES",IF(AND(CI232&lt;&gt;0,CI232/RIGHT($CI$1,2)&gt;=0.5,CJ232=CI232),"4.RECENTES",IF(AND(CE232=0,CF232=0,CG232=0,CH232=0),"3.INATIVOS",IF(CJ232/RIGHT($CJ$1,2)&lt;0.5,"2.INTERMITENTES","1.ORDINÁRIOS"))))))))</f>
        <v>2.INTERMITENTES</v>
      </c>
      <c r="CN232" s="18" t="n">
        <f aca="false">IF(AND(CE232=1,CJ232=1,BT232&lt;&gt;""),BT232,IF(AND(CE232&lt;&gt;0,CE232/RIGHT($CE$1,1)&gt;=0.5,CJ232=CE232),MAX(BV232:CC232),IF(AND(CF232&lt;&gt;0,CF232/RIGHT($CF$1,1)&gt;=0.5,CJ232=CF232),MAX(BV232:CC232),IF(AND(CG232&lt;&gt;0,CG232/RIGHT($CG$1,2)&gt;=0.5,CJ232=CG232),MAX(BV232:CC232),IF(AND(CH232&lt;&gt;0,CH232/RIGHT($CH$1,2)&gt;=0.5,CJ232=CH232),MAX(BV232:CC232),IF(AND(CI232&lt;&gt;0,CI232/RIGHT($CI$1,2)&gt;=0.5,CJ232=CI232),MAX(BV232:CC232),IF(AND(CE232=0,CF232=0,CG232=0,CH232=0),0,IF(CJ232/RIGHT($CJ$1,2)&lt;0.5,ROUND(BU232/RIGHT($CJ$1,2),0),MAX(BV232:CC232)))))))))</f>
        <v>1</v>
      </c>
      <c r="CO232" s="18" t="n">
        <f aca="false">CD232</f>
        <v>30</v>
      </c>
      <c r="CP232" s="15" t="n">
        <v>60</v>
      </c>
      <c r="CQ232" s="16" t="n">
        <f aca="false">IF((CO232-CP232)&lt;0,0,(CO232-CP232))</f>
        <v>0</v>
      </c>
      <c r="CR232" s="7"/>
    </row>
    <row r="233" customFormat="false" ht="12.75" hidden="false" customHeight="true" outlineLevel="0" collapsed="false">
      <c r="A233" s="7" t="s">
        <v>273</v>
      </c>
      <c r="B233" s="7" t="s">
        <v>329</v>
      </c>
      <c r="C233" s="8" t="n">
        <v>21001072</v>
      </c>
      <c r="D233" s="9" t="n">
        <v>16</v>
      </c>
      <c r="E233" s="9" t="n">
        <v>388</v>
      </c>
      <c r="F233" s="9" t="n">
        <v>28</v>
      </c>
      <c r="G233" s="9" t="n">
        <v>24</v>
      </c>
      <c r="H233" s="9" t="n">
        <v>64</v>
      </c>
      <c r="I233" s="9" t="n">
        <v>40</v>
      </c>
      <c r="J233" s="9" t="n">
        <v>48</v>
      </c>
      <c r="K233" s="9" t="n">
        <v>20</v>
      </c>
      <c r="L233" s="9" t="n">
        <v>56</v>
      </c>
      <c r="M233" s="9" t="n">
        <v>12</v>
      </c>
      <c r="N233" s="9" t="n">
        <v>44</v>
      </c>
      <c r="O233" s="9" t="n">
        <v>20</v>
      </c>
      <c r="P233" s="9" t="n">
        <v>40</v>
      </c>
      <c r="Q233" s="9" t="n">
        <v>12</v>
      </c>
      <c r="R233" s="9" t="n">
        <v>48</v>
      </c>
      <c r="S233" s="9" t="n">
        <v>32</v>
      </c>
      <c r="T233" s="9" t="n">
        <v>36</v>
      </c>
      <c r="U233" s="9"/>
      <c r="V233" s="9" t="n">
        <v>16</v>
      </c>
      <c r="W233" s="9"/>
      <c r="X233" s="9"/>
      <c r="Y233" s="9" t="n">
        <v>20</v>
      </c>
      <c r="Z233" s="9"/>
      <c r="AA233" s="9" t="n">
        <v>8</v>
      </c>
      <c r="AB233" s="9"/>
      <c r="AC233" s="9" t="n">
        <v>16</v>
      </c>
      <c r="AD233" s="9" t="n">
        <v>8</v>
      </c>
      <c r="AE233" s="9" t="n">
        <v>8</v>
      </c>
      <c r="AF233" s="9"/>
      <c r="AG233" s="9" t="n">
        <v>16</v>
      </c>
      <c r="AH233" s="9" t="n">
        <v>8</v>
      </c>
      <c r="AI233" s="9"/>
      <c r="AJ233" s="9" t="n">
        <v>24</v>
      </c>
      <c r="AK233" s="9"/>
      <c r="AL233" s="9" t="n">
        <v>16</v>
      </c>
      <c r="AM233" s="9" t="n">
        <v>8</v>
      </c>
      <c r="AN233" s="9"/>
      <c r="AO233" s="9" t="n">
        <v>8</v>
      </c>
      <c r="AP233" s="9"/>
      <c r="AQ233" s="9" t="n">
        <v>16</v>
      </c>
      <c r="AR233" s="9"/>
      <c r="AS233" s="9" t="n">
        <v>8</v>
      </c>
      <c r="AT233" s="9"/>
      <c r="AU233" s="9"/>
      <c r="AV233" s="9"/>
      <c r="AW233" s="9"/>
      <c r="AX233" s="9" t="n">
        <v>16</v>
      </c>
      <c r="AY233" s="9"/>
      <c r="AZ233" s="9" t="n">
        <v>12</v>
      </c>
      <c r="BA233" s="9" t="n">
        <v>6</v>
      </c>
      <c r="BB233" s="9"/>
      <c r="BC233" s="9" t="n">
        <v>32</v>
      </c>
      <c r="BD233" s="9"/>
      <c r="BE233" s="9" t="n">
        <v>20</v>
      </c>
      <c r="BF233" s="9" t="n">
        <v>24</v>
      </c>
      <c r="BG233" s="9" t="n">
        <v>10</v>
      </c>
      <c r="BH233" s="9" t="n">
        <v>28</v>
      </c>
      <c r="BI233" s="9"/>
      <c r="BJ233" s="9"/>
      <c r="BK233" s="9"/>
      <c r="BL233" s="9" t="n">
        <v>20</v>
      </c>
      <c r="BM233" s="9"/>
      <c r="BN233" s="9"/>
      <c r="BO233" s="9" t="n">
        <v>120</v>
      </c>
      <c r="BP233" s="9"/>
      <c r="BQ233" s="9" t="n">
        <v>8</v>
      </c>
      <c r="BR233" s="9" t="n">
        <v>4</v>
      </c>
      <c r="BS233" s="9" t="n">
        <v>120</v>
      </c>
      <c r="BT233" s="9"/>
      <c r="BU233" s="10" t="n">
        <v>1528</v>
      </c>
      <c r="BV233" s="11" t="n">
        <f aca="false">IF(ISERROR(ROUND(MEDIAN(BQ233:BT233),0)),0,ROUND(MEDIAN(BQ233:BT233),0))</f>
        <v>8</v>
      </c>
      <c r="BW233" s="11" t="n">
        <f aca="false">IF(ISERROR(ROUND(MEDIAN(BM233:BT233),0)),0,ROUND(MEDIAN(BM233:BT233),0))</f>
        <v>64</v>
      </c>
      <c r="BX233" s="11" t="n">
        <f aca="false">IF(ISERROR(ROUND(MEDIAN(BI233:BT233),0)),0,ROUND(MEDIAN(BI233:BT233),0))</f>
        <v>20</v>
      </c>
      <c r="BY233" s="11" t="n">
        <f aca="false">IF(ISERROR(ROUND(MEDIAN(BE233:BT233),0)),0,ROUND(MEDIAN(BE233:BT233),0))</f>
        <v>20</v>
      </c>
      <c r="BZ233" s="11" t="n">
        <f aca="false">IF(ISERROR(ROUND(MEDIAN(AU233:BT233),0)),0,ROUND(MEDIAN(AU233:BT233),0))</f>
        <v>20</v>
      </c>
      <c r="CA233" s="12" t="n">
        <f aca="false">IF(ISERROR(ROUND(MEDIAN(U233:BT233),0)),0,ROUND(MEDIAN(U233:BT233),0))</f>
        <v>16</v>
      </c>
      <c r="CB233" s="12" t="n">
        <f aca="false">IF(ISERROR(ROUND(MEDIAN(BT233),0)),0,ROUND(MEDIAN(BT233),0))</f>
        <v>0</v>
      </c>
      <c r="CC233" s="12" t="n">
        <f aca="false">IF(ISERROR(ROUND(MEDIAN(D233:BT233),0)),0,ROUND(MEDIAN(D233:BT233),0))</f>
        <v>20</v>
      </c>
      <c r="CD233" s="12" t="n">
        <f aca="false">MAX(D233:BT233)</f>
        <v>388</v>
      </c>
      <c r="CE233" s="7" t="n">
        <f aca="false">COUNTA(BQ233:BT233)</f>
        <v>3</v>
      </c>
      <c r="CF233" s="7" t="n">
        <f aca="false">COUNTA(BM233:BT233)</f>
        <v>4</v>
      </c>
      <c r="CG233" s="7" t="n">
        <f aca="false">COUNTA(BI233:BT233)</f>
        <v>5</v>
      </c>
      <c r="CH233" s="7" t="n">
        <f aca="false">COUNTA(BE233:BT233)</f>
        <v>9</v>
      </c>
      <c r="CI233" s="7" t="n">
        <f aca="false">COUNTA(AU233:BT233)</f>
        <v>13</v>
      </c>
      <c r="CJ233" s="7" t="n">
        <f aca="false">COUNTA(U233:BT233)</f>
        <v>27</v>
      </c>
      <c r="CK233" s="7" t="n">
        <f aca="false">COUNTA(BT233)</f>
        <v>0</v>
      </c>
      <c r="CL233" s="7" t="n">
        <f aca="false">COUNTA(D233:BT233)</f>
        <v>44</v>
      </c>
      <c r="CM233" s="13" t="str">
        <f aca="false">IF(AND(CE233=1,CJ233=1,BT233&lt;&gt;""),"5.ENTRANTES",IF(AND(CE233&lt;&gt;0,CE233/RIGHT($CE$1,1)&gt;=0.5,CJ233=CE233),"4.RECENTES",IF(AND(CF233&lt;&gt;0,CF233/RIGHT($CF$1,1)&gt;=0.5,CJ233=CF233),"4.RECENTES",IF(AND(CG233&lt;&gt;0,CG233/RIGHT($CG$1,2)&gt;=0.5,CJ233=CG233),"4.RECENTES",IF(AND(CH233&lt;&gt;0,CH233/RIGHT($CH$1,2)&gt;=0.5,CJ233=CH233),"4.RECENTES",IF(AND(CI233&lt;&gt;0,CI233/RIGHT($CI$1,2)&gt;=0.5,CJ233=CI233),"4.RECENTES",IF(AND(CE233=0,CF233=0,CG233=0,CH233=0),"3.INATIVOS",IF(CJ233/RIGHT($CJ$1,2)&lt;0.5,"2.INTERMITENTES","1.ORDINÁRIOS"))))))))</f>
        <v>1.ORDINÁRIOS</v>
      </c>
      <c r="CN233" s="14" t="n">
        <f aca="false">IF(AND(CE233=1,CJ233=1,BT233&lt;&gt;""),BT233,IF(AND(CE233&lt;&gt;0,CE233/RIGHT($CE$1,1)&gt;=0.5,CJ233=CE233),MAX(BV233:CC233),IF(AND(CF233&lt;&gt;0,CF233/RIGHT($CF$1,1)&gt;=0.5,CJ233=CF233),MAX(BV233:CC233),IF(AND(CG233&lt;&gt;0,CG233/RIGHT($CG$1,2)&gt;=0.5,CJ233=CG233),MAX(BV233:CC233),IF(AND(CH233&lt;&gt;0,CH233/RIGHT($CH$1,2)&gt;=0.5,CJ233=CH233),MAX(BV233:CC233),IF(AND(CI233&lt;&gt;0,CI233/RIGHT($CI$1,2)&gt;=0.5,CJ233=CI233),MAX(BV233:CC233),IF(AND(CE233=0,CF233=0,CG233=0,CH233=0),0,IF(CJ233/RIGHT($CJ$1,2)&lt;0.5,ROUND(BU233/RIGHT($CJ$1,2),0),MAX(BV233:CC233)))))))))</f>
        <v>64</v>
      </c>
      <c r="CO233" s="14" t="n">
        <f aca="false">CN233*3</f>
        <v>192</v>
      </c>
      <c r="CP233" s="15" t="n">
        <v>204</v>
      </c>
      <c r="CQ233" s="16" t="n">
        <f aca="false">IF((CO233-CP233)&lt;0,0,(CO233-CP233))</f>
        <v>0</v>
      </c>
      <c r="CR233" s="7"/>
    </row>
    <row r="234" customFormat="false" ht="12.75" hidden="false" customHeight="true" outlineLevel="0" collapsed="false">
      <c r="A234" s="7" t="s">
        <v>273</v>
      </c>
      <c r="B234" s="7" t="s">
        <v>330</v>
      </c>
      <c r="C234" s="8" t="n">
        <v>326001001</v>
      </c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 t="n">
        <v>60</v>
      </c>
      <c r="AR234" s="9"/>
      <c r="AS234" s="9"/>
      <c r="AT234" s="9"/>
      <c r="AU234" s="9"/>
      <c r="AV234" s="9"/>
      <c r="AW234" s="9"/>
      <c r="AX234" s="9"/>
      <c r="AY234" s="9"/>
      <c r="AZ234" s="9"/>
      <c r="BA234" s="9"/>
      <c r="BB234" s="9"/>
      <c r="BC234" s="9"/>
      <c r="BD234" s="9"/>
      <c r="BE234" s="9"/>
      <c r="BF234" s="9"/>
      <c r="BG234" s="9"/>
      <c r="BH234" s="9"/>
      <c r="BI234" s="9"/>
      <c r="BJ234" s="9"/>
      <c r="BK234" s="9"/>
      <c r="BL234" s="9"/>
      <c r="BM234" s="9"/>
      <c r="BN234" s="9"/>
      <c r="BO234" s="9"/>
      <c r="BP234" s="9"/>
      <c r="BQ234" s="9"/>
      <c r="BR234" s="9"/>
      <c r="BS234" s="9"/>
      <c r="BT234" s="9"/>
      <c r="BU234" s="10" t="n">
        <v>60</v>
      </c>
      <c r="BV234" s="11" t="n">
        <f aca="false">IF(ISERROR(ROUND(MEDIAN(BQ234:BT234),0)),0,ROUND(MEDIAN(BQ234:BT234),0))</f>
        <v>0</v>
      </c>
      <c r="BW234" s="11" t="n">
        <f aca="false">IF(ISERROR(ROUND(MEDIAN(BM234:BT234),0)),0,ROUND(MEDIAN(BM234:BT234),0))</f>
        <v>0</v>
      </c>
      <c r="BX234" s="11" t="n">
        <f aca="false">IF(ISERROR(ROUND(MEDIAN(BI234:BT234),0)),0,ROUND(MEDIAN(BI234:BT234),0))</f>
        <v>0</v>
      </c>
      <c r="BY234" s="11" t="n">
        <f aca="false">IF(ISERROR(ROUND(MEDIAN(BE234:BT234),0)),0,ROUND(MEDIAN(BE234:BT234),0))</f>
        <v>0</v>
      </c>
      <c r="BZ234" s="11" t="n">
        <f aca="false">IF(ISERROR(ROUND(MEDIAN(AU234:BT234),0)),0,ROUND(MEDIAN(AU234:BT234),0))</f>
        <v>0</v>
      </c>
      <c r="CA234" s="12" t="n">
        <f aca="false">IF(ISERROR(ROUND(MEDIAN(U234:BT234),0)),0,ROUND(MEDIAN(U234:BT234),0))</f>
        <v>60</v>
      </c>
      <c r="CB234" s="12" t="n">
        <f aca="false">IF(ISERROR(ROUND(MEDIAN(BT234),0)),0,ROUND(MEDIAN(BT234),0))</f>
        <v>0</v>
      </c>
      <c r="CC234" s="12" t="n">
        <f aca="false">IF(ISERROR(ROUND(MEDIAN(D234:BT234),0)),0,ROUND(MEDIAN(D234:BT234),0))</f>
        <v>60</v>
      </c>
      <c r="CD234" s="12" t="n">
        <f aca="false">MAX(D234:BT234)</f>
        <v>60</v>
      </c>
      <c r="CE234" s="7" t="n">
        <f aca="false">COUNTA(BQ234:BT234)</f>
        <v>0</v>
      </c>
      <c r="CF234" s="7" t="n">
        <f aca="false">COUNTA(BM234:BT234)</f>
        <v>0</v>
      </c>
      <c r="CG234" s="7" t="n">
        <f aca="false">COUNTA(BI234:BT234)</f>
        <v>0</v>
      </c>
      <c r="CH234" s="7" t="n">
        <f aca="false">COUNTA(BE234:BT234)</f>
        <v>0</v>
      </c>
      <c r="CI234" s="7" t="n">
        <f aca="false">COUNTA(AU234:BT234)</f>
        <v>0</v>
      </c>
      <c r="CJ234" s="7" t="n">
        <f aca="false">COUNTA(U234:BT234)</f>
        <v>1</v>
      </c>
      <c r="CK234" s="7" t="n">
        <f aca="false">COUNTA(BT234)</f>
        <v>0</v>
      </c>
      <c r="CL234" s="7" t="n">
        <f aca="false">COUNTA(D234:BT234)</f>
        <v>1</v>
      </c>
      <c r="CM234" s="19" t="str">
        <f aca="false">IF(AND(CE234=1,CJ234=1,BT234&lt;&gt;""),"5.ENTRANTES",IF(AND(CE234&lt;&gt;0,CE234/RIGHT($CE$1,1)&gt;=0.5,CJ234=CE234),"4.RECENTES",IF(AND(CF234&lt;&gt;0,CF234/RIGHT($CF$1,1)&gt;=0.5,CJ234=CF234),"4.RECENTES",IF(AND(CG234&lt;&gt;0,CG234/RIGHT($CG$1,2)&gt;=0.5,CJ234=CG234),"4.RECENTES",IF(AND(CH234&lt;&gt;0,CH234/RIGHT($CH$1,2)&gt;=0.5,CJ234=CH234),"4.RECENTES",IF(AND(CI234&lt;&gt;0,CI234/RIGHT($CI$1,2)&gt;=0.5,CJ234=CI234),"4.RECENTES",IF(AND(CE234=0,CF234=0,CG234=0,CH234=0),"3.INATIVOS",IF(CJ234/RIGHT($CJ$1,2)&lt;0.5,"2.INTERMITENTES","1.ORDINÁRIOS"))))))))</f>
        <v>3.INATIVOS</v>
      </c>
      <c r="CN234" s="20" t="n">
        <f aca="false">IF(AND(CE234=1,CJ234=1,BT234&lt;&gt;""),BT234,IF(AND(CE234&lt;&gt;0,CE234/RIGHT($CE$1,1)&gt;=0.5,CJ234=CE234),MAX(BV234:CC234),IF(AND(CF234&lt;&gt;0,CF234/RIGHT($CF$1,1)&gt;=0.5,CJ234=CF234),MAX(BV234:CC234),IF(AND(CG234&lt;&gt;0,CG234/RIGHT($CG$1,2)&gt;=0.5,CJ234=CG234),MAX(BV234:CC234),IF(AND(CH234&lt;&gt;0,CH234/RIGHT($CH$1,2)&gt;=0.5,CJ234=CH234),MAX(BV234:CC234),IF(AND(CI234&lt;&gt;0,CI234/RIGHT($CI$1,2)&gt;=0.5,CJ234=CI234),MAX(BV234:CC234),IF(AND(CE234=0,CF234=0,CG234=0,CH234=0),0,IF(CJ234/RIGHT($CJ$1,2)&lt;0.5,ROUND(BU234/RIGHT($CJ$1,2),0),MAX(BV234:CC234)))))))))</f>
        <v>0</v>
      </c>
      <c r="CO234" s="20" t="n">
        <f aca="false">CN234*3</f>
        <v>0</v>
      </c>
      <c r="CP234" s="15" t="n">
        <v>0</v>
      </c>
      <c r="CQ234" s="16" t="n">
        <f aca="false">IF((CO234-CP234)&lt;0,0,(CO234-CP234))</f>
        <v>0</v>
      </c>
      <c r="CR234" s="7"/>
    </row>
    <row r="235" customFormat="false" ht="12.75" hidden="false" customHeight="true" outlineLevel="0" collapsed="false">
      <c r="A235" s="7" t="s">
        <v>273</v>
      </c>
      <c r="B235" s="7" t="s">
        <v>331</v>
      </c>
      <c r="C235" s="8" t="n">
        <v>315002002</v>
      </c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 t="n">
        <v>1</v>
      </c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  <c r="BB235" s="9"/>
      <c r="BC235" s="9"/>
      <c r="BD235" s="9"/>
      <c r="BE235" s="9"/>
      <c r="BF235" s="9"/>
      <c r="BG235" s="9"/>
      <c r="BH235" s="9"/>
      <c r="BI235" s="9"/>
      <c r="BJ235" s="9"/>
      <c r="BK235" s="9"/>
      <c r="BL235" s="9"/>
      <c r="BM235" s="9"/>
      <c r="BN235" s="9"/>
      <c r="BO235" s="9"/>
      <c r="BP235" s="9"/>
      <c r="BQ235" s="9"/>
      <c r="BR235" s="9"/>
      <c r="BS235" s="9"/>
      <c r="BT235" s="9"/>
      <c r="BU235" s="10" t="n">
        <v>1</v>
      </c>
      <c r="BV235" s="11" t="n">
        <f aca="false">IF(ISERROR(ROUND(MEDIAN(BQ235:BT235),0)),0,ROUND(MEDIAN(BQ235:BT235),0))</f>
        <v>0</v>
      </c>
      <c r="BW235" s="11" t="n">
        <f aca="false">IF(ISERROR(ROUND(MEDIAN(BM235:BT235),0)),0,ROUND(MEDIAN(BM235:BT235),0))</f>
        <v>0</v>
      </c>
      <c r="BX235" s="11" t="n">
        <f aca="false">IF(ISERROR(ROUND(MEDIAN(BI235:BT235),0)),0,ROUND(MEDIAN(BI235:BT235),0))</f>
        <v>0</v>
      </c>
      <c r="BY235" s="11" t="n">
        <f aca="false">IF(ISERROR(ROUND(MEDIAN(BE235:BT235),0)),0,ROUND(MEDIAN(BE235:BT235),0))</f>
        <v>0</v>
      </c>
      <c r="BZ235" s="11" t="n">
        <f aca="false">IF(ISERROR(ROUND(MEDIAN(AU235:BT235),0)),0,ROUND(MEDIAN(AU235:BT235),0))</f>
        <v>0</v>
      </c>
      <c r="CA235" s="12" t="n">
        <f aca="false">IF(ISERROR(ROUND(MEDIAN(U235:BT235),0)),0,ROUND(MEDIAN(U235:BT235),0))</f>
        <v>1</v>
      </c>
      <c r="CB235" s="12" t="n">
        <f aca="false">IF(ISERROR(ROUND(MEDIAN(BT235),0)),0,ROUND(MEDIAN(BT235),0))</f>
        <v>0</v>
      </c>
      <c r="CC235" s="12" t="n">
        <f aca="false">IF(ISERROR(ROUND(MEDIAN(D235:BT235),0)),0,ROUND(MEDIAN(D235:BT235),0))</f>
        <v>1</v>
      </c>
      <c r="CD235" s="12" t="n">
        <f aca="false">MAX(D235:BT235)</f>
        <v>1</v>
      </c>
      <c r="CE235" s="7" t="n">
        <f aca="false">COUNTA(BQ235:BT235)</f>
        <v>0</v>
      </c>
      <c r="CF235" s="7" t="n">
        <f aca="false">COUNTA(BM235:BT235)</f>
        <v>0</v>
      </c>
      <c r="CG235" s="7" t="n">
        <f aca="false">COUNTA(BI235:BT235)</f>
        <v>0</v>
      </c>
      <c r="CH235" s="7" t="n">
        <f aca="false">COUNTA(BE235:BT235)</f>
        <v>0</v>
      </c>
      <c r="CI235" s="7" t="n">
        <f aca="false">COUNTA(AU235:BT235)</f>
        <v>0</v>
      </c>
      <c r="CJ235" s="7" t="n">
        <f aca="false">COUNTA(U235:BT235)</f>
        <v>1</v>
      </c>
      <c r="CK235" s="7" t="n">
        <f aca="false">COUNTA(BT235)</f>
        <v>0</v>
      </c>
      <c r="CL235" s="7" t="n">
        <f aca="false">COUNTA(D235:BT235)</f>
        <v>1</v>
      </c>
      <c r="CM235" s="19" t="str">
        <f aca="false">IF(AND(CE235=1,CJ235=1,BT235&lt;&gt;""),"5.ENTRANTES",IF(AND(CE235&lt;&gt;0,CE235/RIGHT($CE$1,1)&gt;=0.5,CJ235=CE235),"4.RECENTES",IF(AND(CF235&lt;&gt;0,CF235/RIGHT($CF$1,1)&gt;=0.5,CJ235=CF235),"4.RECENTES",IF(AND(CG235&lt;&gt;0,CG235/RIGHT($CG$1,2)&gt;=0.5,CJ235=CG235),"4.RECENTES",IF(AND(CH235&lt;&gt;0,CH235/RIGHT($CH$1,2)&gt;=0.5,CJ235=CH235),"4.RECENTES",IF(AND(CI235&lt;&gt;0,CI235/RIGHT($CI$1,2)&gt;=0.5,CJ235=CI235),"4.RECENTES",IF(AND(CE235=0,CF235=0,CG235=0,CH235=0),"3.INATIVOS",IF(CJ235/RIGHT($CJ$1,2)&lt;0.5,"2.INTERMITENTES","1.ORDINÁRIOS"))))))))</f>
        <v>3.INATIVOS</v>
      </c>
      <c r="CN235" s="20" t="n">
        <f aca="false">IF(AND(CE235=1,CJ235=1,BT235&lt;&gt;""),BT235,IF(AND(CE235&lt;&gt;0,CE235/RIGHT($CE$1,1)&gt;=0.5,CJ235=CE235),MAX(BV235:CC235),IF(AND(CF235&lt;&gt;0,CF235/RIGHT($CF$1,1)&gt;=0.5,CJ235=CF235),MAX(BV235:CC235),IF(AND(CG235&lt;&gt;0,CG235/RIGHT($CG$1,2)&gt;=0.5,CJ235=CG235),MAX(BV235:CC235),IF(AND(CH235&lt;&gt;0,CH235/RIGHT($CH$1,2)&gt;=0.5,CJ235=CH235),MAX(BV235:CC235),IF(AND(CI235&lt;&gt;0,CI235/RIGHT($CI$1,2)&gt;=0.5,CJ235=CI235),MAX(BV235:CC235),IF(AND(CE235=0,CF235=0,CG235=0,CH235=0),0,IF(CJ235/RIGHT($CJ$1,2)&lt;0.5,ROUND(BU235/RIGHT($CJ$1,2),0),MAX(BV235:CC235)))))))))</f>
        <v>0</v>
      </c>
      <c r="CO235" s="20" t="n">
        <f aca="false">CN235*3</f>
        <v>0</v>
      </c>
      <c r="CP235" s="15" t="n">
        <v>0</v>
      </c>
      <c r="CQ235" s="16" t="n">
        <f aca="false">IF((CO235-CP235)&lt;0,0,(CO235-CP235))</f>
        <v>0</v>
      </c>
      <c r="CR235" s="7"/>
    </row>
    <row r="236" customFormat="false" ht="12.75" hidden="false" customHeight="true" outlineLevel="0" collapsed="false">
      <c r="A236" s="7" t="s">
        <v>273</v>
      </c>
      <c r="B236" s="7" t="s">
        <v>332</v>
      </c>
      <c r="C236" s="8" t="n">
        <v>325007001</v>
      </c>
      <c r="D236" s="9"/>
      <c r="E236" s="9"/>
      <c r="F236" s="9"/>
      <c r="G236" s="9"/>
      <c r="H236" s="9"/>
      <c r="I236" s="9"/>
      <c r="J236" s="9"/>
      <c r="K236" s="9"/>
      <c r="L236" s="9"/>
      <c r="M236" s="9" t="n">
        <v>1</v>
      </c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  <c r="BB236" s="9"/>
      <c r="BC236" s="9"/>
      <c r="BD236" s="9"/>
      <c r="BE236" s="9"/>
      <c r="BF236" s="9"/>
      <c r="BG236" s="9"/>
      <c r="BH236" s="9"/>
      <c r="BI236" s="9"/>
      <c r="BJ236" s="9"/>
      <c r="BK236" s="9"/>
      <c r="BL236" s="9"/>
      <c r="BM236" s="9"/>
      <c r="BN236" s="9"/>
      <c r="BO236" s="9"/>
      <c r="BP236" s="9"/>
      <c r="BQ236" s="9"/>
      <c r="BR236" s="9"/>
      <c r="BS236" s="9"/>
      <c r="BT236" s="9"/>
      <c r="BU236" s="10" t="n">
        <v>1</v>
      </c>
      <c r="BV236" s="11" t="n">
        <f aca="false">IF(ISERROR(ROUND(MEDIAN(BQ236:BT236),0)),0,ROUND(MEDIAN(BQ236:BT236),0))</f>
        <v>0</v>
      </c>
      <c r="BW236" s="11" t="n">
        <f aca="false">IF(ISERROR(ROUND(MEDIAN(BM236:BT236),0)),0,ROUND(MEDIAN(BM236:BT236),0))</f>
        <v>0</v>
      </c>
      <c r="BX236" s="11" t="n">
        <f aca="false">IF(ISERROR(ROUND(MEDIAN(BI236:BT236),0)),0,ROUND(MEDIAN(BI236:BT236),0))</f>
        <v>0</v>
      </c>
      <c r="BY236" s="11" t="n">
        <f aca="false">IF(ISERROR(ROUND(MEDIAN(BE236:BT236),0)),0,ROUND(MEDIAN(BE236:BT236),0))</f>
        <v>0</v>
      </c>
      <c r="BZ236" s="11" t="n">
        <f aca="false">IF(ISERROR(ROUND(MEDIAN(AU236:BT236),0)),0,ROUND(MEDIAN(AU236:BT236),0))</f>
        <v>0</v>
      </c>
      <c r="CA236" s="12" t="n">
        <f aca="false">IF(ISERROR(ROUND(MEDIAN(U236:BT236),0)),0,ROUND(MEDIAN(U236:BT236),0))</f>
        <v>0</v>
      </c>
      <c r="CB236" s="12" t="n">
        <f aca="false">IF(ISERROR(ROUND(MEDIAN(BT236),0)),0,ROUND(MEDIAN(BT236),0))</f>
        <v>0</v>
      </c>
      <c r="CC236" s="12" t="n">
        <f aca="false">IF(ISERROR(ROUND(MEDIAN(D236:BT236),0)),0,ROUND(MEDIAN(D236:BT236),0))</f>
        <v>1</v>
      </c>
      <c r="CD236" s="12" t="n">
        <f aca="false">MAX(D236:BT236)</f>
        <v>1</v>
      </c>
      <c r="CE236" s="7" t="n">
        <f aca="false">COUNTA(BQ236:BT236)</f>
        <v>0</v>
      </c>
      <c r="CF236" s="7" t="n">
        <f aca="false">COUNTA(BM236:BT236)</f>
        <v>0</v>
      </c>
      <c r="CG236" s="7" t="n">
        <f aca="false">COUNTA(BI236:BT236)</f>
        <v>0</v>
      </c>
      <c r="CH236" s="7" t="n">
        <f aca="false">COUNTA(BE236:BT236)</f>
        <v>0</v>
      </c>
      <c r="CI236" s="7" t="n">
        <f aca="false">COUNTA(AU236:BT236)</f>
        <v>0</v>
      </c>
      <c r="CJ236" s="7" t="n">
        <f aca="false">COUNTA(U236:BT236)</f>
        <v>0</v>
      </c>
      <c r="CK236" s="7" t="n">
        <f aca="false">COUNTA(BT236)</f>
        <v>0</v>
      </c>
      <c r="CL236" s="7" t="n">
        <f aca="false">COUNTA(D236:BT236)</f>
        <v>1</v>
      </c>
      <c r="CM236" s="19" t="str">
        <f aca="false">IF(AND(CE236=1,CJ236=1,BT236&lt;&gt;""),"5.ENTRANTES",IF(AND(CE236&lt;&gt;0,CE236/RIGHT($CE$1,1)&gt;=0.5,CJ236=CE236),"4.RECENTES",IF(AND(CF236&lt;&gt;0,CF236/RIGHT($CF$1,1)&gt;=0.5,CJ236=CF236),"4.RECENTES",IF(AND(CG236&lt;&gt;0,CG236/RIGHT($CG$1,2)&gt;=0.5,CJ236=CG236),"4.RECENTES",IF(AND(CH236&lt;&gt;0,CH236/RIGHT($CH$1,2)&gt;=0.5,CJ236=CH236),"4.RECENTES",IF(AND(CI236&lt;&gt;0,CI236/RIGHT($CI$1,2)&gt;=0.5,CJ236=CI236),"4.RECENTES",IF(AND(CE236=0,CF236=0,CG236=0,CH236=0),"3.INATIVOS",IF(CJ236/RIGHT($CJ$1,2)&lt;0.5,"2.INTERMITENTES","1.ORDINÁRIOS"))))))))</f>
        <v>3.INATIVOS</v>
      </c>
      <c r="CN236" s="20" t="n">
        <f aca="false">IF(AND(CE236=1,CJ236=1,BT236&lt;&gt;""),BT236,IF(AND(CE236&lt;&gt;0,CE236/RIGHT($CE$1,1)&gt;=0.5,CJ236=CE236),MAX(BV236:CC236),IF(AND(CF236&lt;&gt;0,CF236/RIGHT($CF$1,1)&gt;=0.5,CJ236=CF236),MAX(BV236:CC236),IF(AND(CG236&lt;&gt;0,CG236/RIGHT($CG$1,2)&gt;=0.5,CJ236=CG236),MAX(BV236:CC236),IF(AND(CH236&lt;&gt;0,CH236/RIGHT($CH$1,2)&gt;=0.5,CJ236=CH236),MAX(BV236:CC236),IF(AND(CI236&lt;&gt;0,CI236/RIGHT($CI$1,2)&gt;=0.5,CJ236=CI236),MAX(BV236:CC236),IF(AND(CE236=0,CF236=0,CG236=0,CH236=0),0,IF(CJ236/RIGHT($CJ$1,2)&lt;0.5,ROUND(BU236/RIGHT($CJ$1,2),0),MAX(BV236:CC236)))))))))</f>
        <v>0</v>
      </c>
      <c r="CO236" s="20" t="n">
        <f aca="false">CN236*3</f>
        <v>0</v>
      </c>
      <c r="CP236" s="15" t="n">
        <v>0</v>
      </c>
      <c r="CQ236" s="16" t="n">
        <f aca="false">IF((CO236-CP236)&lt;0,0,(CO236-CP236))</f>
        <v>0</v>
      </c>
      <c r="CR236" s="7"/>
    </row>
    <row r="237" customFormat="false" ht="12.75" hidden="false" customHeight="true" outlineLevel="0" collapsed="false">
      <c r="A237" s="7" t="s">
        <v>273</v>
      </c>
      <c r="B237" s="7" t="s">
        <v>333</v>
      </c>
      <c r="C237" s="8" t="n">
        <v>21001101</v>
      </c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 t="n">
        <v>1</v>
      </c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 t="n">
        <v>1</v>
      </c>
      <c r="AQ237" s="9" t="n">
        <v>1</v>
      </c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s="9"/>
      <c r="BU237" s="10" t="n">
        <v>3</v>
      </c>
      <c r="BV237" s="11" t="n">
        <f aca="false">IF(ISERROR(ROUND(MEDIAN(BQ237:BT237),0)),0,ROUND(MEDIAN(BQ237:BT237),0))</f>
        <v>0</v>
      </c>
      <c r="BW237" s="11" t="n">
        <f aca="false">IF(ISERROR(ROUND(MEDIAN(BM237:BT237),0)),0,ROUND(MEDIAN(BM237:BT237),0))</f>
        <v>0</v>
      </c>
      <c r="BX237" s="11" t="n">
        <f aca="false">IF(ISERROR(ROUND(MEDIAN(BI237:BT237),0)),0,ROUND(MEDIAN(BI237:BT237),0))</f>
        <v>0</v>
      </c>
      <c r="BY237" s="11" t="n">
        <f aca="false">IF(ISERROR(ROUND(MEDIAN(BE237:BT237),0)),0,ROUND(MEDIAN(BE237:BT237),0))</f>
        <v>0</v>
      </c>
      <c r="BZ237" s="11" t="n">
        <f aca="false">IF(ISERROR(ROUND(MEDIAN(AU237:BT237),0)),0,ROUND(MEDIAN(AU237:BT237),0))</f>
        <v>0</v>
      </c>
      <c r="CA237" s="12" t="n">
        <f aca="false">IF(ISERROR(ROUND(MEDIAN(U237:BT237),0)),0,ROUND(MEDIAN(U237:BT237),0))</f>
        <v>1</v>
      </c>
      <c r="CB237" s="12" t="n">
        <f aca="false">IF(ISERROR(ROUND(MEDIAN(BT237),0)),0,ROUND(MEDIAN(BT237),0))</f>
        <v>0</v>
      </c>
      <c r="CC237" s="12" t="n">
        <f aca="false">IF(ISERROR(ROUND(MEDIAN(D237:BT237),0)),0,ROUND(MEDIAN(D237:BT237),0))</f>
        <v>1</v>
      </c>
      <c r="CD237" s="12" t="n">
        <f aca="false">MAX(D237:BT237)</f>
        <v>1</v>
      </c>
      <c r="CE237" s="7" t="n">
        <f aca="false">COUNTA(BQ237:BT237)</f>
        <v>0</v>
      </c>
      <c r="CF237" s="7" t="n">
        <f aca="false">COUNTA(BM237:BT237)</f>
        <v>0</v>
      </c>
      <c r="CG237" s="7" t="n">
        <f aca="false">COUNTA(BI237:BT237)</f>
        <v>0</v>
      </c>
      <c r="CH237" s="7" t="n">
        <f aca="false">COUNTA(BE237:BT237)</f>
        <v>0</v>
      </c>
      <c r="CI237" s="7" t="n">
        <f aca="false">COUNTA(AU237:BT237)</f>
        <v>0</v>
      </c>
      <c r="CJ237" s="7" t="n">
        <f aca="false">COUNTA(U237:BT237)</f>
        <v>3</v>
      </c>
      <c r="CK237" s="7" t="n">
        <f aca="false">COUNTA(BT237)</f>
        <v>0</v>
      </c>
      <c r="CL237" s="7" t="n">
        <f aca="false">COUNTA(D237:BT237)</f>
        <v>3</v>
      </c>
      <c r="CM237" s="19" t="str">
        <f aca="false">IF(AND(CE237=1,CJ237=1,BT237&lt;&gt;""),"5.ENTRANTES",IF(AND(CE237&lt;&gt;0,CE237/RIGHT($CE$1,1)&gt;=0.5,CJ237=CE237),"4.RECENTES",IF(AND(CF237&lt;&gt;0,CF237/RIGHT($CF$1,1)&gt;=0.5,CJ237=CF237),"4.RECENTES",IF(AND(CG237&lt;&gt;0,CG237/RIGHT($CG$1,2)&gt;=0.5,CJ237=CG237),"4.RECENTES",IF(AND(CH237&lt;&gt;0,CH237/RIGHT($CH$1,2)&gt;=0.5,CJ237=CH237),"4.RECENTES",IF(AND(CI237&lt;&gt;0,CI237/RIGHT($CI$1,2)&gt;=0.5,CJ237=CI237),"4.RECENTES",IF(AND(CE237=0,CF237=0,CG237=0,CH237=0),"3.INATIVOS",IF(CJ237/RIGHT($CJ$1,2)&lt;0.5,"2.INTERMITENTES","1.ORDINÁRIOS"))))))))</f>
        <v>3.INATIVOS</v>
      </c>
      <c r="CN237" s="20" t="n">
        <f aca="false">IF(AND(CE237=1,CJ237=1,BT237&lt;&gt;""),BT237,IF(AND(CE237&lt;&gt;0,CE237/RIGHT($CE$1,1)&gt;=0.5,CJ237=CE237),MAX(BV237:CC237),IF(AND(CF237&lt;&gt;0,CF237/RIGHT($CF$1,1)&gt;=0.5,CJ237=CF237),MAX(BV237:CC237),IF(AND(CG237&lt;&gt;0,CG237/RIGHT($CG$1,2)&gt;=0.5,CJ237=CG237),MAX(BV237:CC237),IF(AND(CH237&lt;&gt;0,CH237/RIGHT($CH$1,2)&gt;=0.5,CJ237=CH237),MAX(BV237:CC237),IF(AND(CI237&lt;&gt;0,CI237/RIGHT($CI$1,2)&gt;=0.5,CJ237=CI237),MAX(BV237:CC237),IF(AND(CE237=0,CF237=0,CG237=0,CH237=0),0,IF(CJ237/RIGHT($CJ$1,2)&lt;0.5,ROUND(BU237/RIGHT($CJ$1,2),0),MAX(BV237:CC237)))))))))</f>
        <v>0</v>
      </c>
      <c r="CO237" s="20" t="n">
        <f aca="false">CN237*3</f>
        <v>0</v>
      </c>
      <c r="CP237" s="15" t="n">
        <v>0</v>
      </c>
      <c r="CQ237" s="16" t="n">
        <f aca="false">IF((CO237-CP237)&lt;0,0,(CO237-CP237))</f>
        <v>0</v>
      </c>
      <c r="CR237" s="7"/>
    </row>
    <row r="238" customFormat="false" ht="12.75" hidden="false" customHeight="true" outlineLevel="0" collapsed="false">
      <c r="A238" s="7" t="s">
        <v>273</v>
      </c>
      <c r="B238" s="7" t="s">
        <v>334</v>
      </c>
      <c r="C238" s="8" t="n">
        <v>50001004</v>
      </c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 t="n">
        <v>10</v>
      </c>
      <c r="BB238" s="9"/>
      <c r="BC238" s="9"/>
      <c r="BD238" s="9"/>
      <c r="BE238" s="9"/>
      <c r="BF238" s="9"/>
      <c r="BG238" s="9"/>
      <c r="BH238" s="9"/>
      <c r="BI238" s="9"/>
      <c r="BJ238" s="9"/>
      <c r="BK238" s="9"/>
      <c r="BL238" s="9"/>
      <c r="BM238" s="9"/>
      <c r="BN238" s="9"/>
      <c r="BO238" s="9"/>
      <c r="BP238" s="9"/>
      <c r="BQ238" s="9"/>
      <c r="BR238" s="9"/>
      <c r="BS238" s="9"/>
      <c r="BT238" s="9"/>
      <c r="BU238" s="10" t="n">
        <v>10</v>
      </c>
      <c r="BV238" s="11" t="n">
        <f aca="false">IF(ISERROR(ROUND(MEDIAN(BQ238:BT238),0)),0,ROUND(MEDIAN(BQ238:BT238),0))</f>
        <v>0</v>
      </c>
      <c r="BW238" s="11" t="n">
        <f aca="false">IF(ISERROR(ROUND(MEDIAN(BM238:BT238),0)),0,ROUND(MEDIAN(BM238:BT238),0))</f>
        <v>0</v>
      </c>
      <c r="BX238" s="11" t="n">
        <f aca="false">IF(ISERROR(ROUND(MEDIAN(BI238:BT238),0)),0,ROUND(MEDIAN(BI238:BT238),0))</f>
        <v>0</v>
      </c>
      <c r="BY238" s="11" t="n">
        <f aca="false">IF(ISERROR(ROUND(MEDIAN(BE238:BT238),0)),0,ROUND(MEDIAN(BE238:BT238),0))</f>
        <v>0</v>
      </c>
      <c r="BZ238" s="11" t="n">
        <f aca="false">IF(ISERROR(ROUND(MEDIAN(AU238:BT238),0)),0,ROUND(MEDIAN(AU238:BT238),0))</f>
        <v>10</v>
      </c>
      <c r="CA238" s="12" t="n">
        <f aca="false">IF(ISERROR(ROUND(MEDIAN(U238:BT238),0)),0,ROUND(MEDIAN(U238:BT238),0))</f>
        <v>10</v>
      </c>
      <c r="CB238" s="12" t="n">
        <f aca="false">IF(ISERROR(ROUND(MEDIAN(BT238),0)),0,ROUND(MEDIAN(BT238),0))</f>
        <v>0</v>
      </c>
      <c r="CC238" s="12" t="n">
        <f aca="false">IF(ISERROR(ROUND(MEDIAN(D238:BT238),0)),0,ROUND(MEDIAN(D238:BT238),0))</f>
        <v>10</v>
      </c>
      <c r="CD238" s="12" t="n">
        <f aca="false">MAX(D238:BT238)</f>
        <v>10</v>
      </c>
      <c r="CE238" s="7" t="n">
        <f aca="false">COUNTA(BQ238:BT238)</f>
        <v>0</v>
      </c>
      <c r="CF238" s="7" t="n">
        <f aca="false">COUNTA(BM238:BT238)</f>
        <v>0</v>
      </c>
      <c r="CG238" s="7" t="n">
        <f aca="false">COUNTA(BI238:BT238)</f>
        <v>0</v>
      </c>
      <c r="CH238" s="7" t="n">
        <f aca="false">COUNTA(BE238:BT238)</f>
        <v>0</v>
      </c>
      <c r="CI238" s="7" t="n">
        <f aca="false">COUNTA(AU238:BT238)</f>
        <v>1</v>
      </c>
      <c r="CJ238" s="7" t="n">
        <f aca="false">COUNTA(U238:BT238)</f>
        <v>1</v>
      </c>
      <c r="CK238" s="7" t="n">
        <f aca="false">COUNTA(BT238)</f>
        <v>0</v>
      </c>
      <c r="CL238" s="7" t="n">
        <f aca="false">COUNTA(D238:BT238)</f>
        <v>1</v>
      </c>
      <c r="CM238" s="19" t="str">
        <f aca="false">IF(AND(CE238=1,CJ238=1,BT238&lt;&gt;""),"5.ENTRANTES",IF(AND(CE238&lt;&gt;0,CE238/RIGHT($CE$1,1)&gt;=0.5,CJ238=CE238),"4.RECENTES",IF(AND(CF238&lt;&gt;0,CF238/RIGHT($CF$1,1)&gt;=0.5,CJ238=CF238),"4.RECENTES",IF(AND(CG238&lt;&gt;0,CG238/RIGHT($CG$1,2)&gt;=0.5,CJ238=CG238),"4.RECENTES",IF(AND(CH238&lt;&gt;0,CH238/RIGHT($CH$1,2)&gt;=0.5,CJ238=CH238),"4.RECENTES",IF(AND(CI238&lt;&gt;0,CI238/RIGHT($CI$1,2)&gt;=0.5,CJ238=CI238),"4.RECENTES",IF(AND(CE238=0,CF238=0,CG238=0,CH238=0),"3.INATIVOS",IF(CJ238/RIGHT($CJ$1,2)&lt;0.5,"2.INTERMITENTES","1.ORDINÁRIOS"))))))))</f>
        <v>3.INATIVOS</v>
      </c>
      <c r="CN238" s="20" t="n">
        <f aca="false">IF(AND(CE238=1,CJ238=1,BT238&lt;&gt;""),BT238,IF(AND(CE238&lt;&gt;0,CE238/RIGHT($CE$1,1)&gt;=0.5,CJ238=CE238),MAX(BV238:CC238),IF(AND(CF238&lt;&gt;0,CF238/RIGHT($CF$1,1)&gt;=0.5,CJ238=CF238),MAX(BV238:CC238),IF(AND(CG238&lt;&gt;0,CG238/RIGHT($CG$1,2)&gt;=0.5,CJ238=CG238),MAX(BV238:CC238),IF(AND(CH238&lt;&gt;0,CH238/RIGHT($CH$1,2)&gt;=0.5,CJ238=CH238),MAX(BV238:CC238),IF(AND(CI238&lt;&gt;0,CI238/RIGHT($CI$1,2)&gt;=0.5,CJ238=CI238),MAX(BV238:CC238),IF(AND(CE238=0,CF238=0,CG238=0,CH238=0),0,IF(CJ238/RIGHT($CJ$1,2)&lt;0.5,ROUND(BU238/RIGHT($CJ$1,2),0),MAX(BV238:CC238)))))))))</f>
        <v>0</v>
      </c>
      <c r="CO238" s="20" t="n">
        <f aca="false">CN238*3</f>
        <v>0</v>
      </c>
      <c r="CP238" s="15" t="n">
        <v>0</v>
      </c>
      <c r="CQ238" s="16" t="n">
        <f aca="false">IF((CO238-CP238)&lt;0,0,(CO238-CP238))</f>
        <v>0</v>
      </c>
      <c r="CR238" s="7"/>
    </row>
    <row r="239" customFormat="false" ht="12.75" hidden="false" customHeight="true" outlineLevel="0" collapsed="false">
      <c r="A239" s="7" t="s">
        <v>273</v>
      </c>
      <c r="B239" s="7" t="s">
        <v>335</v>
      </c>
      <c r="C239" s="8" t="n">
        <v>230001012</v>
      </c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 t="n">
        <v>30</v>
      </c>
      <c r="Z239" s="9"/>
      <c r="AA239" s="9"/>
      <c r="AB239" s="9"/>
      <c r="AC239" s="9"/>
      <c r="AD239" s="9" t="n">
        <v>30</v>
      </c>
      <c r="AE239" s="9"/>
      <c r="AF239" s="9"/>
      <c r="AG239" s="9"/>
      <c r="AH239" s="9"/>
      <c r="AI239" s="9"/>
      <c r="AJ239" s="9" t="n">
        <v>30</v>
      </c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 t="n">
        <v>60</v>
      </c>
      <c r="BA239" s="9"/>
      <c r="BB239" s="9"/>
      <c r="BC239" s="9"/>
      <c r="BD239" s="9"/>
      <c r="BE239" s="9"/>
      <c r="BF239" s="9"/>
      <c r="BG239" s="9" t="n">
        <v>30</v>
      </c>
      <c r="BH239" s="9"/>
      <c r="BI239" s="9" t="n">
        <v>20</v>
      </c>
      <c r="BJ239" s="9" t="n">
        <v>30</v>
      </c>
      <c r="BK239" s="9"/>
      <c r="BL239" s="9"/>
      <c r="BM239" s="9"/>
      <c r="BN239" s="9" t="n">
        <v>60</v>
      </c>
      <c r="BO239" s="9"/>
      <c r="BP239" s="9"/>
      <c r="BQ239" s="9"/>
      <c r="BR239" s="9"/>
      <c r="BS239" s="9"/>
      <c r="BT239" s="9"/>
      <c r="BU239" s="10" t="n">
        <v>290</v>
      </c>
      <c r="BV239" s="11" t="n">
        <f aca="false">IF(ISERROR(ROUND(MEDIAN(BQ239:BT239),0)),0,ROUND(MEDIAN(BQ239:BT239),0))</f>
        <v>0</v>
      </c>
      <c r="BW239" s="11" t="n">
        <f aca="false">IF(ISERROR(ROUND(MEDIAN(BM239:BT239),0)),0,ROUND(MEDIAN(BM239:BT239),0))</f>
        <v>60</v>
      </c>
      <c r="BX239" s="11" t="n">
        <f aca="false">IF(ISERROR(ROUND(MEDIAN(BI239:BT239),0)),0,ROUND(MEDIAN(BI239:BT239),0))</f>
        <v>30</v>
      </c>
      <c r="BY239" s="11" t="n">
        <f aca="false">IF(ISERROR(ROUND(MEDIAN(BE239:BT239),0)),0,ROUND(MEDIAN(BE239:BT239),0))</f>
        <v>30</v>
      </c>
      <c r="BZ239" s="11" t="n">
        <f aca="false">IF(ISERROR(ROUND(MEDIAN(AU239:BT239),0)),0,ROUND(MEDIAN(AU239:BT239),0))</f>
        <v>30</v>
      </c>
      <c r="CA239" s="12" t="n">
        <f aca="false">IF(ISERROR(ROUND(MEDIAN(U239:BT239),0)),0,ROUND(MEDIAN(U239:BT239),0))</f>
        <v>30</v>
      </c>
      <c r="CB239" s="12" t="n">
        <f aca="false">IF(ISERROR(ROUND(MEDIAN(BT239),0)),0,ROUND(MEDIAN(BT239),0))</f>
        <v>0</v>
      </c>
      <c r="CC239" s="12" t="n">
        <f aca="false">IF(ISERROR(ROUND(MEDIAN(D239:BT239),0)),0,ROUND(MEDIAN(D239:BT239),0))</f>
        <v>30</v>
      </c>
      <c r="CD239" s="12" t="n">
        <f aca="false">MAX(D239:BT239)</f>
        <v>60</v>
      </c>
      <c r="CE239" s="7" t="n">
        <f aca="false">COUNTA(BQ239:BT239)</f>
        <v>0</v>
      </c>
      <c r="CF239" s="7" t="n">
        <f aca="false">COUNTA(BM239:BT239)</f>
        <v>1</v>
      </c>
      <c r="CG239" s="7" t="n">
        <f aca="false">COUNTA(BI239:BT239)</f>
        <v>3</v>
      </c>
      <c r="CH239" s="7" t="n">
        <f aca="false">COUNTA(BE239:BT239)</f>
        <v>4</v>
      </c>
      <c r="CI239" s="7" t="n">
        <f aca="false">COUNTA(AU239:BT239)</f>
        <v>5</v>
      </c>
      <c r="CJ239" s="7" t="n">
        <f aca="false">COUNTA(U239:BT239)</f>
        <v>8</v>
      </c>
      <c r="CK239" s="7" t="n">
        <f aca="false">COUNTA(BT239)</f>
        <v>0</v>
      </c>
      <c r="CL239" s="7" t="n">
        <f aca="false">COUNTA(D239:BT239)</f>
        <v>8</v>
      </c>
      <c r="CM239" s="17" t="str">
        <f aca="false">IF(AND(CE239=1,CJ239=1,BT239&lt;&gt;""),"5.ENTRANTES",IF(AND(CE239&lt;&gt;0,CE239/RIGHT($CE$1,1)&gt;=0.5,CJ239=CE239),"4.RECENTES",IF(AND(CF239&lt;&gt;0,CF239/RIGHT($CF$1,1)&gt;=0.5,CJ239=CF239),"4.RECENTES",IF(AND(CG239&lt;&gt;0,CG239/RIGHT($CG$1,2)&gt;=0.5,CJ239=CG239),"4.RECENTES",IF(AND(CH239&lt;&gt;0,CH239/RIGHT($CH$1,2)&gt;=0.5,CJ239=CH239),"4.RECENTES",IF(AND(CI239&lt;&gt;0,CI239/RIGHT($CI$1,2)&gt;=0.5,CJ239=CI239),"4.RECENTES",IF(AND(CE239=0,CF239=0,CG239=0,CH239=0),"3.INATIVOS",IF(CJ239/RIGHT($CJ$1,2)&lt;0.5,"2.INTERMITENTES","1.ORDINÁRIOS"))))))))</f>
        <v>2.INTERMITENTES</v>
      </c>
      <c r="CN239" s="18" t="n">
        <f aca="false">IF(AND(CE239=1,CJ239=1,BT239&lt;&gt;""),BT239,IF(AND(CE239&lt;&gt;0,CE239/RIGHT($CE$1,1)&gt;=0.5,CJ239=CE239),MAX(BV239:CC239),IF(AND(CF239&lt;&gt;0,CF239/RIGHT($CF$1,1)&gt;=0.5,CJ239=CF239),MAX(BV239:CC239),IF(AND(CG239&lt;&gt;0,CG239/RIGHT($CG$1,2)&gt;=0.5,CJ239=CG239),MAX(BV239:CC239),IF(AND(CH239&lt;&gt;0,CH239/RIGHT($CH$1,2)&gt;=0.5,CJ239=CH239),MAX(BV239:CC239),IF(AND(CI239&lt;&gt;0,CI239/RIGHT($CI$1,2)&gt;=0.5,CJ239=CI239),MAX(BV239:CC239),IF(AND(CE239=0,CF239=0,CG239=0,CH239=0),0,IF(CJ239/RIGHT($CJ$1,2)&lt;0.5,ROUND(BU239/RIGHT($CJ$1,2),0),MAX(BV239:CC239)))))))))</f>
        <v>6</v>
      </c>
      <c r="CO239" s="18" t="n">
        <f aca="false">CD239</f>
        <v>60</v>
      </c>
      <c r="CP239" s="15" t="n">
        <v>70</v>
      </c>
      <c r="CQ239" s="16" t="n">
        <f aca="false">IF((CO239-CP239)&lt;0,0,(CO239-CP239))</f>
        <v>0</v>
      </c>
      <c r="CR239" s="7"/>
    </row>
    <row r="240" customFormat="false" ht="12.75" hidden="false" customHeight="true" outlineLevel="0" collapsed="false">
      <c r="A240" s="7" t="s">
        <v>273</v>
      </c>
      <c r="B240" s="7" t="s">
        <v>336</v>
      </c>
      <c r="C240" s="8" t="n">
        <v>11001006</v>
      </c>
      <c r="D240" s="9"/>
      <c r="E240" s="9" t="n">
        <v>60</v>
      </c>
      <c r="F240" s="9" t="n">
        <v>60</v>
      </c>
      <c r="G240" s="9" t="n">
        <v>30</v>
      </c>
      <c r="H240" s="9"/>
      <c r="I240" s="9"/>
      <c r="J240" s="9"/>
      <c r="K240" s="9" t="n">
        <v>30</v>
      </c>
      <c r="L240" s="9"/>
      <c r="M240" s="9" t="n">
        <v>30</v>
      </c>
      <c r="N240" s="9"/>
      <c r="O240" s="9"/>
      <c r="P240" s="9"/>
      <c r="Q240" s="9" t="n">
        <v>30</v>
      </c>
      <c r="R240" s="9"/>
      <c r="S240" s="9"/>
      <c r="T240" s="9"/>
      <c r="U240" s="9"/>
      <c r="V240" s="9"/>
      <c r="W240" s="9" t="n">
        <v>30</v>
      </c>
      <c r="X240" s="9"/>
      <c r="Y240" s="9"/>
      <c r="Z240" s="9"/>
      <c r="AA240" s="9"/>
      <c r="AB240" s="9"/>
      <c r="AC240" s="9"/>
      <c r="AD240" s="9"/>
      <c r="AE240" s="9"/>
      <c r="AF240" s="9"/>
      <c r="AG240" s="9" t="n">
        <v>120</v>
      </c>
      <c r="AH240" s="9"/>
      <c r="AI240" s="9"/>
      <c r="AJ240" s="9"/>
      <c r="AK240" s="9" t="n">
        <v>60</v>
      </c>
      <c r="AL240" s="9"/>
      <c r="AM240" s="9" t="n">
        <v>60</v>
      </c>
      <c r="AN240" s="9" t="n">
        <v>60</v>
      </c>
      <c r="AO240" s="9"/>
      <c r="AP240" s="9" t="n">
        <v>120</v>
      </c>
      <c r="AQ240" s="9" t="n">
        <v>30</v>
      </c>
      <c r="AR240" s="9"/>
      <c r="AS240" s="9"/>
      <c r="AT240" s="9" t="n">
        <v>60</v>
      </c>
      <c r="AU240" s="9" t="n">
        <v>30</v>
      </c>
      <c r="AV240" s="9" t="n">
        <v>30</v>
      </c>
      <c r="AW240" s="9" t="n">
        <v>45</v>
      </c>
      <c r="AX240" s="9" t="n">
        <v>30</v>
      </c>
      <c r="AY240" s="9" t="n">
        <v>30</v>
      </c>
      <c r="AZ240" s="9" t="n">
        <v>60</v>
      </c>
      <c r="BA240" s="9" t="n">
        <v>60</v>
      </c>
      <c r="BB240" s="9"/>
      <c r="BC240" s="9"/>
      <c r="BD240" s="9" t="n">
        <v>60</v>
      </c>
      <c r="BE240" s="9" t="n">
        <v>60</v>
      </c>
      <c r="BF240" s="9" t="n">
        <v>30</v>
      </c>
      <c r="BG240" s="9" t="n">
        <v>90</v>
      </c>
      <c r="BH240" s="9" t="n">
        <v>60</v>
      </c>
      <c r="BI240" s="9"/>
      <c r="BJ240" s="9" t="n">
        <v>90</v>
      </c>
      <c r="BK240" s="9"/>
      <c r="BL240" s="9" t="n">
        <v>90</v>
      </c>
      <c r="BM240" s="9"/>
      <c r="BN240" s="9" t="n">
        <v>30</v>
      </c>
      <c r="BO240" s="9" t="n">
        <v>180</v>
      </c>
      <c r="BP240" s="9" t="n">
        <v>30</v>
      </c>
      <c r="BQ240" s="9"/>
      <c r="BR240" s="9"/>
      <c r="BS240" s="9" t="n">
        <v>30</v>
      </c>
      <c r="BT240" s="9"/>
      <c r="BU240" s="10" t="n">
        <v>1815</v>
      </c>
      <c r="BV240" s="11" t="n">
        <f aca="false">IF(ISERROR(ROUND(MEDIAN(BQ240:BT240),0)),0,ROUND(MEDIAN(BQ240:BT240),0))</f>
        <v>30</v>
      </c>
      <c r="BW240" s="11" t="n">
        <f aca="false">IF(ISERROR(ROUND(MEDIAN(BM240:BT240),0)),0,ROUND(MEDIAN(BM240:BT240),0))</f>
        <v>30</v>
      </c>
      <c r="BX240" s="11" t="n">
        <f aca="false">IF(ISERROR(ROUND(MEDIAN(BI240:BT240),0)),0,ROUND(MEDIAN(BI240:BT240),0))</f>
        <v>60</v>
      </c>
      <c r="BY240" s="11" t="n">
        <f aca="false">IF(ISERROR(ROUND(MEDIAN(BE240:BT240),0)),0,ROUND(MEDIAN(BE240:BT240),0))</f>
        <v>60</v>
      </c>
      <c r="BZ240" s="11" t="n">
        <f aca="false">IF(ISERROR(ROUND(MEDIAN(AU240:BT240),0)),0,ROUND(MEDIAN(AU240:BT240),0))</f>
        <v>53</v>
      </c>
      <c r="CA240" s="12" t="n">
        <f aca="false">IF(ISERROR(ROUND(MEDIAN(U240:BT240),0)),0,ROUND(MEDIAN(U240:BT240),0))</f>
        <v>60</v>
      </c>
      <c r="CB240" s="12" t="n">
        <f aca="false">IF(ISERROR(ROUND(MEDIAN(BT240),0)),0,ROUND(MEDIAN(BT240),0))</f>
        <v>0</v>
      </c>
      <c r="CC240" s="12" t="n">
        <f aca="false">IF(ISERROR(ROUND(MEDIAN(D240:BT240),0)),0,ROUND(MEDIAN(D240:BT240),0))</f>
        <v>60</v>
      </c>
      <c r="CD240" s="12" t="n">
        <f aca="false">MAX(D240:BT240)</f>
        <v>180</v>
      </c>
      <c r="CE240" s="7" t="n">
        <f aca="false">COUNTA(BQ240:BT240)</f>
        <v>1</v>
      </c>
      <c r="CF240" s="7" t="n">
        <f aca="false">COUNTA(BM240:BT240)</f>
        <v>4</v>
      </c>
      <c r="CG240" s="7" t="n">
        <f aca="false">COUNTA(BI240:BT240)</f>
        <v>6</v>
      </c>
      <c r="CH240" s="7" t="n">
        <f aca="false">COUNTA(BE240:BT240)</f>
        <v>10</v>
      </c>
      <c r="CI240" s="7" t="n">
        <f aca="false">COUNTA(AU240:BT240)</f>
        <v>18</v>
      </c>
      <c r="CJ240" s="7" t="n">
        <f aca="false">COUNTA(U240:BT240)</f>
        <v>26</v>
      </c>
      <c r="CK240" s="7" t="n">
        <f aca="false">COUNTA(BT240)</f>
        <v>0</v>
      </c>
      <c r="CL240" s="7" t="n">
        <f aca="false">COUNTA(D240:BT240)</f>
        <v>32</v>
      </c>
      <c r="CM240" s="13" t="str">
        <f aca="false">IF(AND(CE240=1,CJ240=1,BT240&lt;&gt;""),"5.ENTRANTES",IF(AND(CE240&lt;&gt;0,CE240/RIGHT($CE$1,1)&gt;=0.5,CJ240=CE240),"4.RECENTES",IF(AND(CF240&lt;&gt;0,CF240/RIGHT($CF$1,1)&gt;=0.5,CJ240=CF240),"4.RECENTES",IF(AND(CG240&lt;&gt;0,CG240/RIGHT($CG$1,2)&gt;=0.5,CJ240=CG240),"4.RECENTES",IF(AND(CH240&lt;&gt;0,CH240/RIGHT($CH$1,2)&gt;=0.5,CJ240=CH240),"4.RECENTES",IF(AND(CI240&lt;&gt;0,CI240/RIGHT($CI$1,2)&gt;=0.5,CJ240=CI240),"4.RECENTES",IF(AND(CE240=0,CF240=0,CG240=0,CH240=0),"3.INATIVOS",IF(CJ240/RIGHT($CJ$1,2)&lt;0.5,"2.INTERMITENTES","1.ORDINÁRIOS"))))))))</f>
        <v>1.ORDINÁRIOS</v>
      </c>
      <c r="CN240" s="14" t="n">
        <f aca="false">IF(AND(CE240=1,CJ240=1,BT240&lt;&gt;""),BT240,IF(AND(CE240&lt;&gt;0,CE240/RIGHT($CE$1,1)&gt;=0.5,CJ240=CE240),MAX(BV240:CC240),IF(AND(CF240&lt;&gt;0,CF240/RIGHT($CF$1,1)&gt;=0.5,CJ240=CF240),MAX(BV240:CC240),IF(AND(CG240&lt;&gt;0,CG240/RIGHT($CG$1,2)&gt;=0.5,CJ240=CG240),MAX(BV240:CC240),IF(AND(CH240&lt;&gt;0,CH240/RIGHT($CH$1,2)&gt;=0.5,CJ240=CH240),MAX(BV240:CC240),IF(AND(CI240&lt;&gt;0,CI240/RIGHT($CI$1,2)&gt;=0.5,CJ240=CI240),MAX(BV240:CC240),IF(AND(CE240=0,CF240=0,CG240=0,CH240=0),0,IF(CJ240/RIGHT($CJ$1,2)&lt;0.5,ROUND(BU240/RIGHT($CJ$1,2),0),MAX(BV240:CC240)))))))))</f>
        <v>60</v>
      </c>
      <c r="CO240" s="14" t="n">
        <f aca="false">CN240*3</f>
        <v>180</v>
      </c>
      <c r="CP240" s="15" t="n">
        <v>255</v>
      </c>
      <c r="CQ240" s="16" t="n">
        <f aca="false">IF((CO240-CP240)&lt;0,0,(CO240-CP240))</f>
        <v>0</v>
      </c>
      <c r="CR240" s="7" t="s">
        <v>337</v>
      </c>
    </row>
    <row r="241" customFormat="false" ht="12.75" hidden="false" customHeight="true" outlineLevel="0" collapsed="false">
      <c r="A241" s="7" t="s">
        <v>273</v>
      </c>
      <c r="B241" s="7" t="s">
        <v>338</v>
      </c>
      <c r="C241" s="8" t="n">
        <v>228001001</v>
      </c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  <c r="BB241" s="9"/>
      <c r="BC241" s="9"/>
      <c r="BD241" s="9"/>
      <c r="BE241" s="9"/>
      <c r="BF241" s="9"/>
      <c r="BG241" s="9"/>
      <c r="BH241" s="9"/>
      <c r="BI241" s="9"/>
      <c r="BJ241" s="9"/>
      <c r="BK241" s="9"/>
      <c r="BL241" s="9"/>
      <c r="BM241" s="9"/>
      <c r="BN241" s="9"/>
      <c r="BO241" s="9"/>
      <c r="BP241" s="9"/>
      <c r="BQ241" s="9"/>
      <c r="BR241" s="9"/>
      <c r="BS241" s="9" t="n">
        <v>60</v>
      </c>
      <c r="BT241" s="9"/>
      <c r="BU241" s="10" t="n">
        <v>60</v>
      </c>
      <c r="BV241" s="11" t="n">
        <f aca="false">IF(ISERROR(ROUND(MEDIAN(BQ241:BT241),0)),0,ROUND(MEDIAN(BQ241:BT241),0))</f>
        <v>60</v>
      </c>
      <c r="BW241" s="11" t="n">
        <f aca="false">IF(ISERROR(ROUND(MEDIAN(BM241:BT241),0)),0,ROUND(MEDIAN(BM241:BT241),0))</f>
        <v>60</v>
      </c>
      <c r="BX241" s="11" t="n">
        <f aca="false">IF(ISERROR(ROUND(MEDIAN(BI241:BT241),0)),0,ROUND(MEDIAN(BI241:BT241),0))</f>
        <v>60</v>
      </c>
      <c r="BY241" s="11" t="n">
        <f aca="false">IF(ISERROR(ROUND(MEDIAN(BE241:BT241),0)),0,ROUND(MEDIAN(BE241:BT241),0))</f>
        <v>60</v>
      </c>
      <c r="BZ241" s="11" t="n">
        <f aca="false">IF(ISERROR(ROUND(MEDIAN(AU241:BT241),0)),0,ROUND(MEDIAN(AU241:BT241),0))</f>
        <v>60</v>
      </c>
      <c r="CA241" s="12" t="n">
        <f aca="false">IF(ISERROR(ROUND(MEDIAN(U241:BT241),0)),0,ROUND(MEDIAN(U241:BT241),0))</f>
        <v>60</v>
      </c>
      <c r="CB241" s="12" t="n">
        <f aca="false">IF(ISERROR(ROUND(MEDIAN(BT241),0)),0,ROUND(MEDIAN(BT241),0))</f>
        <v>0</v>
      </c>
      <c r="CC241" s="12" t="n">
        <f aca="false">IF(ISERROR(ROUND(MEDIAN(D241:BT241),0)),0,ROUND(MEDIAN(D241:BT241),0))</f>
        <v>60</v>
      </c>
      <c r="CD241" s="12" t="n">
        <f aca="false">MAX(D241:BT241)</f>
        <v>60</v>
      </c>
      <c r="CE241" s="7" t="n">
        <f aca="false">COUNTA(BQ241:BT241)</f>
        <v>1</v>
      </c>
      <c r="CF241" s="7" t="n">
        <f aca="false">COUNTA(BM241:BT241)</f>
        <v>1</v>
      </c>
      <c r="CG241" s="7" t="n">
        <f aca="false">COUNTA(BI241:BT241)</f>
        <v>1</v>
      </c>
      <c r="CH241" s="7" t="n">
        <f aca="false">COUNTA(BE241:BT241)</f>
        <v>1</v>
      </c>
      <c r="CI241" s="7" t="n">
        <f aca="false">COUNTA(AU241:BT241)</f>
        <v>1</v>
      </c>
      <c r="CJ241" s="7" t="n">
        <f aca="false">COUNTA(U241:BT241)</f>
        <v>1</v>
      </c>
      <c r="CK241" s="7" t="n">
        <f aca="false">COUNTA(BT241)</f>
        <v>0</v>
      </c>
      <c r="CL241" s="7" t="n">
        <f aca="false">COUNTA(D241:BT241)</f>
        <v>1</v>
      </c>
      <c r="CM241" s="17" t="str">
        <f aca="false">IF(AND(CE241=1,CJ241=1,BT241&lt;&gt;""),"5.ENTRANTES",IF(AND(CE241&lt;&gt;0,CE241/RIGHT($CE$1,1)&gt;=0.5,CJ241=CE241),"4.RECENTES",IF(AND(CF241&lt;&gt;0,CF241/RIGHT($CF$1,1)&gt;=0.5,CJ241=CF241),"4.RECENTES",IF(AND(CG241&lt;&gt;0,CG241/RIGHT($CG$1,2)&gt;=0.5,CJ241=CG241),"4.RECENTES",IF(AND(CH241&lt;&gt;0,CH241/RIGHT($CH$1,2)&gt;=0.5,CJ241=CH241),"4.RECENTES",IF(AND(CI241&lt;&gt;0,CI241/RIGHT($CI$1,2)&gt;=0.5,CJ241=CI241),"4.RECENTES",IF(AND(CE241=0,CF241=0,CG241=0,CH241=0),"3.INATIVOS",IF(CJ241/RIGHT($CJ$1,2)&lt;0.5,"2.INTERMITENTES","1.ORDINÁRIOS"))))))))</f>
        <v>2.INTERMITENTES</v>
      </c>
      <c r="CN241" s="18" t="n">
        <f aca="false">IF(AND(CE241=1,CJ241=1,BT241&lt;&gt;""),BT241,IF(AND(CE241&lt;&gt;0,CE241/RIGHT($CE$1,1)&gt;=0.5,CJ241=CE241),MAX(BV241:CC241),IF(AND(CF241&lt;&gt;0,CF241/RIGHT($CF$1,1)&gt;=0.5,CJ241=CF241),MAX(BV241:CC241),IF(AND(CG241&lt;&gt;0,CG241/RIGHT($CG$1,2)&gt;=0.5,CJ241=CG241),MAX(BV241:CC241),IF(AND(CH241&lt;&gt;0,CH241/RIGHT($CH$1,2)&gt;=0.5,CJ241=CH241),MAX(BV241:CC241),IF(AND(CI241&lt;&gt;0,CI241/RIGHT($CI$1,2)&gt;=0.5,CJ241=CI241),MAX(BV241:CC241),IF(AND(CE241=0,CF241=0,CG241=0,CH241=0),0,IF(CJ241/RIGHT($CJ$1,2)&lt;0.5,ROUND(BU241/RIGHT($CJ$1,2),0),MAX(BV241:CC241)))))))))</f>
        <v>1</v>
      </c>
      <c r="CO241" s="18" t="n">
        <f aca="false">CD241</f>
        <v>60</v>
      </c>
      <c r="CP241" s="15" t="n">
        <v>0</v>
      </c>
      <c r="CQ241" s="16" t="n">
        <f aca="false">IF((CO241-CP241)&lt;0,0,(CO241-CP241))</f>
        <v>60</v>
      </c>
      <c r="CR241" s="7"/>
    </row>
    <row r="242" customFormat="false" ht="12.75" hidden="false" customHeight="true" outlineLevel="0" collapsed="false">
      <c r="A242" s="7" t="s">
        <v>273</v>
      </c>
      <c r="B242" s="7" t="s">
        <v>339</v>
      </c>
      <c r="C242" s="8" t="n">
        <v>228001010</v>
      </c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 t="n">
        <v>30</v>
      </c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  <c r="BD242" s="9"/>
      <c r="BE242" s="9"/>
      <c r="BF242" s="9"/>
      <c r="BG242" s="9"/>
      <c r="BH242" s="9"/>
      <c r="BI242" s="9"/>
      <c r="BJ242" s="9"/>
      <c r="BK242" s="9"/>
      <c r="BL242" s="9"/>
      <c r="BM242" s="9"/>
      <c r="BN242" s="9"/>
      <c r="BO242" s="9" t="n">
        <v>30</v>
      </c>
      <c r="BP242" s="9"/>
      <c r="BQ242" s="9"/>
      <c r="BR242" s="9"/>
      <c r="BS242" s="9"/>
      <c r="BT242" s="9"/>
      <c r="BU242" s="10" t="n">
        <v>60</v>
      </c>
      <c r="BV242" s="11" t="n">
        <f aca="false">IF(ISERROR(ROUND(MEDIAN(BQ242:BT242),0)),0,ROUND(MEDIAN(BQ242:BT242),0))</f>
        <v>0</v>
      </c>
      <c r="BW242" s="11" t="n">
        <f aca="false">IF(ISERROR(ROUND(MEDIAN(BM242:BT242),0)),0,ROUND(MEDIAN(BM242:BT242),0))</f>
        <v>30</v>
      </c>
      <c r="BX242" s="11" t="n">
        <f aca="false">IF(ISERROR(ROUND(MEDIAN(BI242:BT242),0)),0,ROUND(MEDIAN(BI242:BT242),0))</f>
        <v>30</v>
      </c>
      <c r="BY242" s="11" t="n">
        <f aca="false">IF(ISERROR(ROUND(MEDIAN(BE242:BT242),0)),0,ROUND(MEDIAN(BE242:BT242),0))</f>
        <v>30</v>
      </c>
      <c r="BZ242" s="11" t="n">
        <f aca="false">IF(ISERROR(ROUND(MEDIAN(AU242:BT242),0)),0,ROUND(MEDIAN(AU242:BT242),0))</f>
        <v>30</v>
      </c>
      <c r="CA242" s="12" t="n">
        <f aca="false">IF(ISERROR(ROUND(MEDIAN(U242:BT242),0)),0,ROUND(MEDIAN(U242:BT242),0))</f>
        <v>30</v>
      </c>
      <c r="CB242" s="12" t="n">
        <f aca="false">IF(ISERROR(ROUND(MEDIAN(BT242),0)),0,ROUND(MEDIAN(BT242),0))</f>
        <v>0</v>
      </c>
      <c r="CC242" s="12" t="n">
        <f aca="false">IF(ISERROR(ROUND(MEDIAN(D242:BT242),0)),0,ROUND(MEDIAN(D242:BT242),0))</f>
        <v>30</v>
      </c>
      <c r="CD242" s="12" t="n">
        <f aca="false">MAX(D242:BT242)</f>
        <v>30</v>
      </c>
      <c r="CE242" s="7" t="n">
        <f aca="false">COUNTA(BQ242:BT242)</f>
        <v>0</v>
      </c>
      <c r="CF242" s="7" t="n">
        <f aca="false">COUNTA(BM242:BT242)</f>
        <v>1</v>
      </c>
      <c r="CG242" s="7" t="n">
        <f aca="false">COUNTA(BI242:BT242)</f>
        <v>1</v>
      </c>
      <c r="CH242" s="7" t="n">
        <f aca="false">COUNTA(BE242:BT242)</f>
        <v>1</v>
      </c>
      <c r="CI242" s="7" t="n">
        <f aca="false">COUNTA(AU242:BT242)</f>
        <v>1</v>
      </c>
      <c r="CJ242" s="7" t="n">
        <f aca="false">COUNTA(U242:BT242)</f>
        <v>1</v>
      </c>
      <c r="CK242" s="7" t="n">
        <f aca="false">COUNTA(BT242)</f>
        <v>0</v>
      </c>
      <c r="CL242" s="7" t="n">
        <f aca="false">COUNTA(D242:BT242)</f>
        <v>2</v>
      </c>
      <c r="CM242" s="17" t="str">
        <f aca="false">IF(AND(CE242=1,CJ242=1,BT242&lt;&gt;""),"5.ENTRANTES",IF(AND(CE242&lt;&gt;0,CE242/RIGHT($CE$1,1)&gt;=0.5,CJ242=CE242),"4.RECENTES",IF(AND(CF242&lt;&gt;0,CF242/RIGHT($CF$1,1)&gt;=0.5,CJ242=CF242),"4.RECENTES",IF(AND(CG242&lt;&gt;0,CG242/RIGHT($CG$1,2)&gt;=0.5,CJ242=CG242),"4.RECENTES",IF(AND(CH242&lt;&gt;0,CH242/RIGHT($CH$1,2)&gt;=0.5,CJ242=CH242),"4.RECENTES",IF(AND(CI242&lt;&gt;0,CI242/RIGHT($CI$1,2)&gt;=0.5,CJ242=CI242),"4.RECENTES",IF(AND(CE242=0,CF242=0,CG242=0,CH242=0),"3.INATIVOS",IF(CJ242/RIGHT($CJ$1,2)&lt;0.5,"2.INTERMITENTES","1.ORDINÁRIOS"))))))))</f>
        <v>2.INTERMITENTES</v>
      </c>
      <c r="CN242" s="18" t="n">
        <f aca="false">IF(AND(CE242=1,CJ242=1,BT242&lt;&gt;""),BT242,IF(AND(CE242&lt;&gt;0,CE242/RIGHT($CE$1,1)&gt;=0.5,CJ242=CE242),MAX(BV242:CC242),IF(AND(CF242&lt;&gt;0,CF242/RIGHT($CF$1,1)&gt;=0.5,CJ242=CF242),MAX(BV242:CC242),IF(AND(CG242&lt;&gt;0,CG242/RIGHT($CG$1,2)&gt;=0.5,CJ242=CG242),MAX(BV242:CC242),IF(AND(CH242&lt;&gt;0,CH242/RIGHT($CH$1,2)&gt;=0.5,CJ242=CH242),MAX(BV242:CC242),IF(AND(CI242&lt;&gt;0,CI242/RIGHT($CI$1,2)&gt;=0.5,CJ242=CI242),MAX(BV242:CC242),IF(AND(CE242=0,CF242=0,CG242=0,CH242=0),0,IF(CJ242/RIGHT($CJ$1,2)&lt;0.5,ROUND(BU242/RIGHT($CJ$1,2),0),MAX(BV242:CC242)))))))))</f>
        <v>1</v>
      </c>
      <c r="CO242" s="18" t="n">
        <f aca="false">CD242</f>
        <v>30</v>
      </c>
      <c r="CP242" s="15" t="n">
        <v>0</v>
      </c>
      <c r="CQ242" s="16" t="n">
        <f aca="false">IF((CO242-CP242)&lt;0,0,(CO242-CP242))</f>
        <v>30</v>
      </c>
      <c r="CR242" s="7"/>
    </row>
    <row r="243" customFormat="false" ht="12.75" hidden="false" customHeight="true" outlineLevel="0" collapsed="false">
      <c r="A243" s="7" t="s">
        <v>273</v>
      </c>
      <c r="B243" s="7" t="s">
        <v>340</v>
      </c>
      <c r="C243" s="8" t="n">
        <v>228001006</v>
      </c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 t="n">
        <v>30</v>
      </c>
      <c r="S243" s="9"/>
      <c r="T243" s="9"/>
      <c r="U243" s="9"/>
      <c r="V243" s="9"/>
      <c r="W243" s="9"/>
      <c r="X243" s="9"/>
      <c r="Y243" s="9"/>
      <c r="Z243" s="9" t="n">
        <v>30</v>
      </c>
      <c r="AA243" s="9" t="n">
        <v>30</v>
      </c>
      <c r="AB243" s="9"/>
      <c r="AC243" s="9"/>
      <c r="AD243" s="9" t="n">
        <v>30</v>
      </c>
      <c r="AE243" s="9"/>
      <c r="AF243" s="9"/>
      <c r="AG243" s="9"/>
      <c r="AH243" s="9"/>
      <c r="AI243" s="9" t="n">
        <v>30</v>
      </c>
      <c r="AJ243" s="9"/>
      <c r="AK243" s="9"/>
      <c r="AL243" s="9"/>
      <c r="AM243" s="9" t="n">
        <v>30</v>
      </c>
      <c r="AN243" s="9"/>
      <c r="AO243" s="9"/>
      <c r="AP243" s="9"/>
      <c r="AQ243" s="9" t="n">
        <v>30</v>
      </c>
      <c r="AR243" s="9"/>
      <c r="AS243" s="9"/>
      <c r="AT243" s="9"/>
      <c r="AU243" s="9"/>
      <c r="AV243" s="9" t="n">
        <v>30</v>
      </c>
      <c r="AW243" s="9"/>
      <c r="AX243" s="9"/>
      <c r="AY243" s="9"/>
      <c r="AZ243" s="9"/>
      <c r="BA243" s="9"/>
      <c r="BB243" s="9"/>
      <c r="BC243" s="9"/>
      <c r="BD243" s="9"/>
      <c r="BE243" s="9" t="n">
        <v>30</v>
      </c>
      <c r="BF243" s="9"/>
      <c r="BG243" s="9"/>
      <c r="BH243" s="9"/>
      <c r="BI243" s="9" t="n">
        <v>30</v>
      </c>
      <c r="BJ243" s="9"/>
      <c r="BK243" s="9"/>
      <c r="BL243" s="9"/>
      <c r="BM243" s="9"/>
      <c r="BN243" s="9"/>
      <c r="BO243" s="9" t="n">
        <v>30</v>
      </c>
      <c r="BP243" s="9"/>
      <c r="BQ243" s="9"/>
      <c r="BR243" s="9"/>
      <c r="BS243" s="9"/>
      <c r="BT243" s="9"/>
      <c r="BU243" s="10" t="n">
        <v>330</v>
      </c>
      <c r="BV243" s="11" t="n">
        <f aca="false">IF(ISERROR(ROUND(MEDIAN(BQ243:BT243),0)),0,ROUND(MEDIAN(BQ243:BT243),0))</f>
        <v>0</v>
      </c>
      <c r="BW243" s="11" t="n">
        <f aca="false">IF(ISERROR(ROUND(MEDIAN(BM243:BT243),0)),0,ROUND(MEDIAN(BM243:BT243),0))</f>
        <v>30</v>
      </c>
      <c r="BX243" s="11" t="n">
        <f aca="false">IF(ISERROR(ROUND(MEDIAN(BI243:BT243),0)),0,ROUND(MEDIAN(BI243:BT243),0))</f>
        <v>30</v>
      </c>
      <c r="BY243" s="11" t="n">
        <f aca="false">IF(ISERROR(ROUND(MEDIAN(BE243:BT243),0)),0,ROUND(MEDIAN(BE243:BT243),0))</f>
        <v>30</v>
      </c>
      <c r="BZ243" s="11" t="n">
        <f aca="false">IF(ISERROR(ROUND(MEDIAN(AU243:BT243),0)),0,ROUND(MEDIAN(AU243:BT243),0))</f>
        <v>30</v>
      </c>
      <c r="CA243" s="12" t="n">
        <f aca="false">IF(ISERROR(ROUND(MEDIAN(U243:BT243),0)),0,ROUND(MEDIAN(U243:BT243),0))</f>
        <v>30</v>
      </c>
      <c r="CB243" s="12" t="n">
        <f aca="false">IF(ISERROR(ROUND(MEDIAN(BT243),0)),0,ROUND(MEDIAN(BT243),0))</f>
        <v>0</v>
      </c>
      <c r="CC243" s="12" t="n">
        <f aca="false">IF(ISERROR(ROUND(MEDIAN(D243:BT243),0)),0,ROUND(MEDIAN(D243:BT243),0))</f>
        <v>30</v>
      </c>
      <c r="CD243" s="12" t="n">
        <f aca="false">MAX(D243:BT243)</f>
        <v>30</v>
      </c>
      <c r="CE243" s="7" t="n">
        <f aca="false">COUNTA(BQ243:BT243)</f>
        <v>0</v>
      </c>
      <c r="CF243" s="7" t="n">
        <f aca="false">COUNTA(BM243:BT243)</f>
        <v>1</v>
      </c>
      <c r="CG243" s="7" t="n">
        <f aca="false">COUNTA(BI243:BT243)</f>
        <v>2</v>
      </c>
      <c r="CH243" s="7" t="n">
        <f aca="false">COUNTA(BE243:BT243)</f>
        <v>3</v>
      </c>
      <c r="CI243" s="7" t="n">
        <f aca="false">COUNTA(AU243:BT243)</f>
        <v>4</v>
      </c>
      <c r="CJ243" s="7" t="n">
        <f aca="false">COUNTA(U243:BT243)</f>
        <v>10</v>
      </c>
      <c r="CK243" s="7" t="n">
        <f aca="false">COUNTA(BT243)</f>
        <v>0</v>
      </c>
      <c r="CL243" s="7" t="n">
        <f aca="false">COUNTA(D243:BT243)</f>
        <v>11</v>
      </c>
      <c r="CM243" s="17" t="str">
        <f aca="false">IF(AND(CE243=1,CJ243=1,BT243&lt;&gt;""),"5.ENTRANTES",IF(AND(CE243&lt;&gt;0,CE243/RIGHT($CE$1,1)&gt;=0.5,CJ243=CE243),"4.RECENTES",IF(AND(CF243&lt;&gt;0,CF243/RIGHT($CF$1,1)&gt;=0.5,CJ243=CF243),"4.RECENTES",IF(AND(CG243&lt;&gt;0,CG243/RIGHT($CG$1,2)&gt;=0.5,CJ243=CG243),"4.RECENTES",IF(AND(CH243&lt;&gt;0,CH243/RIGHT($CH$1,2)&gt;=0.5,CJ243=CH243),"4.RECENTES",IF(AND(CI243&lt;&gt;0,CI243/RIGHT($CI$1,2)&gt;=0.5,CJ243=CI243),"4.RECENTES",IF(AND(CE243=0,CF243=0,CG243=0,CH243=0),"3.INATIVOS",IF(CJ243/RIGHT($CJ$1,2)&lt;0.5,"2.INTERMITENTES","1.ORDINÁRIOS"))))))))</f>
        <v>2.INTERMITENTES</v>
      </c>
      <c r="CN243" s="18" t="n">
        <f aca="false">IF(AND(CE243=1,CJ243=1,BT243&lt;&gt;""),BT243,IF(AND(CE243&lt;&gt;0,CE243/RIGHT($CE$1,1)&gt;=0.5,CJ243=CE243),MAX(BV243:CC243),IF(AND(CF243&lt;&gt;0,CF243/RIGHT($CF$1,1)&gt;=0.5,CJ243=CF243),MAX(BV243:CC243),IF(AND(CG243&lt;&gt;0,CG243/RIGHT($CG$1,2)&gt;=0.5,CJ243=CG243),MAX(BV243:CC243),IF(AND(CH243&lt;&gt;0,CH243/RIGHT($CH$1,2)&gt;=0.5,CJ243=CH243),MAX(BV243:CC243),IF(AND(CI243&lt;&gt;0,CI243/RIGHT($CI$1,2)&gt;=0.5,CJ243=CI243),MAX(BV243:CC243),IF(AND(CE243=0,CF243=0,CG243=0,CH243=0),0,IF(CJ243/RIGHT($CJ$1,2)&lt;0.5,ROUND(BU243/RIGHT($CJ$1,2),0),MAX(BV243:CC243)))))))))</f>
        <v>6</v>
      </c>
      <c r="CO243" s="18" t="n">
        <f aca="false">CD243</f>
        <v>30</v>
      </c>
      <c r="CP243" s="15" t="n">
        <v>0</v>
      </c>
      <c r="CQ243" s="16" t="n">
        <f aca="false">IF((CO243-CP243)&lt;0,0,(CO243-CP243))</f>
        <v>30</v>
      </c>
      <c r="CR243" s="7"/>
    </row>
    <row r="244" customFormat="false" ht="12.75" hidden="false" customHeight="true" outlineLevel="0" collapsed="false">
      <c r="A244" s="7" t="s">
        <v>273</v>
      </c>
      <c r="B244" s="7" t="s">
        <v>341</v>
      </c>
      <c r="C244" s="8" t="n">
        <v>21001023</v>
      </c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 t="n">
        <v>30</v>
      </c>
      <c r="AT244" s="9"/>
      <c r="AU244" s="9"/>
      <c r="AV244" s="9"/>
      <c r="AW244" s="9"/>
      <c r="AX244" s="9"/>
      <c r="AY244" s="9"/>
      <c r="AZ244" s="9"/>
      <c r="BA244" s="9"/>
      <c r="BB244" s="9"/>
      <c r="BC244" s="9"/>
      <c r="BD244" s="9"/>
      <c r="BE244" s="9"/>
      <c r="BF244" s="9"/>
      <c r="BG244" s="9" t="n">
        <v>30</v>
      </c>
      <c r="BH244" s="9"/>
      <c r="BI244" s="9"/>
      <c r="BJ244" s="9"/>
      <c r="BK244" s="9"/>
      <c r="BL244" s="9"/>
      <c r="BM244" s="9"/>
      <c r="BN244" s="9"/>
      <c r="BO244" s="9"/>
      <c r="BP244" s="9"/>
      <c r="BQ244" s="9"/>
      <c r="BR244" s="9"/>
      <c r="BS244" s="9"/>
      <c r="BT244" s="9"/>
      <c r="BU244" s="10" t="n">
        <v>60</v>
      </c>
      <c r="BV244" s="11" t="n">
        <f aca="false">IF(ISERROR(ROUND(MEDIAN(BQ244:BT244),0)),0,ROUND(MEDIAN(BQ244:BT244),0))</f>
        <v>0</v>
      </c>
      <c r="BW244" s="11" t="n">
        <f aca="false">IF(ISERROR(ROUND(MEDIAN(BM244:BT244),0)),0,ROUND(MEDIAN(BM244:BT244),0))</f>
        <v>0</v>
      </c>
      <c r="BX244" s="11" t="n">
        <f aca="false">IF(ISERROR(ROUND(MEDIAN(BI244:BT244),0)),0,ROUND(MEDIAN(BI244:BT244),0))</f>
        <v>0</v>
      </c>
      <c r="BY244" s="11" t="n">
        <f aca="false">IF(ISERROR(ROUND(MEDIAN(BE244:BT244),0)),0,ROUND(MEDIAN(BE244:BT244),0))</f>
        <v>30</v>
      </c>
      <c r="BZ244" s="11" t="n">
        <f aca="false">IF(ISERROR(ROUND(MEDIAN(AU244:BT244),0)),0,ROUND(MEDIAN(AU244:BT244),0))</f>
        <v>30</v>
      </c>
      <c r="CA244" s="12" t="n">
        <f aca="false">IF(ISERROR(ROUND(MEDIAN(U244:BT244),0)),0,ROUND(MEDIAN(U244:BT244),0))</f>
        <v>30</v>
      </c>
      <c r="CB244" s="12" t="n">
        <f aca="false">IF(ISERROR(ROUND(MEDIAN(BT244),0)),0,ROUND(MEDIAN(BT244),0))</f>
        <v>0</v>
      </c>
      <c r="CC244" s="12" t="n">
        <f aca="false">IF(ISERROR(ROUND(MEDIAN(D244:BT244),0)),0,ROUND(MEDIAN(D244:BT244),0))</f>
        <v>30</v>
      </c>
      <c r="CD244" s="12" t="n">
        <f aca="false">MAX(D244:BT244)</f>
        <v>30</v>
      </c>
      <c r="CE244" s="7" t="n">
        <f aca="false">COUNTA(BQ244:BT244)</f>
        <v>0</v>
      </c>
      <c r="CF244" s="7" t="n">
        <f aca="false">COUNTA(BM244:BT244)</f>
        <v>0</v>
      </c>
      <c r="CG244" s="7" t="n">
        <f aca="false">COUNTA(BI244:BT244)</f>
        <v>0</v>
      </c>
      <c r="CH244" s="7" t="n">
        <f aca="false">COUNTA(BE244:BT244)</f>
        <v>1</v>
      </c>
      <c r="CI244" s="7" t="n">
        <f aca="false">COUNTA(AU244:BT244)</f>
        <v>1</v>
      </c>
      <c r="CJ244" s="7" t="n">
        <f aca="false">COUNTA(U244:BT244)</f>
        <v>2</v>
      </c>
      <c r="CK244" s="7" t="n">
        <f aca="false">COUNTA(BT244)</f>
        <v>0</v>
      </c>
      <c r="CL244" s="7" t="n">
        <f aca="false">COUNTA(D244:BT244)</f>
        <v>2</v>
      </c>
      <c r="CM244" s="17" t="str">
        <f aca="false">IF(AND(CE244=1,CJ244=1,BT244&lt;&gt;""),"5.ENTRANTES",IF(AND(CE244&lt;&gt;0,CE244/RIGHT($CE$1,1)&gt;=0.5,CJ244=CE244),"4.RECENTES",IF(AND(CF244&lt;&gt;0,CF244/RIGHT($CF$1,1)&gt;=0.5,CJ244=CF244),"4.RECENTES",IF(AND(CG244&lt;&gt;0,CG244/RIGHT($CG$1,2)&gt;=0.5,CJ244=CG244),"4.RECENTES",IF(AND(CH244&lt;&gt;0,CH244/RIGHT($CH$1,2)&gt;=0.5,CJ244=CH244),"4.RECENTES",IF(AND(CI244&lt;&gt;0,CI244/RIGHT($CI$1,2)&gt;=0.5,CJ244=CI244),"4.RECENTES",IF(AND(CE244=0,CF244=0,CG244=0,CH244=0),"3.INATIVOS",IF(CJ244/RIGHT($CJ$1,2)&lt;0.5,"2.INTERMITENTES","1.ORDINÁRIOS"))))))))</f>
        <v>2.INTERMITENTES</v>
      </c>
      <c r="CN244" s="18" t="n">
        <f aca="false">IF(AND(CE244=1,CJ244=1,BT244&lt;&gt;""),BT244,IF(AND(CE244&lt;&gt;0,CE244/RIGHT($CE$1,1)&gt;=0.5,CJ244=CE244),MAX(BV244:CC244),IF(AND(CF244&lt;&gt;0,CF244/RIGHT($CF$1,1)&gt;=0.5,CJ244=CF244),MAX(BV244:CC244),IF(AND(CG244&lt;&gt;0,CG244/RIGHT($CG$1,2)&gt;=0.5,CJ244=CG244),MAX(BV244:CC244),IF(AND(CH244&lt;&gt;0,CH244/RIGHT($CH$1,2)&gt;=0.5,CJ244=CH244),MAX(BV244:CC244),IF(AND(CI244&lt;&gt;0,CI244/RIGHT($CI$1,2)&gt;=0.5,CJ244=CI244),MAX(BV244:CC244),IF(AND(CE244=0,CF244=0,CG244=0,CH244=0),0,IF(CJ244/RIGHT($CJ$1,2)&lt;0.5,ROUND(BU244/RIGHT($CJ$1,2),0),MAX(BV244:CC244)))))))))</f>
        <v>1</v>
      </c>
      <c r="CO244" s="18" t="n">
        <f aca="false">CD244</f>
        <v>30</v>
      </c>
      <c r="CP244" s="15" t="n">
        <v>60</v>
      </c>
      <c r="CQ244" s="16" t="n">
        <f aca="false">IF((CO244-CP244)&lt;0,0,(CO244-CP244))</f>
        <v>0</v>
      </c>
      <c r="CR244" s="7"/>
    </row>
    <row r="245" customFormat="false" ht="12.75" hidden="false" customHeight="true" outlineLevel="0" collapsed="false">
      <c r="A245" s="7" t="s">
        <v>273</v>
      </c>
      <c r="B245" s="7" t="s">
        <v>342</v>
      </c>
      <c r="C245" s="8" t="n">
        <v>311002002</v>
      </c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 t="n">
        <v>2</v>
      </c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  <c r="BC245" s="9"/>
      <c r="BD245" s="9"/>
      <c r="BE245" s="9"/>
      <c r="BF245" s="9"/>
      <c r="BG245" s="9"/>
      <c r="BH245" s="9"/>
      <c r="BI245" s="9"/>
      <c r="BJ245" s="9"/>
      <c r="BK245" s="9"/>
      <c r="BL245" s="9"/>
      <c r="BM245" s="9"/>
      <c r="BN245" s="9"/>
      <c r="BO245" s="9"/>
      <c r="BP245" s="9"/>
      <c r="BQ245" s="9"/>
      <c r="BR245" s="9"/>
      <c r="BS245" s="9"/>
      <c r="BT245" s="9"/>
      <c r="BU245" s="10" t="n">
        <v>2</v>
      </c>
      <c r="BV245" s="11" t="n">
        <f aca="false">IF(ISERROR(ROUND(MEDIAN(BQ245:BT245),0)),0,ROUND(MEDIAN(BQ245:BT245),0))</f>
        <v>0</v>
      </c>
      <c r="BW245" s="11" t="n">
        <f aca="false">IF(ISERROR(ROUND(MEDIAN(BM245:BT245),0)),0,ROUND(MEDIAN(BM245:BT245),0))</f>
        <v>0</v>
      </c>
      <c r="BX245" s="11" t="n">
        <f aca="false">IF(ISERROR(ROUND(MEDIAN(BI245:BT245),0)),0,ROUND(MEDIAN(BI245:BT245),0))</f>
        <v>0</v>
      </c>
      <c r="BY245" s="11" t="n">
        <f aca="false">IF(ISERROR(ROUND(MEDIAN(BE245:BT245),0)),0,ROUND(MEDIAN(BE245:BT245),0))</f>
        <v>0</v>
      </c>
      <c r="BZ245" s="11" t="n">
        <f aca="false">IF(ISERROR(ROUND(MEDIAN(AU245:BT245),0)),0,ROUND(MEDIAN(AU245:BT245),0))</f>
        <v>0</v>
      </c>
      <c r="CA245" s="12" t="n">
        <f aca="false">IF(ISERROR(ROUND(MEDIAN(U245:BT245),0)),0,ROUND(MEDIAN(U245:BT245),0))</f>
        <v>0</v>
      </c>
      <c r="CB245" s="12" t="n">
        <f aca="false">IF(ISERROR(ROUND(MEDIAN(BT245),0)),0,ROUND(MEDIAN(BT245),0))</f>
        <v>0</v>
      </c>
      <c r="CC245" s="12" t="n">
        <f aca="false">IF(ISERROR(ROUND(MEDIAN(D245:BT245),0)),0,ROUND(MEDIAN(D245:BT245),0))</f>
        <v>2</v>
      </c>
      <c r="CD245" s="12" t="n">
        <f aca="false">MAX(D245:BT245)</f>
        <v>2</v>
      </c>
      <c r="CE245" s="7" t="n">
        <f aca="false">COUNTA(BQ245:BT245)</f>
        <v>0</v>
      </c>
      <c r="CF245" s="7" t="n">
        <f aca="false">COUNTA(BM245:BT245)</f>
        <v>0</v>
      </c>
      <c r="CG245" s="7" t="n">
        <f aca="false">COUNTA(BI245:BT245)</f>
        <v>0</v>
      </c>
      <c r="CH245" s="7" t="n">
        <f aca="false">COUNTA(BE245:BT245)</f>
        <v>0</v>
      </c>
      <c r="CI245" s="7" t="n">
        <f aca="false">COUNTA(AU245:BT245)</f>
        <v>0</v>
      </c>
      <c r="CJ245" s="7" t="n">
        <f aca="false">COUNTA(U245:BT245)</f>
        <v>0</v>
      </c>
      <c r="CK245" s="7" t="n">
        <f aca="false">COUNTA(BT245)</f>
        <v>0</v>
      </c>
      <c r="CL245" s="7" t="n">
        <f aca="false">COUNTA(D245:BT245)</f>
        <v>1</v>
      </c>
      <c r="CM245" s="19" t="str">
        <f aca="false">IF(AND(CE245=1,CJ245=1,BT245&lt;&gt;""),"5.ENTRANTES",IF(AND(CE245&lt;&gt;0,CE245/RIGHT($CE$1,1)&gt;=0.5,CJ245=CE245),"4.RECENTES",IF(AND(CF245&lt;&gt;0,CF245/RIGHT($CF$1,1)&gt;=0.5,CJ245=CF245),"4.RECENTES",IF(AND(CG245&lt;&gt;0,CG245/RIGHT($CG$1,2)&gt;=0.5,CJ245=CG245),"4.RECENTES",IF(AND(CH245&lt;&gt;0,CH245/RIGHT($CH$1,2)&gt;=0.5,CJ245=CH245),"4.RECENTES",IF(AND(CI245&lt;&gt;0,CI245/RIGHT($CI$1,2)&gt;=0.5,CJ245=CI245),"4.RECENTES",IF(AND(CE245=0,CF245=0,CG245=0,CH245=0),"3.INATIVOS",IF(CJ245/RIGHT($CJ$1,2)&lt;0.5,"2.INTERMITENTES","1.ORDINÁRIOS"))))))))</f>
        <v>3.INATIVOS</v>
      </c>
      <c r="CN245" s="20" t="n">
        <f aca="false">IF(AND(CE245=1,CJ245=1,BT245&lt;&gt;""),BT245,IF(AND(CE245&lt;&gt;0,CE245/RIGHT($CE$1,1)&gt;=0.5,CJ245=CE245),MAX(BV245:CC245),IF(AND(CF245&lt;&gt;0,CF245/RIGHT($CF$1,1)&gt;=0.5,CJ245=CF245),MAX(BV245:CC245),IF(AND(CG245&lt;&gt;0,CG245/RIGHT($CG$1,2)&gt;=0.5,CJ245=CG245),MAX(BV245:CC245),IF(AND(CH245&lt;&gt;0,CH245/RIGHT($CH$1,2)&gt;=0.5,CJ245=CH245),MAX(BV245:CC245),IF(AND(CI245&lt;&gt;0,CI245/RIGHT($CI$1,2)&gt;=0.5,CJ245=CI245),MAX(BV245:CC245),IF(AND(CE245=0,CF245=0,CG245=0,CH245=0),0,IF(CJ245/RIGHT($CJ$1,2)&lt;0.5,ROUND(BU245/RIGHT($CJ$1,2),0),MAX(BV245:CC245)))))))))</f>
        <v>0</v>
      </c>
      <c r="CO245" s="20" t="n">
        <f aca="false">CN245*3</f>
        <v>0</v>
      </c>
      <c r="CP245" s="15" t="n">
        <v>1</v>
      </c>
      <c r="CQ245" s="16" t="n">
        <f aca="false">IF((CO245-CP245)&lt;0,0,(CO245-CP245))</f>
        <v>0</v>
      </c>
      <c r="CR245" s="7"/>
    </row>
    <row r="246" customFormat="false" ht="12.75" hidden="false" customHeight="true" outlineLevel="0" collapsed="false">
      <c r="A246" s="7" t="s">
        <v>273</v>
      </c>
      <c r="B246" s="7" t="s">
        <v>343</v>
      </c>
      <c r="C246" s="8" t="n">
        <v>56002001</v>
      </c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 t="n">
        <v>4</v>
      </c>
      <c r="W246" s="9"/>
      <c r="X246" s="9"/>
      <c r="Y246" s="9" t="n">
        <v>2</v>
      </c>
      <c r="Z246" s="9"/>
      <c r="AA246" s="9" t="n">
        <v>2</v>
      </c>
      <c r="AB246" s="9"/>
      <c r="AC246" s="9"/>
      <c r="AD246" s="9"/>
      <c r="AE246" s="9" t="n">
        <v>2</v>
      </c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  <c r="BB246" s="9"/>
      <c r="BC246" s="9"/>
      <c r="BD246" s="9"/>
      <c r="BE246" s="9"/>
      <c r="BF246" s="9"/>
      <c r="BG246" s="9"/>
      <c r="BH246" s="9"/>
      <c r="BI246" s="9"/>
      <c r="BJ246" s="9"/>
      <c r="BK246" s="9"/>
      <c r="BL246" s="9"/>
      <c r="BM246" s="9"/>
      <c r="BN246" s="9"/>
      <c r="BO246" s="9"/>
      <c r="BP246" s="9"/>
      <c r="BQ246" s="9"/>
      <c r="BR246" s="9"/>
      <c r="BS246" s="9"/>
      <c r="BT246" s="9"/>
      <c r="BU246" s="10" t="n">
        <v>10</v>
      </c>
      <c r="BV246" s="11" t="n">
        <f aca="false">IF(ISERROR(ROUND(MEDIAN(BQ246:BT246),0)),0,ROUND(MEDIAN(BQ246:BT246),0))</f>
        <v>0</v>
      </c>
      <c r="BW246" s="11" t="n">
        <f aca="false">IF(ISERROR(ROUND(MEDIAN(BM246:BT246),0)),0,ROUND(MEDIAN(BM246:BT246),0))</f>
        <v>0</v>
      </c>
      <c r="BX246" s="11" t="n">
        <f aca="false">IF(ISERROR(ROUND(MEDIAN(BI246:BT246),0)),0,ROUND(MEDIAN(BI246:BT246),0))</f>
        <v>0</v>
      </c>
      <c r="BY246" s="11" t="n">
        <f aca="false">IF(ISERROR(ROUND(MEDIAN(BE246:BT246),0)),0,ROUND(MEDIAN(BE246:BT246),0))</f>
        <v>0</v>
      </c>
      <c r="BZ246" s="11" t="n">
        <f aca="false">IF(ISERROR(ROUND(MEDIAN(AU246:BT246),0)),0,ROUND(MEDIAN(AU246:BT246),0))</f>
        <v>0</v>
      </c>
      <c r="CA246" s="12" t="n">
        <f aca="false">IF(ISERROR(ROUND(MEDIAN(U246:BT246),0)),0,ROUND(MEDIAN(U246:BT246),0))</f>
        <v>2</v>
      </c>
      <c r="CB246" s="12" t="n">
        <f aca="false">IF(ISERROR(ROUND(MEDIAN(BT246),0)),0,ROUND(MEDIAN(BT246),0))</f>
        <v>0</v>
      </c>
      <c r="CC246" s="12" t="n">
        <f aca="false">IF(ISERROR(ROUND(MEDIAN(D246:BT246),0)),0,ROUND(MEDIAN(D246:BT246),0))</f>
        <v>2</v>
      </c>
      <c r="CD246" s="12" t="n">
        <f aca="false">MAX(D246:BT246)</f>
        <v>4</v>
      </c>
      <c r="CE246" s="7" t="n">
        <f aca="false">COUNTA(BQ246:BT246)</f>
        <v>0</v>
      </c>
      <c r="CF246" s="7" t="n">
        <f aca="false">COUNTA(BM246:BT246)</f>
        <v>0</v>
      </c>
      <c r="CG246" s="7" t="n">
        <f aca="false">COUNTA(BI246:BT246)</f>
        <v>0</v>
      </c>
      <c r="CH246" s="7" t="n">
        <f aca="false">COUNTA(BE246:BT246)</f>
        <v>0</v>
      </c>
      <c r="CI246" s="7" t="n">
        <f aca="false">COUNTA(AU246:BT246)</f>
        <v>0</v>
      </c>
      <c r="CJ246" s="7" t="n">
        <f aca="false">COUNTA(U246:BT246)</f>
        <v>4</v>
      </c>
      <c r="CK246" s="7" t="n">
        <f aca="false">COUNTA(BT246)</f>
        <v>0</v>
      </c>
      <c r="CL246" s="7" t="n">
        <f aca="false">COUNTA(D246:BT246)</f>
        <v>4</v>
      </c>
      <c r="CM246" s="19" t="str">
        <f aca="false">IF(AND(CE246=1,CJ246=1,BT246&lt;&gt;""),"5.ENTRANTES",IF(AND(CE246&lt;&gt;0,CE246/RIGHT($CE$1,1)&gt;=0.5,CJ246=CE246),"4.RECENTES",IF(AND(CF246&lt;&gt;0,CF246/RIGHT($CF$1,1)&gt;=0.5,CJ246=CF246),"4.RECENTES",IF(AND(CG246&lt;&gt;0,CG246/RIGHT($CG$1,2)&gt;=0.5,CJ246=CG246),"4.RECENTES",IF(AND(CH246&lt;&gt;0,CH246/RIGHT($CH$1,2)&gt;=0.5,CJ246=CH246),"4.RECENTES",IF(AND(CI246&lt;&gt;0,CI246/RIGHT($CI$1,2)&gt;=0.5,CJ246=CI246),"4.RECENTES",IF(AND(CE246=0,CF246=0,CG246=0,CH246=0),"3.INATIVOS",IF(CJ246/RIGHT($CJ$1,2)&lt;0.5,"2.INTERMITENTES","1.ORDINÁRIOS"))))))))</f>
        <v>3.INATIVOS</v>
      </c>
      <c r="CN246" s="20" t="n">
        <f aca="false">IF(AND(CE246=1,CJ246=1,BT246&lt;&gt;""),BT246,IF(AND(CE246&lt;&gt;0,CE246/RIGHT($CE$1,1)&gt;=0.5,CJ246=CE246),MAX(BV246:CC246),IF(AND(CF246&lt;&gt;0,CF246/RIGHT($CF$1,1)&gt;=0.5,CJ246=CF246),MAX(BV246:CC246),IF(AND(CG246&lt;&gt;0,CG246/RIGHT($CG$1,2)&gt;=0.5,CJ246=CG246),MAX(BV246:CC246),IF(AND(CH246&lt;&gt;0,CH246/RIGHT($CH$1,2)&gt;=0.5,CJ246=CH246),MAX(BV246:CC246),IF(AND(CI246&lt;&gt;0,CI246/RIGHT($CI$1,2)&gt;=0.5,CJ246=CI246),MAX(BV246:CC246),IF(AND(CE246=0,CF246=0,CG246=0,CH246=0),0,IF(CJ246/RIGHT($CJ$1,2)&lt;0.5,ROUND(BU246/RIGHT($CJ$1,2),0),MAX(BV246:CC246)))))))))</f>
        <v>0</v>
      </c>
      <c r="CO246" s="20" t="n">
        <f aca="false">CN246*3</f>
        <v>0</v>
      </c>
      <c r="CP246" s="15" t="n">
        <v>0</v>
      </c>
      <c r="CQ246" s="16" t="n">
        <f aca="false">IF((CO246-CP246)&lt;0,0,(CO246-CP246))</f>
        <v>0</v>
      </c>
      <c r="CR246" s="7"/>
    </row>
    <row r="247" customFormat="false" ht="12.75" hidden="false" customHeight="true" outlineLevel="0" collapsed="false">
      <c r="A247" s="7" t="s">
        <v>273</v>
      </c>
      <c r="B247" s="7" t="s">
        <v>344</v>
      </c>
      <c r="C247" s="8" t="n">
        <v>230001013</v>
      </c>
      <c r="D247" s="9" t="n">
        <v>2</v>
      </c>
      <c r="E247" s="9" t="n">
        <v>12</v>
      </c>
      <c r="F247" s="9" t="n">
        <v>5</v>
      </c>
      <c r="G247" s="9" t="n">
        <v>1</v>
      </c>
      <c r="H247" s="9" t="n">
        <v>10</v>
      </c>
      <c r="I247" s="9" t="n">
        <v>18</v>
      </c>
      <c r="J247" s="9" t="n">
        <v>8</v>
      </c>
      <c r="K247" s="9" t="n">
        <v>4</v>
      </c>
      <c r="L247" s="9" t="n">
        <v>8</v>
      </c>
      <c r="M247" s="9" t="n">
        <v>7</v>
      </c>
      <c r="N247" s="9" t="n">
        <v>4</v>
      </c>
      <c r="O247" s="9" t="n">
        <v>18</v>
      </c>
      <c r="P247" s="9" t="n">
        <v>12</v>
      </c>
      <c r="Q247" s="9"/>
      <c r="R247" s="9" t="n">
        <v>3</v>
      </c>
      <c r="S247" s="9" t="n">
        <v>8</v>
      </c>
      <c r="T247" s="9" t="n">
        <v>20</v>
      </c>
      <c r="U247" s="9" t="n">
        <v>5</v>
      </c>
      <c r="V247" s="9"/>
      <c r="W247" s="9" t="n">
        <v>4</v>
      </c>
      <c r="X247" s="9" t="n">
        <v>8</v>
      </c>
      <c r="Y247" s="9" t="n">
        <v>9</v>
      </c>
      <c r="Z247" s="9" t="n">
        <v>3</v>
      </c>
      <c r="AA247" s="9" t="n">
        <v>7</v>
      </c>
      <c r="AB247" s="9" t="n">
        <v>11</v>
      </c>
      <c r="AC247" s="9" t="n">
        <v>8</v>
      </c>
      <c r="AD247" s="9" t="n">
        <v>1</v>
      </c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  <c r="BA247" s="9"/>
      <c r="BB247" s="9"/>
      <c r="BC247" s="9"/>
      <c r="BD247" s="9"/>
      <c r="BE247" s="9"/>
      <c r="BF247" s="9"/>
      <c r="BG247" s="9"/>
      <c r="BH247" s="9"/>
      <c r="BI247" s="9"/>
      <c r="BJ247" s="9"/>
      <c r="BK247" s="9"/>
      <c r="BL247" s="9"/>
      <c r="BM247" s="9"/>
      <c r="BN247" s="9"/>
      <c r="BO247" s="9"/>
      <c r="BP247" s="9"/>
      <c r="BQ247" s="9"/>
      <c r="BR247" s="9"/>
      <c r="BS247" s="9"/>
      <c r="BT247" s="9"/>
      <c r="BU247" s="10" t="n">
        <v>196</v>
      </c>
      <c r="BV247" s="11" t="n">
        <f aca="false">IF(ISERROR(ROUND(MEDIAN(BQ247:BT247),0)),0,ROUND(MEDIAN(BQ247:BT247),0))</f>
        <v>0</v>
      </c>
      <c r="BW247" s="11" t="n">
        <f aca="false">IF(ISERROR(ROUND(MEDIAN(BM247:BT247),0)),0,ROUND(MEDIAN(BM247:BT247),0))</f>
        <v>0</v>
      </c>
      <c r="BX247" s="11" t="n">
        <f aca="false">IF(ISERROR(ROUND(MEDIAN(BI247:BT247),0)),0,ROUND(MEDIAN(BI247:BT247),0))</f>
        <v>0</v>
      </c>
      <c r="BY247" s="11" t="n">
        <f aca="false">IF(ISERROR(ROUND(MEDIAN(BE247:BT247),0)),0,ROUND(MEDIAN(BE247:BT247),0))</f>
        <v>0</v>
      </c>
      <c r="BZ247" s="11" t="n">
        <f aca="false">IF(ISERROR(ROUND(MEDIAN(AU247:BT247),0)),0,ROUND(MEDIAN(AU247:BT247),0))</f>
        <v>0</v>
      </c>
      <c r="CA247" s="12" t="n">
        <f aca="false">IF(ISERROR(ROUND(MEDIAN(U247:BT247),0)),0,ROUND(MEDIAN(U247:BT247),0))</f>
        <v>7</v>
      </c>
      <c r="CB247" s="12" t="n">
        <f aca="false">IF(ISERROR(ROUND(MEDIAN(BT247),0)),0,ROUND(MEDIAN(BT247),0))</f>
        <v>0</v>
      </c>
      <c r="CC247" s="12" t="n">
        <f aca="false">IF(ISERROR(ROUND(MEDIAN(D247:BT247),0)),0,ROUND(MEDIAN(D247:BT247),0))</f>
        <v>8</v>
      </c>
      <c r="CD247" s="12" t="n">
        <f aca="false">MAX(D247:BT247)</f>
        <v>20</v>
      </c>
      <c r="CE247" s="7" t="n">
        <f aca="false">COUNTA(BQ247:BT247)</f>
        <v>0</v>
      </c>
      <c r="CF247" s="7" t="n">
        <f aca="false">COUNTA(BM247:BT247)</f>
        <v>0</v>
      </c>
      <c r="CG247" s="7" t="n">
        <f aca="false">COUNTA(BI247:BT247)</f>
        <v>0</v>
      </c>
      <c r="CH247" s="7" t="n">
        <f aca="false">COUNTA(BE247:BT247)</f>
        <v>0</v>
      </c>
      <c r="CI247" s="7" t="n">
        <f aca="false">COUNTA(AU247:BT247)</f>
        <v>0</v>
      </c>
      <c r="CJ247" s="7" t="n">
        <f aca="false">COUNTA(U247:BT247)</f>
        <v>9</v>
      </c>
      <c r="CK247" s="7" t="n">
        <f aca="false">COUNTA(BT247)</f>
        <v>0</v>
      </c>
      <c r="CL247" s="7" t="n">
        <f aca="false">COUNTA(D247:BT247)</f>
        <v>25</v>
      </c>
      <c r="CM247" s="19" t="str">
        <f aca="false">IF(AND(CE247=1,CJ247=1,BT247&lt;&gt;""),"5.ENTRANTES",IF(AND(CE247&lt;&gt;0,CE247/RIGHT($CE$1,1)&gt;=0.5,CJ247=CE247),"4.RECENTES",IF(AND(CF247&lt;&gt;0,CF247/RIGHT($CF$1,1)&gt;=0.5,CJ247=CF247),"4.RECENTES",IF(AND(CG247&lt;&gt;0,CG247/RIGHT($CG$1,2)&gt;=0.5,CJ247=CG247),"4.RECENTES",IF(AND(CH247&lt;&gt;0,CH247/RIGHT($CH$1,2)&gt;=0.5,CJ247=CH247),"4.RECENTES",IF(AND(CI247&lt;&gt;0,CI247/RIGHT($CI$1,2)&gt;=0.5,CJ247=CI247),"4.RECENTES",IF(AND(CE247=0,CF247=0,CG247=0,CH247=0),"3.INATIVOS",IF(CJ247/RIGHT($CJ$1,2)&lt;0.5,"2.INTERMITENTES","1.ORDINÁRIOS"))))))))</f>
        <v>3.INATIVOS</v>
      </c>
      <c r="CN247" s="20" t="n">
        <f aca="false">IF(AND(CE247=1,CJ247=1,BT247&lt;&gt;""),BT247,IF(AND(CE247&lt;&gt;0,CE247/RIGHT($CE$1,1)&gt;=0.5,CJ247=CE247),MAX(BV247:CC247),IF(AND(CF247&lt;&gt;0,CF247/RIGHT($CF$1,1)&gt;=0.5,CJ247=CF247),MAX(BV247:CC247),IF(AND(CG247&lt;&gt;0,CG247/RIGHT($CG$1,2)&gt;=0.5,CJ247=CG247),MAX(BV247:CC247),IF(AND(CH247&lt;&gt;0,CH247/RIGHT($CH$1,2)&gt;=0.5,CJ247=CH247),MAX(BV247:CC247),IF(AND(CI247&lt;&gt;0,CI247/RIGHT($CI$1,2)&gt;=0.5,CJ247=CI247),MAX(BV247:CC247),IF(AND(CE247=0,CF247=0,CG247=0,CH247=0),0,IF(CJ247/RIGHT($CJ$1,2)&lt;0.5,ROUND(BU247/RIGHT($CJ$1,2),0),MAX(BV247:CC247)))))))))</f>
        <v>0</v>
      </c>
      <c r="CO247" s="20" t="n">
        <f aca="false">CN247*3</f>
        <v>0</v>
      </c>
      <c r="CP247" s="15" t="n">
        <v>0</v>
      </c>
      <c r="CQ247" s="16" t="n">
        <f aca="false">IF((CO247-CP247)&lt;0,0,(CO247-CP247))</f>
        <v>0</v>
      </c>
      <c r="CR247" s="7"/>
    </row>
    <row r="248" customFormat="false" ht="12.75" hidden="false" customHeight="true" outlineLevel="0" collapsed="false">
      <c r="A248" s="7" t="s">
        <v>273</v>
      </c>
      <c r="B248" s="7" t="s">
        <v>345</v>
      </c>
      <c r="C248" s="8" t="n">
        <v>311001021</v>
      </c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 t="n">
        <v>1</v>
      </c>
      <c r="AH248" s="9"/>
      <c r="AI248" s="9"/>
      <c r="AJ248" s="9"/>
      <c r="AK248" s="9" t="n">
        <v>2</v>
      </c>
      <c r="AL248" s="9"/>
      <c r="AM248" s="9"/>
      <c r="AN248" s="9"/>
      <c r="AO248" s="9"/>
      <c r="AP248" s="9" t="n">
        <v>6</v>
      </c>
      <c r="AQ248" s="9"/>
      <c r="AR248" s="9"/>
      <c r="AS248" s="9"/>
      <c r="AT248" s="9" t="n">
        <v>2</v>
      </c>
      <c r="AU248" s="9"/>
      <c r="AV248" s="9" t="n">
        <v>4</v>
      </c>
      <c r="AW248" s="9"/>
      <c r="AX248" s="9" t="n">
        <v>2</v>
      </c>
      <c r="AY248" s="9"/>
      <c r="AZ248" s="9"/>
      <c r="BA248" s="9"/>
      <c r="BB248" s="9"/>
      <c r="BC248" s="9"/>
      <c r="BD248" s="9" t="n">
        <v>2</v>
      </c>
      <c r="BE248" s="9"/>
      <c r="BF248" s="9"/>
      <c r="BG248" s="9"/>
      <c r="BH248" s="9"/>
      <c r="BI248" s="9"/>
      <c r="BJ248" s="9" t="n">
        <v>4</v>
      </c>
      <c r="BK248" s="9"/>
      <c r="BL248" s="9"/>
      <c r="BM248" s="9" t="n">
        <v>6</v>
      </c>
      <c r="BN248" s="9"/>
      <c r="BO248" s="9"/>
      <c r="BP248" s="9"/>
      <c r="BQ248" s="9"/>
      <c r="BR248" s="9" t="n">
        <v>2</v>
      </c>
      <c r="BS248" s="9"/>
      <c r="BT248" s="9"/>
      <c r="BU248" s="10" t="n">
        <v>31</v>
      </c>
      <c r="BV248" s="11" t="n">
        <f aca="false">IF(ISERROR(ROUND(MEDIAN(BQ248:BT248),0)),0,ROUND(MEDIAN(BQ248:BT248),0))</f>
        <v>2</v>
      </c>
      <c r="BW248" s="11" t="n">
        <f aca="false">IF(ISERROR(ROUND(MEDIAN(BM248:BT248),0)),0,ROUND(MEDIAN(BM248:BT248),0))</f>
        <v>4</v>
      </c>
      <c r="BX248" s="11" t="n">
        <f aca="false">IF(ISERROR(ROUND(MEDIAN(BI248:BT248),0)),0,ROUND(MEDIAN(BI248:BT248),0))</f>
        <v>4</v>
      </c>
      <c r="BY248" s="11" t="n">
        <f aca="false">IF(ISERROR(ROUND(MEDIAN(BE248:BT248),0)),0,ROUND(MEDIAN(BE248:BT248),0))</f>
        <v>4</v>
      </c>
      <c r="BZ248" s="11" t="n">
        <f aca="false">IF(ISERROR(ROUND(MEDIAN(AU248:BT248),0)),0,ROUND(MEDIAN(AU248:BT248),0))</f>
        <v>3</v>
      </c>
      <c r="CA248" s="12" t="n">
        <f aca="false">IF(ISERROR(ROUND(MEDIAN(U248:BT248),0)),0,ROUND(MEDIAN(U248:BT248),0))</f>
        <v>2</v>
      </c>
      <c r="CB248" s="12" t="n">
        <f aca="false">IF(ISERROR(ROUND(MEDIAN(BT248),0)),0,ROUND(MEDIAN(BT248),0))</f>
        <v>0</v>
      </c>
      <c r="CC248" s="12" t="n">
        <f aca="false">IF(ISERROR(ROUND(MEDIAN(D248:BT248),0)),0,ROUND(MEDIAN(D248:BT248),0))</f>
        <v>2</v>
      </c>
      <c r="CD248" s="12" t="n">
        <f aca="false">MAX(D248:BT248)</f>
        <v>6</v>
      </c>
      <c r="CE248" s="7" t="n">
        <f aca="false">COUNTA(BQ248:BT248)</f>
        <v>1</v>
      </c>
      <c r="CF248" s="7" t="n">
        <f aca="false">COUNTA(BM248:BT248)</f>
        <v>2</v>
      </c>
      <c r="CG248" s="7" t="n">
        <f aca="false">COUNTA(BI248:BT248)</f>
        <v>3</v>
      </c>
      <c r="CH248" s="7" t="n">
        <f aca="false">COUNTA(BE248:BT248)</f>
        <v>3</v>
      </c>
      <c r="CI248" s="7" t="n">
        <f aca="false">COUNTA(AU248:BT248)</f>
        <v>6</v>
      </c>
      <c r="CJ248" s="7" t="n">
        <f aca="false">COUNTA(U248:BT248)</f>
        <v>10</v>
      </c>
      <c r="CK248" s="7" t="n">
        <f aca="false">COUNTA(BT248)</f>
        <v>0</v>
      </c>
      <c r="CL248" s="7" t="n">
        <f aca="false">COUNTA(D248:BT248)</f>
        <v>10</v>
      </c>
      <c r="CM248" s="17" t="str">
        <f aca="false">IF(AND(CE248=1,CJ248=1,BT248&lt;&gt;""),"5.ENTRANTES",IF(AND(CE248&lt;&gt;0,CE248/RIGHT($CE$1,1)&gt;=0.5,CJ248=CE248),"4.RECENTES",IF(AND(CF248&lt;&gt;0,CF248/RIGHT($CF$1,1)&gt;=0.5,CJ248=CF248),"4.RECENTES",IF(AND(CG248&lt;&gt;0,CG248/RIGHT($CG$1,2)&gt;=0.5,CJ248=CG248),"4.RECENTES",IF(AND(CH248&lt;&gt;0,CH248/RIGHT($CH$1,2)&gt;=0.5,CJ248=CH248),"4.RECENTES",IF(AND(CI248&lt;&gt;0,CI248/RIGHT($CI$1,2)&gt;=0.5,CJ248=CI248),"4.RECENTES",IF(AND(CE248=0,CF248=0,CG248=0,CH248=0),"3.INATIVOS",IF(CJ248/RIGHT($CJ$1,2)&lt;0.5,"2.INTERMITENTES","1.ORDINÁRIOS"))))))))</f>
        <v>2.INTERMITENTES</v>
      </c>
      <c r="CN248" s="18" t="n">
        <f aca="false">IF(AND(CE248=1,CJ248=1,BT248&lt;&gt;""),BT248,IF(AND(CE248&lt;&gt;0,CE248/RIGHT($CE$1,1)&gt;=0.5,CJ248=CE248),MAX(BV248:CC248),IF(AND(CF248&lt;&gt;0,CF248/RIGHT($CF$1,1)&gt;=0.5,CJ248=CF248),MAX(BV248:CC248),IF(AND(CG248&lt;&gt;0,CG248/RIGHT($CG$1,2)&gt;=0.5,CJ248=CG248),MAX(BV248:CC248),IF(AND(CH248&lt;&gt;0,CH248/RIGHT($CH$1,2)&gt;=0.5,CJ248=CH248),MAX(BV248:CC248),IF(AND(CI248&lt;&gt;0,CI248/RIGHT($CI$1,2)&gt;=0.5,CJ248=CI248),MAX(BV248:CC248),IF(AND(CE248=0,CF248=0,CG248=0,CH248=0),0,IF(CJ248/RIGHT($CJ$1,2)&lt;0.5,ROUND(BU248/RIGHT($CJ$1,2),0),MAX(BV248:CC248)))))))))</f>
        <v>1</v>
      </c>
      <c r="CO248" s="18" t="n">
        <f aca="false">CD248</f>
        <v>6</v>
      </c>
      <c r="CP248" s="15" t="n">
        <v>6</v>
      </c>
      <c r="CQ248" s="16" t="n">
        <f aca="false">IF((CO248-CP248)&lt;0,0,(CO248-CP248))</f>
        <v>0</v>
      </c>
      <c r="CR248" s="7"/>
    </row>
    <row r="249" customFormat="false" ht="12.75" hidden="false" customHeight="true" outlineLevel="0" collapsed="false">
      <c r="A249" s="7" t="s">
        <v>273</v>
      </c>
      <c r="B249" s="7" t="s">
        <v>346</v>
      </c>
      <c r="C249" s="8" t="n">
        <v>315002001</v>
      </c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 t="n">
        <v>1</v>
      </c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  <c r="BA249" s="9"/>
      <c r="BB249" s="9"/>
      <c r="BC249" s="9"/>
      <c r="BD249" s="9"/>
      <c r="BE249" s="9"/>
      <c r="BF249" s="9"/>
      <c r="BG249" s="9"/>
      <c r="BH249" s="9"/>
      <c r="BI249" s="9"/>
      <c r="BJ249" s="9"/>
      <c r="BK249" s="9"/>
      <c r="BL249" s="9"/>
      <c r="BM249" s="9"/>
      <c r="BN249" s="9"/>
      <c r="BO249" s="9"/>
      <c r="BP249" s="9"/>
      <c r="BQ249" s="9"/>
      <c r="BR249" s="9"/>
      <c r="BS249" s="9"/>
      <c r="BT249" s="9"/>
      <c r="BU249" s="10" t="n">
        <v>1</v>
      </c>
      <c r="BV249" s="11" t="n">
        <f aca="false">IF(ISERROR(ROUND(MEDIAN(BQ249:BT249),0)),0,ROUND(MEDIAN(BQ249:BT249),0))</f>
        <v>0</v>
      </c>
      <c r="BW249" s="11" t="n">
        <f aca="false">IF(ISERROR(ROUND(MEDIAN(BM249:BT249),0)),0,ROUND(MEDIAN(BM249:BT249),0))</f>
        <v>0</v>
      </c>
      <c r="BX249" s="11" t="n">
        <f aca="false">IF(ISERROR(ROUND(MEDIAN(BI249:BT249),0)),0,ROUND(MEDIAN(BI249:BT249),0))</f>
        <v>0</v>
      </c>
      <c r="BY249" s="11" t="n">
        <f aca="false">IF(ISERROR(ROUND(MEDIAN(BE249:BT249),0)),0,ROUND(MEDIAN(BE249:BT249),0))</f>
        <v>0</v>
      </c>
      <c r="BZ249" s="11" t="n">
        <f aca="false">IF(ISERROR(ROUND(MEDIAN(AU249:BT249),0)),0,ROUND(MEDIAN(AU249:BT249),0))</f>
        <v>0</v>
      </c>
      <c r="CA249" s="12" t="n">
        <f aca="false">IF(ISERROR(ROUND(MEDIAN(U249:BT249),0)),0,ROUND(MEDIAN(U249:BT249),0))</f>
        <v>0</v>
      </c>
      <c r="CB249" s="12" t="n">
        <f aca="false">IF(ISERROR(ROUND(MEDIAN(BT249),0)),0,ROUND(MEDIAN(BT249),0))</f>
        <v>0</v>
      </c>
      <c r="CC249" s="12" t="n">
        <f aca="false">IF(ISERROR(ROUND(MEDIAN(D249:BT249),0)),0,ROUND(MEDIAN(D249:BT249),0))</f>
        <v>1</v>
      </c>
      <c r="CD249" s="12" t="n">
        <f aca="false">MAX(D249:BT249)</f>
        <v>1</v>
      </c>
      <c r="CE249" s="7" t="n">
        <f aca="false">COUNTA(BQ249:BT249)</f>
        <v>0</v>
      </c>
      <c r="CF249" s="7" t="n">
        <f aca="false">COUNTA(BM249:BT249)</f>
        <v>0</v>
      </c>
      <c r="CG249" s="7" t="n">
        <f aca="false">COUNTA(BI249:BT249)</f>
        <v>0</v>
      </c>
      <c r="CH249" s="7" t="n">
        <f aca="false">COUNTA(BE249:BT249)</f>
        <v>0</v>
      </c>
      <c r="CI249" s="7" t="n">
        <f aca="false">COUNTA(AU249:BT249)</f>
        <v>0</v>
      </c>
      <c r="CJ249" s="7" t="n">
        <f aca="false">COUNTA(U249:BT249)</f>
        <v>0</v>
      </c>
      <c r="CK249" s="7" t="n">
        <f aca="false">COUNTA(BT249)</f>
        <v>0</v>
      </c>
      <c r="CL249" s="7" t="n">
        <f aca="false">COUNTA(D249:BT249)</f>
        <v>1</v>
      </c>
      <c r="CM249" s="19" t="str">
        <f aca="false">IF(AND(CE249=1,CJ249=1,BT249&lt;&gt;""),"5.ENTRANTES",IF(AND(CE249&lt;&gt;0,CE249/RIGHT($CE$1,1)&gt;=0.5,CJ249=CE249),"4.RECENTES",IF(AND(CF249&lt;&gt;0,CF249/RIGHT($CF$1,1)&gt;=0.5,CJ249=CF249),"4.RECENTES",IF(AND(CG249&lt;&gt;0,CG249/RIGHT($CG$1,2)&gt;=0.5,CJ249=CG249),"4.RECENTES",IF(AND(CH249&lt;&gt;0,CH249/RIGHT($CH$1,2)&gt;=0.5,CJ249=CH249),"4.RECENTES",IF(AND(CI249&lt;&gt;0,CI249/RIGHT($CI$1,2)&gt;=0.5,CJ249=CI249),"4.RECENTES",IF(AND(CE249=0,CF249=0,CG249=0,CH249=0),"3.INATIVOS",IF(CJ249/RIGHT($CJ$1,2)&lt;0.5,"2.INTERMITENTES","1.ORDINÁRIOS"))))))))</f>
        <v>3.INATIVOS</v>
      </c>
      <c r="CN249" s="20" t="n">
        <f aca="false">IF(AND(CE249=1,CJ249=1,BT249&lt;&gt;""),BT249,IF(AND(CE249&lt;&gt;0,CE249/RIGHT($CE$1,1)&gt;=0.5,CJ249=CE249),MAX(BV249:CC249),IF(AND(CF249&lt;&gt;0,CF249/RIGHT($CF$1,1)&gt;=0.5,CJ249=CF249),MAX(BV249:CC249),IF(AND(CG249&lt;&gt;0,CG249/RIGHT($CG$1,2)&gt;=0.5,CJ249=CG249),MAX(BV249:CC249),IF(AND(CH249&lt;&gt;0,CH249/RIGHT($CH$1,2)&gt;=0.5,CJ249=CH249),MAX(BV249:CC249),IF(AND(CI249&lt;&gt;0,CI249/RIGHT($CI$1,2)&gt;=0.5,CJ249=CI249),MAX(BV249:CC249),IF(AND(CE249=0,CF249=0,CG249=0,CH249=0),0,IF(CJ249/RIGHT($CJ$1,2)&lt;0.5,ROUND(BU249/RIGHT($CJ$1,2),0),MAX(BV249:CC249)))))))))</f>
        <v>0</v>
      </c>
      <c r="CO249" s="20" t="n">
        <f aca="false">CN249*3</f>
        <v>0</v>
      </c>
      <c r="CP249" s="15" t="n">
        <v>0</v>
      </c>
      <c r="CQ249" s="16" t="n">
        <f aca="false">IF((CO249-CP249)&lt;0,0,(CO249-CP249))</f>
        <v>0</v>
      </c>
      <c r="CR249" s="7"/>
    </row>
    <row r="250" customFormat="false" ht="12.75" hidden="false" customHeight="true" outlineLevel="0" collapsed="false">
      <c r="A250" s="7" t="s">
        <v>273</v>
      </c>
      <c r="B250" s="7" t="s">
        <v>347</v>
      </c>
      <c r="C250" s="8" t="n">
        <v>1000020</v>
      </c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 t="n">
        <v>30</v>
      </c>
      <c r="AZ250" s="9"/>
      <c r="BA250" s="9"/>
      <c r="BB250" s="9"/>
      <c r="BC250" s="9"/>
      <c r="BD250" s="9"/>
      <c r="BE250" s="9" t="n">
        <v>30</v>
      </c>
      <c r="BF250" s="9"/>
      <c r="BG250" s="9"/>
      <c r="BH250" s="9"/>
      <c r="BI250" s="9"/>
      <c r="BJ250" s="9"/>
      <c r="BK250" s="9"/>
      <c r="BL250" s="9"/>
      <c r="BM250" s="9"/>
      <c r="BN250" s="9"/>
      <c r="BO250" s="9"/>
      <c r="BP250" s="9"/>
      <c r="BQ250" s="9"/>
      <c r="BR250" s="9"/>
      <c r="BS250" s="9"/>
      <c r="BT250" s="9"/>
      <c r="BU250" s="10" t="n">
        <v>60</v>
      </c>
      <c r="BV250" s="11" t="n">
        <f aca="false">IF(ISERROR(ROUND(MEDIAN(BQ250:BT250),0)),0,ROUND(MEDIAN(BQ250:BT250),0))</f>
        <v>0</v>
      </c>
      <c r="BW250" s="11" t="n">
        <f aca="false">IF(ISERROR(ROUND(MEDIAN(BM250:BT250),0)),0,ROUND(MEDIAN(BM250:BT250),0))</f>
        <v>0</v>
      </c>
      <c r="BX250" s="11" t="n">
        <f aca="false">IF(ISERROR(ROUND(MEDIAN(BI250:BT250),0)),0,ROUND(MEDIAN(BI250:BT250),0))</f>
        <v>0</v>
      </c>
      <c r="BY250" s="11" t="n">
        <f aca="false">IF(ISERROR(ROUND(MEDIAN(BE250:BT250),0)),0,ROUND(MEDIAN(BE250:BT250),0))</f>
        <v>30</v>
      </c>
      <c r="BZ250" s="11" t="n">
        <f aca="false">IF(ISERROR(ROUND(MEDIAN(AU250:BT250),0)),0,ROUND(MEDIAN(AU250:BT250),0))</f>
        <v>30</v>
      </c>
      <c r="CA250" s="12" t="n">
        <f aca="false">IF(ISERROR(ROUND(MEDIAN(U250:BT250),0)),0,ROUND(MEDIAN(U250:BT250),0))</f>
        <v>30</v>
      </c>
      <c r="CB250" s="12" t="n">
        <f aca="false">IF(ISERROR(ROUND(MEDIAN(BT250),0)),0,ROUND(MEDIAN(BT250),0))</f>
        <v>0</v>
      </c>
      <c r="CC250" s="12" t="n">
        <f aca="false">IF(ISERROR(ROUND(MEDIAN(D250:BT250),0)),0,ROUND(MEDIAN(D250:BT250),0))</f>
        <v>30</v>
      </c>
      <c r="CD250" s="12" t="n">
        <f aca="false">MAX(D250:BT250)</f>
        <v>30</v>
      </c>
      <c r="CE250" s="7" t="n">
        <f aca="false">COUNTA(BQ250:BT250)</f>
        <v>0</v>
      </c>
      <c r="CF250" s="7" t="n">
        <f aca="false">COUNTA(BM250:BT250)</f>
        <v>0</v>
      </c>
      <c r="CG250" s="7" t="n">
        <f aca="false">COUNTA(BI250:BT250)</f>
        <v>0</v>
      </c>
      <c r="CH250" s="7" t="n">
        <f aca="false">COUNTA(BE250:BT250)</f>
        <v>1</v>
      </c>
      <c r="CI250" s="7" t="n">
        <f aca="false">COUNTA(AU250:BT250)</f>
        <v>2</v>
      </c>
      <c r="CJ250" s="7" t="n">
        <f aca="false">COUNTA(U250:BT250)</f>
        <v>2</v>
      </c>
      <c r="CK250" s="7" t="n">
        <f aca="false">COUNTA(BT250)</f>
        <v>0</v>
      </c>
      <c r="CL250" s="7" t="n">
        <f aca="false">COUNTA(D250:BT250)</f>
        <v>2</v>
      </c>
      <c r="CM250" s="17" t="str">
        <f aca="false">IF(AND(CE250=1,CJ250=1,BT250&lt;&gt;""),"5.ENTRANTES",IF(AND(CE250&lt;&gt;0,CE250/RIGHT($CE$1,1)&gt;=0.5,CJ250=CE250),"4.RECENTES",IF(AND(CF250&lt;&gt;0,CF250/RIGHT($CF$1,1)&gt;=0.5,CJ250=CF250),"4.RECENTES",IF(AND(CG250&lt;&gt;0,CG250/RIGHT($CG$1,2)&gt;=0.5,CJ250=CG250),"4.RECENTES",IF(AND(CH250&lt;&gt;0,CH250/RIGHT($CH$1,2)&gt;=0.5,CJ250=CH250),"4.RECENTES",IF(AND(CI250&lt;&gt;0,CI250/RIGHT($CI$1,2)&gt;=0.5,CJ250=CI250),"4.RECENTES",IF(AND(CE250=0,CF250=0,CG250=0,CH250=0),"3.INATIVOS",IF(CJ250/RIGHT($CJ$1,2)&lt;0.5,"2.INTERMITENTES","1.ORDINÁRIOS"))))))))</f>
        <v>2.INTERMITENTES</v>
      </c>
      <c r="CN250" s="18" t="n">
        <f aca="false">IF(AND(CE250=1,CJ250=1,BT250&lt;&gt;""),BT250,IF(AND(CE250&lt;&gt;0,CE250/RIGHT($CE$1,1)&gt;=0.5,CJ250=CE250),MAX(BV250:CC250),IF(AND(CF250&lt;&gt;0,CF250/RIGHT($CF$1,1)&gt;=0.5,CJ250=CF250),MAX(BV250:CC250),IF(AND(CG250&lt;&gt;0,CG250/RIGHT($CG$1,2)&gt;=0.5,CJ250=CG250),MAX(BV250:CC250),IF(AND(CH250&lt;&gt;0,CH250/RIGHT($CH$1,2)&gt;=0.5,CJ250=CH250),MAX(BV250:CC250),IF(AND(CI250&lt;&gt;0,CI250/RIGHT($CI$1,2)&gt;=0.5,CJ250=CI250),MAX(BV250:CC250),IF(AND(CE250=0,CF250=0,CG250=0,CH250=0),0,IF(CJ250/RIGHT($CJ$1,2)&lt;0.5,ROUND(BU250/RIGHT($CJ$1,2),0),MAX(BV250:CC250)))))))))</f>
        <v>1</v>
      </c>
      <c r="CO250" s="18" t="n">
        <f aca="false">CD250</f>
        <v>30</v>
      </c>
      <c r="CP250" s="15" t="n">
        <v>0</v>
      </c>
      <c r="CQ250" s="16" t="n">
        <f aca="false">IF((CO250-CP250)&lt;0,0,(CO250-CP250))</f>
        <v>30</v>
      </c>
      <c r="CR250" s="7"/>
    </row>
    <row r="251" customFormat="false" ht="12.75" hidden="false" customHeight="true" outlineLevel="0" collapsed="false">
      <c r="A251" s="7" t="s">
        <v>273</v>
      </c>
      <c r="B251" s="7" t="s">
        <v>348</v>
      </c>
      <c r="C251" s="8" t="n">
        <v>306001002</v>
      </c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 t="n">
        <v>10</v>
      </c>
      <c r="T251" s="9"/>
      <c r="U251" s="9"/>
      <c r="V251" s="9"/>
      <c r="W251" s="9"/>
      <c r="X251" s="9"/>
      <c r="Y251" s="9" t="n">
        <v>20</v>
      </c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  <c r="BA251" s="9"/>
      <c r="BB251" s="9"/>
      <c r="BC251" s="9"/>
      <c r="BD251" s="9"/>
      <c r="BE251" s="9"/>
      <c r="BF251" s="9"/>
      <c r="BG251" s="9"/>
      <c r="BH251" s="9"/>
      <c r="BI251" s="9"/>
      <c r="BJ251" s="9"/>
      <c r="BK251" s="9"/>
      <c r="BL251" s="9"/>
      <c r="BM251" s="9"/>
      <c r="BN251" s="9"/>
      <c r="BO251" s="9"/>
      <c r="BP251" s="9"/>
      <c r="BQ251" s="9"/>
      <c r="BR251" s="9"/>
      <c r="BS251" s="9"/>
      <c r="BT251" s="9"/>
      <c r="BU251" s="10" t="n">
        <v>30</v>
      </c>
      <c r="BV251" s="11" t="n">
        <f aca="false">IF(ISERROR(ROUND(MEDIAN(BQ251:BT251),0)),0,ROUND(MEDIAN(BQ251:BT251),0))</f>
        <v>0</v>
      </c>
      <c r="BW251" s="11" t="n">
        <f aca="false">IF(ISERROR(ROUND(MEDIAN(BM251:BT251),0)),0,ROUND(MEDIAN(BM251:BT251),0))</f>
        <v>0</v>
      </c>
      <c r="BX251" s="11" t="n">
        <f aca="false">IF(ISERROR(ROUND(MEDIAN(BI251:BT251),0)),0,ROUND(MEDIAN(BI251:BT251),0))</f>
        <v>0</v>
      </c>
      <c r="BY251" s="11" t="n">
        <f aca="false">IF(ISERROR(ROUND(MEDIAN(BE251:BT251),0)),0,ROUND(MEDIAN(BE251:BT251),0))</f>
        <v>0</v>
      </c>
      <c r="BZ251" s="11" t="n">
        <f aca="false">IF(ISERROR(ROUND(MEDIAN(AU251:BT251),0)),0,ROUND(MEDIAN(AU251:BT251),0))</f>
        <v>0</v>
      </c>
      <c r="CA251" s="12" t="n">
        <f aca="false">IF(ISERROR(ROUND(MEDIAN(U251:BT251),0)),0,ROUND(MEDIAN(U251:BT251),0))</f>
        <v>20</v>
      </c>
      <c r="CB251" s="12" t="n">
        <f aca="false">IF(ISERROR(ROUND(MEDIAN(BT251),0)),0,ROUND(MEDIAN(BT251),0))</f>
        <v>0</v>
      </c>
      <c r="CC251" s="12" t="n">
        <f aca="false">IF(ISERROR(ROUND(MEDIAN(D251:BT251),0)),0,ROUND(MEDIAN(D251:BT251),0))</f>
        <v>15</v>
      </c>
      <c r="CD251" s="12" t="n">
        <f aca="false">MAX(D251:BT251)</f>
        <v>20</v>
      </c>
      <c r="CE251" s="7" t="n">
        <f aca="false">COUNTA(BQ251:BT251)</f>
        <v>0</v>
      </c>
      <c r="CF251" s="7" t="n">
        <f aca="false">COUNTA(BM251:BT251)</f>
        <v>0</v>
      </c>
      <c r="CG251" s="7" t="n">
        <f aca="false">COUNTA(BI251:BT251)</f>
        <v>0</v>
      </c>
      <c r="CH251" s="7" t="n">
        <f aca="false">COUNTA(BE251:BT251)</f>
        <v>0</v>
      </c>
      <c r="CI251" s="7" t="n">
        <f aca="false">COUNTA(AU251:BT251)</f>
        <v>0</v>
      </c>
      <c r="CJ251" s="7" t="n">
        <f aca="false">COUNTA(U251:BT251)</f>
        <v>1</v>
      </c>
      <c r="CK251" s="7" t="n">
        <f aca="false">COUNTA(BT251)</f>
        <v>0</v>
      </c>
      <c r="CL251" s="7" t="n">
        <f aca="false">COUNTA(D251:BT251)</f>
        <v>2</v>
      </c>
      <c r="CM251" s="19" t="str">
        <f aca="false">IF(AND(CE251=1,CJ251=1,BT251&lt;&gt;""),"5.ENTRANTES",IF(AND(CE251&lt;&gt;0,CE251/RIGHT($CE$1,1)&gt;=0.5,CJ251=CE251),"4.RECENTES",IF(AND(CF251&lt;&gt;0,CF251/RIGHT($CF$1,1)&gt;=0.5,CJ251=CF251),"4.RECENTES",IF(AND(CG251&lt;&gt;0,CG251/RIGHT($CG$1,2)&gt;=0.5,CJ251=CG251),"4.RECENTES",IF(AND(CH251&lt;&gt;0,CH251/RIGHT($CH$1,2)&gt;=0.5,CJ251=CH251),"4.RECENTES",IF(AND(CI251&lt;&gt;0,CI251/RIGHT($CI$1,2)&gt;=0.5,CJ251=CI251),"4.RECENTES",IF(AND(CE251=0,CF251=0,CG251=0,CH251=0),"3.INATIVOS",IF(CJ251/RIGHT($CJ$1,2)&lt;0.5,"2.INTERMITENTES","1.ORDINÁRIOS"))))))))</f>
        <v>3.INATIVOS</v>
      </c>
      <c r="CN251" s="20" t="n">
        <f aca="false">IF(AND(CE251=1,CJ251=1,BT251&lt;&gt;""),BT251,IF(AND(CE251&lt;&gt;0,CE251/RIGHT($CE$1,1)&gt;=0.5,CJ251=CE251),MAX(BV251:CC251),IF(AND(CF251&lt;&gt;0,CF251/RIGHT($CF$1,1)&gt;=0.5,CJ251=CF251),MAX(BV251:CC251),IF(AND(CG251&lt;&gt;0,CG251/RIGHT($CG$1,2)&gt;=0.5,CJ251=CG251),MAX(BV251:CC251),IF(AND(CH251&lt;&gt;0,CH251/RIGHT($CH$1,2)&gt;=0.5,CJ251=CH251),MAX(BV251:CC251),IF(AND(CI251&lt;&gt;0,CI251/RIGHT($CI$1,2)&gt;=0.5,CJ251=CI251),MAX(BV251:CC251),IF(AND(CE251=0,CF251=0,CG251=0,CH251=0),0,IF(CJ251/RIGHT($CJ$1,2)&lt;0.5,ROUND(BU251/RIGHT($CJ$1,2),0),MAX(BV251:CC251)))))))))</f>
        <v>0</v>
      </c>
      <c r="CO251" s="20" t="n">
        <f aca="false">CN251*3</f>
        <v>0</v>
      </c>
      <c r="CP251" s="15" t="n">
        <v>0</v>
      </c>
      <c r="CQ251" s="16" t="n">
        <f aca="false">IF((CO251-CP251)&lt;0,0,(CO251-CP251))</f>
        <v>0</v>
      </c>
      <c r="CR251" s="7"/>
    </row>
    <row r="252" customFormat="false" ht="12.75" hidden="false" customHeight="true" outlineLevel="0" collapsed="false">
      <c r="A252" s="7" t="s">
        <v>273</v>
      </c>
      <c r="B252" s="7" t="s">
        <v>349</v>
      </c>
      <c r="C252" s="8" t="n">
        <v>12001002</v>
      </c>
      <c r="D252" s="9" t="n">
        <v>50</v>
      </c>
      <c r="E252" s="9" t="n">
        <v>40</v>
      </c>
      <c r="F252" s="9" t="n">
        <v>30</v>
      </c>
      <c r="G252" s="9"/>
      <c r="H252" s="9" t="n">
        <v>60</v>
      </c>
      <c r="I252" s="9"/>
      <c r="J252" s="9"/>
      <c r="K252" s="9"/>
      <c r="L252" s="9"/>
      <c r="M252" s="9"/>
      <c r="N252" s="9" t="n">
        <v>60</v>
      </c>
      <c r="O252" s="9" t="n">
        <v>30</v>
      </c>
      <c r="P252" s="9" t="n">
        <v>20</v>
      </c>
      <c r="Q252" s="9"/>
      <c r="R252" s="9" t="n">
        <v>20</v>
      </c>
      <c r="S252" s="9"/>
      <c r="T252" s="9" t="n">
        <v>30</v>
      </c>
      <c r="U252" s="9" t="n">
        <v>20</v>
      </c>
      <c r="V252" s="9" t="n">
        <v>20</v>
      </c>
      <c r="W252" s="9"/>
      <c r="X252" s="9"/>
      <c r="Y252" s="9"/>
      <c r="Z252" s="9"/>
      <c r="AA252" s="9" t="n">
        <v>80</v>
      </c>
      <c r="AB252" s="9" t="n">
        <v>50</v>
      </c>
      <c r="AC252" s="9" t="n">
        <v>40</v>
      </c>
      <c r="AD252" s="9" t="n">
        <v>40</v>
      </c>
      <c r="AE252" s="9" t="n">
        <v>40</v>
      </c>
      <c r="AF252" s="9" t="n">
        <v>20</v>
      </c>
      <c r="AG252" s="9" t="n">
        <v>20</v>
      </c>
      <c r="AH252" s="9" t="n">
        <v>10</v>
      </c>
      <c r="AI252" s="9"/>
      <c r="AJ252" s="9" t="n">
        <v>60</v>
      </c>
      <c r="AK252" s="9" t="n">
        <v>20</v>
      </c>
      <c r="AL252" s="9" t="n">
        <v>50</v>
      </c>
      <c r="AM252" s="9" t="n">
        <v>20</v>
      </c>
      <c r="AN252" s="9" t="n">
        <v>40</v>
      </c>
      <c r="AO252" s="9" t="n">
        <v>20</v>
      </c>
      <c r="AP252" s="9"/>
      <c r="AQ252" s="9" t="n">
        <v>80</v>
      </c>
      <c r="AR252" s="9" t="n">
        <v>90</v>
      </c>
      <c r="AS252" s="9" t="n">
        <v>20</v>
      </c>
      <c r="AT252" s="9"/>
      <c r="AU252" s="9"/>
      <c r="AV252" s="9" t="n">
        <v>110</v>
      </c>
      <c r="AW252" s="9" t="n">
        <v>30</v>
      </c>
      <c r="AX252" s="9" t="n">
        <v>80</v>
      </c>
      <c r="AY252" s="9" t="n">
        <v>30</v>
      </c>
      <c r="AZ252" s="9" t="n">
        <v>40</v>
      </c>
      <c r="BA252" s="9"/>
      <c r="BB252" s="9"/>
      <c r="BC252" s="9" t="n">
        <v>60</v>
      </c>
      <c r="BD252" s="9"/>
      <c r="BE252" s="9"/>
      <c r="BF252" s="9"/>
      <c r="BG252" s="9" t="n">
        <v>90</v>
      </c>
      <c r="BH252" s="9" t="n">
        <v>30</v>
      </c>
      <c r="BI252" s="9"/>
      <c r="BJ252" s="9"/>
      <c r="BK252" s="9"/>
      <c r="BL252" s="9"/>
      <c r="BM252" s="9"/>
      <c r="BN252" s="9"/>
      <c r="BO252" s="9"/>
      <c r="BP252" s="9"/>
      <c r="BQ252" s="9" t="n">
        <v>30</v>
      </c>
      <c r="BR252" s="9" t="n">
        <v>10</v>
      </c>
      <c r="BS252" s="9"/>
      <c r="BT252" s="9" t="n">
        <v>10</v>
      </c>
      <c r="BU252" s="10" t="n">
        <v>1600</v>
      </c>
      <c r="BV252" s="11" t="n">
        <f aca="false">IF(ISERROR(ROUND(MEDIAN(BQ252:BT252),0)),0,ROUND(MEDIAN(BQ252:BT252),0))</f>
        <v>10</v>
      </c>
      <c r="BW252" s="11" t="n">
        <f aca="false">IF(ISERROR(ROUND(MEDIAN(BM252:BT252),0)),0,ROUND(MEDIAN(BM252:BT252),0))</f>
        <v>10</v>
      </c>
      <c r="BX252" s="11" t="n">
        <f aca="false">IF(ISERROR(ROUND(MEDIAN(BI252:BT252),0)),0,ROUND(MEDIAN(BI252:BT252),0))</f>
        <v>10</v>
      </c>
      <c r="BY252" s="11" t="n">
        <f aca="false">IF(ISERROR(ROUND(MEDIAN(BE252:BT252),0)),0,ROUND(MEDIAN(BE252:BT252),0))</f>
        <v>30</v>
      </c>
      <c r="BZ252" s="11" t="n">
        <f aca="false">IF(ISERROR(ROUND(MEDIAN(AU252:BT252),0)),0,ROUND(MEDIAN(AU252:BT252),0))</f>
        <v>30</v>
      </c>
      <c r="CA252" s="12" t="n">
        <f aca="false">IF(ISERROR(ROUND(MEDIAN(U252:BT252),0)),0,ROUND(MEDIAN(U252:BT252),0))</f>
        <v>35</v>
      </c>
      <c r="CB252" s="12" t="n">
        <f aca="false">IF(ISERROR(ROUND(MEDIAN(BT252),0)),0,ROUND(MEDIAN(BT252),0))</f>
        <v>10</v>
      </c>
      <c r="CC252" s="12" t="n">
        <f aca="false">IF(ISERROR(ROUND(MEDIAN(D252:BT252),0)),0,ROUND(MEDIAN(D252:BT252),0))</f>
        <v>30</v>
      </c>
      <c r="CD252" s="12" t="n">
        <f aca="false">MAX(D252:BT252)</f>
        <v>110</v>
      </c>
      <c r="CE252" s="7" t="n">
        <f aca="false">COUNTA(BQ252:BT252)</f>
        <v>3</v>
      </c>
      <c r="CF252" s="7" t="n">
        <f aca="false">COUNTA(BM252:BT252)</f>
        <v>3</v>
      </c>
      <c r="CG252" s="7" t="n">
        <f aca="false">COUNTA(BI252:BT252)</f>
        <v>3</v>
      </c>
      <c r="CH252" s="7" t="n">
        <f aca="false">COUNTA(BE252:BT252)</f>
        <v>5</v>
      </c>
      <c r="CI252" s="7" t="n">
        <f aca="false">COUNTA(AU252:BT252)</f>
        <v>11</v>
      </c>
      <c r="CJ252" s="7" t="n">
        <f aca="false">COUNTA(U252:BT252)</f>
        <v>30</v>
      </c>
      <c r="CK252" s="7" t="n">
        <f aca="false">COUNTA(BT252)</f>
        <v>1</v>
      </c>
      <c r="CL252" s="7" t="n">
        <f aca="false">COUNTA(D252:BT252)</f>
        <v>39</v>
      </c>
      <c r="CM252" s="13" t="str">
        <f aca="false">IF(AND(CE252=1,CJ252=1,BT252&lt;&gt;""),"5.ENTRANTES",IF(AND(CE252&lt;&gt;0,CE252/RIGHT($CE$1,1)&gt;=0.5,CJ252=CE252),"4.RECENTES",IF(AND(CF252&lt;&gt;0,CF252/RIGHT($CF$1,1)&gt;=0.5,CJ252=CF252),"4.RECENTES",IF(AND(CG252&lt;&gt;0,CG252/RIGHT($CG$1,2)&gt;=0.5,CJ252=CG252),"4.RECENTES",IF(AND(CH252&lt;&gt;0,CH252/RIGHT($CH$1,2)&gt;=0.5,CJ252=CH252),"4.RECENTES",IF(AND(CI252&lt;&gt;0,CI252/RIGHT($CI$1,2)&gt;=0.5,CJ252=CI252),"4.RECENTES",IF(AND(CE252=0,CF252=0,CG252=0,CH252=0),"3.INATIVOS",IF(CJ252/RIGHT($CJ$1,2)&lt;0.5,"2.INTERMITENTES","1.ORDINÁRIOS"))))))))</f>
        <v>1.ORDINÁRIOS</v>
      </c>
      <c r="CN252" s="14" t="n">
        <f aca="false">IF(AND(CE252=1,CJ252=1,BT252&lt;&gt;""),BT252,IF(AND(CE252&lt;&gt;0,CE252/RIGHT($CE$1,1)&gt;=0.5,CJ252=CE252),MAX(BV252:CC252),IF(AND(CF252&lt;&gt;0,CF252/RIGHT($CF$1,1)&gt;=0.5,CJ252=CF252),MAX(BV252:CC252),IF(AND(CG252&lt;&gt;0,CG252/RIGHT($CG$1,2)&gt;=0.5,CJ252=CG252),MAX(BV252:CC252),IF(AND(CH252&lt;&gt;0,CH252/RIGHT($CH$1,2)&gt;=0.5,CJ252=CH252),MAX(BV252:CC252),IF(AND(CI252&lt;&gt;0,CI252/RIGHT($CI$1,2)&gt;=0.5,CJ252=CI252),MAX(BV252:CC252),IF(AND(CE252=0,CF252=0,CG252=0,CH252=0),0,IF(CJ252/RIGHT($CJ$1,2)&lt;0.5,ROUND(BU252/RIGHT($CJ$1,2),0),MAX(BV252:CC252)))))))))</f>
        <v>35</v>
      </c>
      <c r="CO252" s="14" t="n">
        <f aca="false">CN252*3</f>
        <v>105</v>
      </c>
      <c r="CP252" s="15" t="n">
        <v>210</v>
      </c>
      <c r="CQ252" s="16" t="n">
        <f aca="false">IF((CO252-CP252)&lt;0,0,(CO252-CP252))</f>
        <v>0</v>
      </c>
      <c r="CR252" s="7"/>
    </row>
    <row r="253" customFormat="false" ht="12.75" hidden="false" customHeight="true" outlineLevel="0" collapsed="false">
      <c r="A253" s="7" t="s">
        <v>273</v>
      </c>
      <c r="B253" s="7" t="s">
        <v>350</v>
      </c>
      <c r="C253" s="8" t="n">
        <v>21001107</v>
      </c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  <c r="BA253" s="9"/>
      <c r="BB253" s="9"/>
      <c r="BC253" s="9"/>
      <c r="BD253" s="9"/>
      <c r="BE253" s="9" t="n">
        <v>1</v>
      </c>
      <c r="BF253" s="9"/>
      <c r="BG253" s="9"/>
      <c r="BH253" s="9"/>
      <c r="BI253" s="9"/>
      <c r="BJ253" s="9"/>
      <c r="BK253" s="9"/>
      <c r="BL253" s="9"/>
      <c r="BM253" s="9"/>
      <c r="BN253" s="9"/>
      <c r="BO253" s="9"/>
      <c r="BP253" s="9"/>
      <c r="BQ253" s="9"/>
      <c r="BR253" s="9"/>
      <c r="BS253" s="9"/>
      <c r="BT253" s="9"/>
      <c r="BU253" s="10" t="n">
        <v>1</v>
      </c>
      <c r="BV253" s="11" t="n">
        <f aca="false">IF(ISERROR(ROUND(MEDIAN(BQ253:BT253),0)),0,ROUND(MEDIAN(BQ253:BT253),0))</f>
        <v>0</v>
      </c>
      <c r="BW253" s="11" t="n">
        <f aca="false">IF(ISERROR(ROUND(MEDIAN(BM253:BT253),0)),0,ROUND(MEDIAN(BM253:BT253),0))</f>
        <v>0</v>
      </c>
      <c r="BX253" s="11" t="n">
        <f aca="false">IF(ISERROR(ROUND(MEDIAN(BI253:BT253),0)),0,ROUND(MEDIAN(BI253:BT253),0))</f>
        <v>0</v>
      </c>
      <c r="BY253" s="11" t="n">
        <f aca="false">IF(ISERROR(ROUND(MEDIAN(BE253:BT253),0)),0,ROUND(MEDIAN(BE253:BT253),0))</f>
        <v>1</v>
      </c>
      <c r="BZ253" s="11" t="n">
        <f aca="false">IF(ISERROR(ROUND(MEDIAN(AU253:BT253),0)),0,ROUND(MEDIAN(AU253:BT253),0))</f>
        <v>1</v>
      </c>
      <c r="CA253" s="12" t="n">
        <f aca="false">IF(ISERROR(ROUND(MEDIAN(U253:BT253),0)),0,ROUND(MEDIAN(U253:BT253),0))</f>
        <v>1</v>
      </c>
      <c r="CB253" s="12" t="n">
        <f aca="false">IF(ISERROR(ROUND(MEDIAN(BT253),0)),0,ROUND(MEDIAN(BT253),0))</f>
        <v>0</v>
      </c>
      <c r="CC253" s="12" t="n">
        <f aca="false">IF(ISERROR(ROUND(MEDIAN(D253:BT253),0)),0,ROUND(MEDIAN(D253:BT253),0))</f>
        <v>1</v>
      </c>
      <c r="CD253" s="12" t="n">
        <f aca="false">MAX(D253:BT253)</f>
        <v>1</v>
      </c>
      <c r="CE253" s="7" t="n">
        <f aca="false">COUNTA(BQ253:BT253)</f>
        <v>0</v>
      </c>
      <c r="CF253" s="7" t="n">
        <f aca="false">COUNTA(BM253:BT253)</f>
        <v>0</v>
      </c>
      <c r="CG253" s="7" t="n">
        <f aca="false">COUNTA(BI253:BT253)</f>
        <v>0</v>
      </c>
      <c r="CH253" s="7" t="n">
        <f aca="false">COUNTA(BE253:BT253)</f>
        <v>1</v>
      </c>
      <c r="CI253" s="7" t="n">
        <f aca="false">COUNTA(AU253:BT253)</f>
        <v>1</v>
      </c>
      <c r="CJ253" s="7" t="n">
        <f aca="false">COUNTA(U253:BT253)</f>
        <v>1</v>
      </c>
      <c r="CK253" s="7" t="n">
        <f aca="false">COUNTA(BT253)</f>
        <v>0</v>
      </c>
      <c r="CL253" s="7" t="n">
        <f aca="false">COUNTA(D253:BT253)</f>
        <v>1</v>
      </c>
      <c r="CM253" s="17" t="str">
        <f aca="false">IF(AND(CE253=1,CJ253=1,BT253&lt;&gt;""),"5.ENTRANTES",IF(AND(CE253&lt;&gt;0,CE253/RIGHT($CE$1,1)&gt;=0.5,CJ253=CE253),"4.RECENTES",IF(AND(CF253&lt;&gt;0,CF253/RIGHT($CF$1,1)&gt;=0.5,CJ253=CF253),"4.RECENTES",IF(AND(CG253&lt;&gt;0,CG253/RIGHT($CG$1,2)&gt;=0.5,CJ253=CG253),"4.RECENTES",IF(AND(CH253&lt;&gt;0,CH253/RIGHT($CH$1,2)&gt;=0.5,CJ253=CH253),"4.RECENTES",IF(AND(CI253&lt;&gt;0,CI253/RIGHT($CI$1,2)&gt;=0.5,CJ253=CI253),"4.RECENTES",IF(AND(CE253=0,CF253=0,CG253=0,CH253=0),"3.INATIVOS",IF(CJ253/RIGHT($CJ$1,2)&lt;0.5,"2.INTERMITENTES","1.ORDINÁRIOS"))))))))</f>
        <v>2.INTERMITENTES</v>
      </c>
      <c r="CN253" s="18" t="n">
        <f aca="false">IF(AND(CE253=1,CJ253=1,BT253&lt;&gt;""),BT253,IF(AND(CE253&lt;&gt;0,CE253/RIGHT($CE$1,1)&gt;=0.5,CJ253=CE253),MAX(BV253:CC253),IF(AND(CF253&lt;&gt;0,CF253/RIGHT($CF$1,1)&gt;=0.5,CJ253=CF253),MAX(BV253:CC253),IF(AND(CG253&lt;&gt;0,CG253/RIGHT($CG$1,2)&gt;=0.5,CJ253=CG253),MAX(BV253:CC253),IF(AND(CH253&lt;&gt;0,CH253/RIGHT($CH$1,2)&gt;=0.5,CJ253=CH253),MAX(BV253:CC253),IF(AND(CI253&lt;&gt;0,CI253/RIGHT($CI$1,2)&gt;=0.5,CJ253=CI253),MAX(BV253:CC253),IF(AND(CE253=0,CF253=0,CG253=0,CH253=0),0,IF(CJ253/RIGHT($CJ$1,2)&lt;0.5,ROUND(BU253/RIGHT($CJ$1,2),0),MAX(BV253:CC253)))))))))</f>
        <v>0</v>
      </c>
      <c r="CO253" s="18" t="n">
        <f aca="false">CD253</f>
        <v>1</v>
      </c>
      <c r="CP253" s="15" t="n">
        <v>0</v>
      </c>
      <c r="CQ253" s="16" t="n">
        <f aca="false">IF((CO253-CP253)&lt;0,0,(CO253-CP253))</f>
        <v>1</v>
      </c>
      <c r="CR253" s="7"/>
    </row>
    <row r="254" customFormat="false" ht="12.75" hidden="false" customHeight="true" outlineLevel="0" collapsed="false">
      <c r="A254" s="7" t="s">
        <v>273</v>
      </c>
      <c r="B254" s="7" t="s">
        <v>351</v>
      </c>
      <c r="C254" s="8" t="n">
        <v>12001004</v>
      </c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 t="n">
        <v>28</v>
      </c>
      <c r="AV254" s="9"/>
      <c r="AW254" s="9"/>
      <c r="AX254" s="9"/>
      <c r="AY254" s="9"/>
      <c r="AZ254" s="9"/>
      <c r="BA254" s="9"/>
      <c r="BB254" s="9"/>
      <c r="BC254" s="9"/>
      <c r="BD254" s="9"/>
      <c r="BE254" s="9"/>
      <c r="BF254" s="9"/>
      <c r="BG254" s="9"/>
      <c r="BH254" s="9"/>
      <c r="BI254" s="9"/>
      <c r="BJ254" s="9"/>
      <c r="BK254" s="9"/>
      <c r="BL254" s="9"/>
      <c r="BM254" s="9"/>
      <c r="BN254" s="9"/>
      <c r="BO254" s="9"/>
      <c r="BP254" s="9"/>
      <c r="BQ254" s="9"/>
      <c r="BR254" s="9"/>
      <c r="BS254" s="9"/>
      <c r="BT254" s="9"/>
      <c r="BU254" s="10" t="n">
        <v>28</v>
      </c>
      <c r="BV254" s="11" t="n">
        <f aca="false">IF(ISERROR(ROUND(MEDIAN(BQ254:BT254),0)),0,ROUND(MEDIAN(BQ254:BT254),0))</f>
        <v>0</v>
      </c>
      <c r="BW254" s="11" t="n">
        <f aca="false">IF(ISERROR(ROUND(MEDIAN(BM254:BT254),0)),0,ROUND(MEDIAN(BM254:BT254),0))</f>
        <v>0</v>
      </c>
      <c r="BX254" s="11" t="n">
        <f aca="false">IF(ISERROR(ROUND(MEDIAN(BI254:BT254),0)),0,ROUND(MEDIAN(BI254:BT254),0))</f>
        <v>0</v>
      </c>
      <c r="BY254" s="11" t="n">
        <f aca="false">IF(ISERROR(ROUND(MEDIAN(BE254:BT254),0)),0,ROUND(MEDIAN(BE254:BT254),0))</f>
        <v>0</v>
      </c>
      <c r="BZ254" s="11" t="n">
        <f aca="false">IF(ISERROR(ROUND(MEDIAN(AU254:BT254),0)),0,ROUND(MEDIAN(AU254:BT254),0))</f>
        <v>28</v>
      </c>
      <c r="CA254" s="12" t="n">
        <f aca="false">IF(ISERROR(ROUND(MEDIAN(U254:BT254),0)),0,ROUND(MEDIAN(U254:BT254),0))</f>
        <v>28</v>
      </c>
      <c r="CB254" s="12" t="n">
        <f aca="false">IF(ISERROR(ROUND(MEDIAN(BT254),0)),0,ROUND(MEDIAN(BT254),0))</f>
        <v>0</v>
      </c>
      <c r="CC254" s="12" t="n">
        <f aca="false">IF(ISERROR(ROUND(MEDIAN(D254:BT254),0)),0,ROUND(MEDIAN(D254:BT254),0))</f>
        <v>28</v>
      </c>
      <c r="CD254" s="12" t="n">
        <f aca="false">MAX(D254:BT254)</f>
        <v>28</v>
      </c>
      <c r="CE254" s="7" t="n">
        <f aca="false">COUNTA(BQ254:BT254)</f>
        <v>0</v>
      </c>
      <c r="CF254" s="7" t="n">
        <f aca="false">COUNTA(BM254:BT254)</f>
        <v>0</v>
      </c>
      <c r="CG254" s="7" t="n">
        <f aca="false">COUNTA(BI254:BT254)</f>
        <v>0</v>
      </c>
      <c r="CH254" s="7" t="n">
        <f aca="false">COUNTA(BE254:BT254)</f>
        <v>0</v>
      </c>
      <c r="CI254" s="7" t="n">
        <f aca="false">COUNTA(AU254:BT254)</f>
        <v>1</v>
      </c>
      <c r="CJ254" s="7" t="n">
        <f aca="false">COUNTA(U254:BT254)</f>
        <v>1</v>
      </c>
      <c r="CK254" s="7" t="n">
        <f aca="false">COUNTA(BT254)</f>
        <v>0</v>
      </c>
      <c r="CL254" s="7" t="n">
        <f aca="false">COUNTA(D254:BT254)</f>
        <v>1</v>
      </c>
      <c r="CM254" s="19" t="str">
        <f aca="false">IF(AND(CE254=1,CJ254=1,BT254&lt;&gt;""),"5.ENTRANTES",IF(AND(CE254&lt;&gt;0,CE254/RIGHT($CE$1,1)&gt;=0.5,CJ254=CE254),"4.RECENTES",IF(AND(CF254&lt;&gt;0,CF254/RIGHT($CF$1,1)&gt;=0.5,CJ254=CF254),"4.RECENTES",IF(AND(CG254&lt;&gt;0,CG254/RIGHT($CG$1,2)&gt;=0.5,CJ254=CG254),"4.RECENTES",IF(AND(CH254&lt;&gt;0,CH254/RIGHT($CH$1,2)&gt;=0.5,CJ254=CH254),"4.RECENTES",IF(AND(CI254&lt;&gt;0,CI254/RIGHT($CI$1,2)&gt;=0.5,CJ254=CI254),"4.RECENTES",IF(AND(CE254=0,CF254=0,CG254=0,CH254=0),"3.INATIVOS",IF(CJ254/RIGHT($CJ$1,2)&lt;0.5,"2.INTERMITENTES","1.ORDINÁRIOS"))))))))</f>
        <v>3.INATIVOS</v>
      </c>
      <c r="CN254" s="20" t="n">
        <f aca="false">IF(AND(CE254=1,CJ254=1,BT254&lt;&gt;""),BT254,IF(AND(CE254&lt;&gt;0,CE254/RIGHT($CE$1,1)&gt;=0.5,CJ254=CE254),MAX(BV254:CC254),IF(AND(CF254&lt;&gt;0,CF254/RIGHT($CF$1,1)&gt;=0.5,CJ254=CF254),MAX(BV254:CC254),IF(AND(CG254&lt;&gt;0,CG254/RIGHT($CG$1,2)&gt;=0.5,CJ254=CG254),MAX(BV254:CC254),IF(AND(CH254&lt;&gt;0,CH254/RIGHT($CH$1,2)&gt;=0.5,CJ254=CH254),MAX(BV254:CC254),IF(AND(CI254&lt;&gt;0,CI254/RIGHT($CI$1,2)&gt;=0.5,CJ254=CI254),MAX(BV254:CC254),IF(AND(CE254=0,CF254=0,CG254=0,CH254=0),0,IF(CJ254/RIGHT($CJ$1,2)&lt;0.5,ROUND(BU254/RIGHT($CJ$1,2),0),MAX(BV254:CC254)))))))))</f>
        <v>0</v>
      </c>
      <c r="CO254" s="20" t="n">
        <f aca="false">CN254*3</f>
        <v>0</v>
      </c>
      <c r="CP254" s="15" t="n">
        <v>0</v>
      </c>
      <c r="CQ254" s="16" t="n">
        <f aca="false">IF((CO254-CP254)&lt;0,0,(CO254-CP254))</f>
        <v>0</v>
      </c>
      <c r="CR254" s="7"/>
    </row>
    <row r="255" customFormat="false" ht="12.75" hidden="false" customHeight="true" outlineLevel="0" collapsed="false">
      <c r="A255" s="7" t="s">
        <v>273</v>
      </c>
      <c r="B255" s="7" t="s">
        <v>352</v>
      </c>
      <c r="C255" s="8" t="n">
        <v>21001074</v>
      </c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 t="n">
        <v>28</v>
      </c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 t="n">
        <v>28</v>
      </c>
      <c r="AO255" s="9"/>
      <c r="AP255" s="9"/>
      <c r="AQ255" s="9"/>
      <c r="AR255" s="9"/>
      <c r="AS255" s="9"/>
      <c r="AT255" s="9"/>
      <c r="AU255" s="9"/>
      <c r="AV255" s="9" t="n">
        <v>30</v>
      </c>
      <c r="AW255" s="9"/>
      <c r="AX255" s="9"/>
      <c r="AY255" s="9"/>
      <c r="AZ255" s="9"/>
      <c r="BA255" s="9" t="n">
        <v>58</v>
      </c>
      <c r="BB255" s="9"/>
      <c r="BC255" s="9"/>
      <c r="BD255" s="9"/>
      <c r="BE255" s="9" t="n">
        <v>30</v>
      </c>
      <c r="BF255" s="9" t="n">
        <v>28</v>
      </c>
      <c r="BG255" s="9"/>
      <c r="BH255" s="9"/>
      <c r="BI255" s="9"/>
      <c r="BJ255" s="9"/>
      <c r="BK255" s="9" t="n">
        <v>30</v>
      </c>
      <c r="BL255" s="9"/>
      <c r="BM255" s="9"/>
      <c r="BN255" s="9"/>
      <c r="BO255" s="9"/>
      <c r="BP255" s="9"/>
      <c r="BQ255" s="9"/>
      <c r="BR255" s="9"/>
      <c r="BS255" s="9" t="n">
        <v>30</v>
      </c>
      <c r="BT255" s="9"/>
      <c r="BU255" s="10" t="n">
        <v>262</v>
      </c>
      <c r="BV255" s="11" t="n">
        <f aca="false">IF(ISERROR(ROUND(MEDIAN(BQ255:BT255),0)),0,ROUND(MEDIAN(BQ255:BT255),0))</f>
        <v>30</v>
      </c>
      <c r="BW255" s="11" t="n">
        <f aca="false">IF(ISERROR(ROUND(MEDIAN(BM255:BT255),0)),0,ROUND(MEDIAN(BM255:BT255),0))</f>
        <v>30</v>
      </c>
      <c r="BX255" s="11" t="n">
        <f aca="false">IF(ISERROR(ROUND(MEDIAN(BI255:BT255),0)),0,ROUND(MEDIAN(BI255:BT255),0))</f>
        <v>30</v>
      </c>
      <c r="BY255" s="11" t="n">
        <f aca="false">IF(ISERROR(ROUND(MEDIAN(BE255:BT255),0)),0,ROUND(MEDIAN(BE255:BT255),0))</f>
        <v>30</v>
      </c>
      <c r="BZ255" s="11" t="n">
        <f aca="false">IF(ISERROR(ROUND(MEDIAN(AU255:BT255),0)),0,ROUND(MEDIAN(AU255:BT255),0))</f>
        <v>30</v>
      </c>
      <c r="CA255" s="12" t="n">
        <f aca="false">IF(ISERROR(ROUND(MEDIAN(U255:BT255),0)),0,ROUND(MEDIAN(U255:BT255),0))</f>
        <v>30</v>
      </c>
      <c r="CB255" s="12" t="n">
        <f aca="false">IF(ISERROR(ROUND(MEDIAN(BT255),0)),0,ROUND(MEDIAN(BT255),0))</f>
        <v>0</v>
      </c>
      <c r="CC255" s="12" t="n">
        <f aca="false">IF(ISERROR(ROUND(MEDIAN(D255:BT255),0)),0,ROUND(MEDIAN(D255:BT255),0))</f>
        <v>30</v>
      </c>
      <c r="CD255" s="12" t="n">
        <f aca="false">MAX(D255:BT255)</f>
        <v>58</v>
      </c>
      <c r="CE255" s="7" t="n">
        <f aca="false">COUNTA(BQ255:BT255)</f>
        <v>1</v>
      </c>
      <c r="CF255" s="7" t="n">
        <f aca="false">COUNTA(BM255:BT255)</f>
        <v>1</v>
      </c>
      <c r="CG255" s="7" t="n">
        <f aca="false">COUNTA(BI255:BT255)</f>
        <v>2</v>
      </c>
      <c r="CH255" s="7" t="n">
        <f aca="false">COUNTA(BE255:BT255)</f>
        <v>4</v>
      </c>
      <c r="CI255" s="7" t="n">
        <f aca="false">COUNTA(AU255:BT255)</f>
        <v>6</v>
      </c>
      <c r="CJ255" s="7" t="n">
        <f aca="false">COUNTA(U255:BT255)</f>
        <v>7</v>
      </c>
      <c r="CK255" s="7" t="n">
        <f aca="false">COUNTA(BT255)</f>
        <v>0</v>
      </c>
      <c r="CL255" s="7" t="n">
        <f aca="false">COUNTA(D255:BT255)</f>
        <v>8</v>
      </c>
      <c r="CM255" s="17" t="str">
        <f aca="false">IF(AND(CE255=1,CJ255=1,BT255&lt;&gt;""),"5.ENTRANTES",IF(AND(CE255&lt;&gt;0,CE255/RIGHT($CE$1,1)&gt;=0.5,CJ255=CE255),"4.RECENTES",IF(AND(CF255&lt;&gt;0,CF255/RIGHT($CF$1,1)&gt;=0.5,CJ255=CF255),"4.RECENTES",IF(AND(CG255&lt;&gt;0,CG255/RIGHT($CG$1,2)&gt;=0.5,CJ255=CG255),"4.RECENTES",IF(AND(CH255&lt;&gt;0,CH255/RIGHT($CH$1,2)&gt;=0.5,CJ255=CH255),"4.RECENTES",IF(AND(CI255&lt;&gt;0,CI255/RIGHT($CI$1,2)&gt;=0.5,CJ255=CI255),"4.RECENTES",IF(AND(CE255=0,CF255=0,CG255=0,CH255=0),"3.INATIVOS",IF(CJ255/RIGHT($CJ$1,2)&lt;0.5,"2.INTERMITENTES","1.ORDINÁRIOS"))))))))</f>
        <v>2.INTERMITENTES</v>
      </c>
      <c r="CN255" s="18" t="n">
        <f aca="false">IF(AND(CE255=1,CJ255=1,BT255&lt;&gt;""),BT255,IF(AND(CE255&lt;&gt;0,CE255/RIGHT($CE$1,1)&gt;=0.5,CJ255=CE255),MAX(BV255:CC255),IF(AND(CF255&lt;&gt;0,CF255/RIGHT($CF$1,1)&gt;=0.5,CJ255=CF255),MAX(BV255:CC255),IF(AND(CG255&lt;&gt;0,CG255/RIGHT($CG$1,2)&gt;=0.5,CJ255=CG255),MAX(BV255:CC255),IF(AND(CH255&lt;&gt;0,CH255/RIGHT($CH$1,2)&gt;=0.5,CJ255=CH255),MAX(BV255:CC255),IF(AND(CI255&lt;&gt;0,CI255/RIGHT($CI$1,2)&gt;=0.5,CJ255=CI255),MAX(BV255:CC255),IF(AND(CE255=0,CF255=0,CG255=0,CH255=0),0,IF(CJ255/RIGHT($CJ$1,2)&lt;0.5,ROUND(BU255/RIGHT($CJ$1,2),0),MAX(BV255:CC255)))))))))</f>
        <v>5</v>
      </c>
      <c r="CO255" s="18" t="n">
        <f aca="false">CD255</f>
        <v>58</v>
      </c>
      <c r="CP255" s="15" t="n">
        <v>30</v>
      </c>
      <c r="CQ255" s="16" t="n">
        <f aca="false">IF((CO255-CP255)&lt;0,0,(CO255-CP255))</f>
        <v>28</v>
      </c>
      <c r="CR255" s="7"/>
    </row>
    <row r="256" customFormat="false" ht="12.75" hidden="false" customHeight="true" outlineLevel="0" collapsed="false">
      <c r="A256" s="7" t="s">
        <v>273</v>
      </c>
      <c r="B256" s="7" t="s">
        <v>353</v>
      </c>
      <c r="C256" s="8" t="n">
        <v>30001001</v>
      </c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 t="n">
        <v>30</v>
      </c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  <c r="BA256" s="9"/>
      <c r="BB256" s="9"/>
      <c r="BC256" s="9"/>
      <c r="BD256" s="9"/>
      <c r="BE256" s="9"/>
      <c r="BF256" s="9"/>
      <c r="BG256" s="9"/>
      <c r="BH256" s="9"/>
      <c r="BI256" s="9"/>
      <c r="BJ256" s="9"/>
      <c r="BK256" s="9"/>
      <c r="BL256" s="9"/>
      <c r="BM256" s="9"/>
      <c r="BN256" s="9"/>
      <c r="BO256" s="9"/>
      <c r="BP256" s="9"/>
      <c r="BQ256" s="9"/>
      <c r="BR256" s="9"/>
      <c r="BS256" s="9"/>
      <c r="BT256" s="9"/>
      <c r="BU256" s="10" t="n">
        <v>30</v>
      </c>
      <c r="BV256" s="11" t="n">
        <f aca="false">IF(ISERROR(ROUND(MEDIAN(BQ256:BT256),0)),0,ROUND(MEDIAN(BQ256:BT256),0))</f>
        <v>0</v>
      </c>
      <c r="BW256" s="11" t="n">
        <f aca="false">IF(ISERROR(ROUND(MEDIAN(BM256:BT256),0)),0,ROUND(MEDIAN(BM256:BT256),0))</f>
        <v>0</v>
      </c>
      <c r="BX256" s="11" t="n">
        <f aca="false">IF(ISERROR(ROUND(MEDIAN(BI256:BT256),0)),0,ROUND(MEDIAN(BI256:BT256),0))</f>
        <v>0</v>
      </c>
      <c r="BY256" s="11" t="n">
        <f aca="false">IF(ISERROR(ROUND(MEDIAN(BE256:BT256),0)),0,ROUND(MEDIAN(BE256:BT256),0))</f>
        <v>0</v>
      </c>
      <c r="BZ256" s="11" t="n">
        <f aca="false">IF(ISERROR(ROUND(MEDIAN(AU256:BT256),0)),0,ROUND(MEDIAN(AU256:BT256),0))</f>
        <v>0</v>
      </c>
      <c r="CA256" s="12" t="n">
        <f aca="false">IF(ISERROR(ROUND(MEDIAN(U256:BT256),0)),0,ROUND(MEDIAN(U256:BT256),0))</f>
        <v>30</v>
      </c>
      <c r="CB256" s="12" t="n">
        <f aca="false">IF(ISERROR(ROUND(MEDIAN(BT256),0)),0,ROUND(MEDIAN(BT256),0))</f>
        <v>0</v>
      </c>
      <c r="CC256" s="12" t="n">
        <f aca="false">IF(ISERROR(ROUND(MEDIAN(D256:BT256),0)),0,ROUND(MEDIAN(D256:BT256),0))</f>
        <v>30</v>
      </c>
      <c r="CD256" s="12" t="n">
        <f aca="false">MAX(D256:BT256)</f>
        <v>30</v>
      </c>
      <c r="CE256" s="7" t="n">
        <f aca="false">COUNTA(BQ256:BT256)</f>
        <v>0</v>
      </c>
      <c r="CF256" s="7" t="n">
        <f aca="false">COUNTA(BM256:BT256)</f>
        <v>0</v>
      </c>
      <c r="CG256" s="7" t="n">
        <f aca="false">COUNTA(BI256:BT256)</f>
        <v>0</v>
      </c>
      <c r="CH256" s="7" t="n">
        <f aca="false">COUNTA(BE256:BT256)</f>
        <v>0</v>
      </c>
      <c r="CI256" s="7" t="n">
        <f aca="false">COUNTA(AU256:BT256)</f>
        <v>0</v>
      </c>
      <c r="CJ256" s="7" t="n">
        <f aca="false">COUNTA(U256:BT256)</f>
        <v>1</v>
      </c>
      <c r="CK256" s="7" t="n">
        <f aca="false">COUNTA(BT256)</f>
        <v>0</v>
      </c>
      <c r="CL256" s="7" t="n">
        <f aca="false">COUNTA(D256:BT256)</f>
        <v>1</v>
      </c>
      <c r="CM256" s="19" t="str">
        <f aca="false">IF(AND(CE256=1,CJ256=1,BT256&lt;&gt;""),"5.ENTRANTES",IF(AND(CE256&lt;&gt;0,CE256/RIGHT($CE$1,1)&gt;=0.5,CJ256=CE256),"4.RECENTES",IF(AND(CF256&lt;&gt;0,CF256/RIGHT($CF$1,1)&gt;=0.5,CJ256=CF256),"4.RECENTES",IF(AND(CG256&lt;&gt;0,CG256/RIGHT($CG$1,2)&gt;=0.5,CJ256=CG256),"4.RECENTES",IF(AND(CH256&lt;&gt;0,CH256/RIGHT($CH$1,2)&gt;=0.5,CJ256=CH256),"4.RECENTES",IF(AND(CI256&lt;&gt;0,CI256/RIGHT($CI$1,2)&gt;=0.5,CJ256=CI256),"4.RECENTES",IF(AND(CE256=0,CF256=0,CG256=0,CH256=0),"3.INATIVOS",IF(CJ256/RIGHT($CJ$1,2)&lt;0.5,"2.INTERMITENTES","1.ORDINÁRIOS"))))))))</f>
        <v>3.INATIVOS</v>
      </c>
      <c r="CN256" s="20" t="n">
        <f aca="false">IF(AND(CE256=1,CJ256=1,BT256&lt;&gt;""),BT256,IF(AND(CE256&lt;&gt;0,CE256/RIGHT($CE$1,1)&gt;=0.5,CJ256=CE256),MAX(BV256:CC256),IF(AND(CF256&lt;&gt;0,CF256/RIGHT($CF$1,1)&gt;=0.5,CJ256=CF256),MAX(BV256:CC256),IF(AND(CG256&lt;&gt;0,CG256/RIGHT($CG$1,2)&gt;=0.5,CJ256=CG256),MAX(BV256:CC256),IF(AND(CH256&lt;&gt;0,CH256/RIGHT($CH$1,2)&gt;=0.5,CJ256=CH256),MAX(BV256:CC256),IF(AND(CI256&lt;&gt;0,CI256/RIGHT($CI$1,2)&gt;=0.5,CJ256=CI256),MAX(BV256:CC256),IF(AND(CE256=0,CF256=0,CG256=0,CH256=0),0,IF(CJ256/RIGHT($CJ$1,2)&lt;0.5,ROUND(BU256/RIGHT($CJ$1,2),0),MAX(BV256:CC256)))))))))</f>
        <v>0</v>
      </c>
      <c r="CO256" s="20" t="n">
        <f aca="false">CN256*3</f>
        <v>0</v>
      </c>
      <c r="CP256" s="15" t="n">
        <v>0</v>
      </c>
      <c r="CQ256" s="16" t="n">
        <f aca="false">IF((CO256-CP256)&lt;0,0,(CO256-CP256))</f>
        <v>0</v>
      </c>
      <c r="CR256" s="7"/>
    </row>
    <row r="257" customFormat="false" ht="12.75" hidden="false" customHeight="true" outlineLevel="0" collapsed="false">
      <c r="A257" s="7" t="s">
        <v>273</v>
      </c>
      <c r="B257" s="7" t="s">
        <v>354</v>
      </c>
      <c r="C257" s="8" t="n">
        <v>5000082</v>
      </c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  <c r="BA257" s="9"/>
      <c r="BB257" s="9" t="n">
        <v>30</v>
      </c>
      <c r="BC257" s="9"/>
      <c r="BD257" s="9"/>
      <c r="BE257" s="9"/>
      <c r="BF257" s="9"/>
      <c r="BG257" s="9"/>
      <c r="BH257" s="9"/>
      <c r="BI257" s="9"/>
      <c r="BJ257" s="9"/>
      <c r="BK257" s="9"/>
      <c r="BL257" s="9"/>
      <c r="BM257" s="9"/>
      <c r="BN257" s="9"/>
      <c r="BO257" s="9"/>
      <c r="BP257" s="9"/>
      <c r="BQ257" s="9"/>
      <c r="BR257" s="9"/>
      <c r="BS257" s="9"/>
      <c r="BT257" s="9"/>
      <c r="BU257" s="10" t="n">
        <v>30</v>
      </c>
      <c r="BV257" s="11" t="n">
        <f aca="false">IF(ISERROR(ROUND(MEDIAN(BQ257:BT257),0)),0,ROUND(MEDIAN(BQ257:BT257),0))</f>
        <v>0</v>
      </c>
      <c r="BW257" s="11" t="n">
        <f aca="false">IF(ISERROR(ROUND(MEDIAN(BM257:BT257),0)),0,ROUND(MEDIAN(BM257:BT257),0))</f>
        <v>0</v>
      </c>
      <c r="BX257" s="11" t="n">
        <f aca="false">IF(ISERROR(ROUND(MEDIAN(BI257:BT257),0)),0,ROUND(MEDIAN(BI257:BT257),0))</f>
        <v>0</v>
      </c>
      <c r="BY257" s="11" t="n">
        <f aca="false">IF(ISERROR(ROUND(MEDIAN(BE257:BT257),0)),0,ROUND(MEDIAN(BE257:BT257),0))</f>
        <v>0</v>
      </c>
      <c r="BZ257" s="11" t="n">
        <f aca="false">IF(ISERROR(ROUND(MEDIAN(AU257:BT257),0)),0,ROUND(MEDIAN(AU257:BT257),0))</f>
        <v>30</v>
      </c>
      <c r="CA257" s="12" t="n">
        <f aca="false">IF(ISERROR(ROUND(MEDIAN(U257:BT257),0)),0,ROUND(MEDIAN(U257:BT257),0))</f>
        <v>30</v>
      </c>
      <c r="CB257" s="12" t="n">
        <f aca="false">IF(ISERROR(ROUND(MEDIAN(BT257),0)),0,ROUND(MEDIAN(BT257),0))</f>
        <v>0</v>
      </c>
      <c r="CC257" s="12" t="n">
        <f aca="false">IF(ISERROR(ROUND(MEDIAN(D257:BT257),0)),0,ROUND(MEDIAN(D257:BT257),0))</f>
        <v>30</v>
      </c>
      <c r="CD257" s="12" t="n">
        <f aca="false">MAX(D257:BT257)</f>
        <v>30</v>
      </c>
      <c r="CE257" s="7" t="n">
        <f aca="false">COUNTA(BQ257:BT257)</f>
        <v>0</v>
      </c>
      <c r="CF257" s="7" t="n">
        <f aca="false">COUNTA(BM257:BT257)</f>
        <v>0</v>
      </c>
      <c r="CG257" s="7" t="n">
        <f aca="false">COUNTA(BI257:BT257)</f>
        <v>0</v>
      </c>
      <c r="CH257" s="7" t="n">
        <f aca="false">COUNTA(BE257:BT257)</f>
        <v>0</v>
      </c>
      <c r="CI257" s="7" t="n">
        <f aca="false">COUNTA(AU257:BT257)</f>
        <v>1</v>
      </c>
      <c r="CJ257" s="7" t="n">
        <f aca="false">COUNTA(U257:BT257)</f>
        <v>1</v>
      </c>
      <c r="CK257" s="7" t="n">
        <f aca="false">COUNTA(BT257)</f>
        <v>0</v>
      </c>
      <c r="CL257" s="7" t="n">
        <f aca="false">COUNTA(D257:BT257)</f>
        <v>1</v>
      </c>
      <c r="CM257" s="19" t="str">
        <f aca="false">IF(AND(CE257=1,CJ257=1,BT257&lt;&gt;""),"5.ENTRANTES",IF(AND(CE257&lt;&gt;0,CE257/RIGHT($CE$1,1)&gt;=0.5,CJ257=CE257),"4.RECENTES",IF(AND(CF257&lt;&gt;0,CF257/RIGHT($CF$1,1)&gt;=0.5,CJ257=CF257),"4.RECENTES",IF(AND(CG257&lt;&gt;0,CG257/RIGHT($CG$1,2)&gt;=0.5,CJ257=CG257),"4.RECENTES",IF(AND(CH257&lt;&gt;0,CH257/RIGHT($CH$1,2)&gt;=0.5,CJ257=CH257),"4.RECENTES",IF(AND(CI257&lt;&gt;0,CI257/RIGHT($CI$1,2)&gt;=0.5,CJ257=CI257),"4.RECENTES",IF(AND(CE257=0,CF257=0,CG257=0,CH257=0),"3.INATIVOS",IF(CJ257/RIGHT($CJ$1,2)&lt;0.5,"2.INTERMITENTES","1.ORDINÁRIOS"))))))))</f>
        <v>3.INATIVOS</v>
      </c>
      <c r="CN257" s="20" t="n">
        <f aca="false">IF(AND(CE257=1,CJ257=1,BT257&lt;&gt;""),BT257,IF(AND(CE257&lt;&gt;0,CE257/RIGHT($CE$1,1)&gt;=0.5,CJ257=CE257),MAX(BV257:CC257),IF(AND(CF257&lt;&gt;0,CF257/RIGHT($CF$1,1)&gt;=0.5,CJ257=CF257),MAX(BV257:CC257),IF(AND(CG257&lt;&gt;0,CG257/RIGHT($CG$1,2)&gt;=0.5,CJ257=CG257),MAX(BV257:CC257),IF(AND(CH257&lt;&gt;0,CH257/RIGHT($CH$1,2)&gt;=0.5,CJ257=CH257),MAX(BV257:CC257),IF(AND(CI257&lt;&gt;0,CI257/RIGHT($CI$1,2)&gt;=0.5,CJ257=CI257),MAX(BV257:CC257),IF(AND(CE257=0,CF257=0,CG257=0,CH257=0),0,IF(CJ257/RIGHT($CJ$1,2)&lt;0.5,ROUND(BU257/RIGHT($CJ$1,2),0),MAX(BV257:CC257)))))))))</f>
        <v>0</v>
      </c>
      <c r="CO257" s="20" t="n">
        <f aca="false">CN257*3</f>
        <v>0</v>
      </c>
      <c r="CP257" s="15" t="n">
        <v>0</v>
      </c>
      <c r="CQ257" s="16" t="n">
        <f aca="false">IF((CO257-CP257)&lt;0,0,(CO257-CP257))</f>
        <v>0</v>
      </c>
      <c r="CR257" s="7"/>
    </row>
    <row r="258" customFormat="false" ht="12.75" hidden="false" customHeight="true" outlineLevel="0" collapsed="false">
      <c r="A258" s="7" t="s">
        <v>273</v>
      </c>
      <c r="B258" s="7" t="s">
        <v>355</v>
      </c>
      <c r="C258" s="8" t="n">
        <v>5000064</v>
      </c>
      <c r="D258" s="9"/>
      <c r="E258" s="9" t="n">
        <v>60</v>
      </c>
      <c r="F258" s="9"/>
      <c r="G258" s="9"/>
      <c r="H258" s="9" t="n">
        <v>60</v>
      </c>
      <c r="I258" s="9"/>
      <c r="J258" s="9"/>
      <c r="K258" s="9" t="n">
        <v>150</v>
      </c>
      <c r="L258" s="9" t="n">
        <v>30</v>
      </c>
      <c r="M258" s="9"/>
      <c r="N258" s="9"/>
      <c r="O258" s="9"/>
      <c r="P258" s="9" t="n">
        <v>90</v>
      </c>
      <c r="Q258" s="9"/>
      <c r="R258" s="9" t="n">
        <v>90</v>
      </c>
      <c r="S258" s="9"/>
      <c r="T258" s="9"/>
      <c r="U258" s="9" t="n">
        <v>90</v>
      </c>
      <c r="V258" s="9" t="n">
        <v>30</v>
      </c>
      <c r="W258" s="9"/>
      <c r="X258" s="9"/>
      <c r="Y258" s="9"/>
      <c r="Z258" s="9" t="n">
        <v>90</v>
      </c>
      <c r="AA258" s="9" t="n">
        <v>30</v>
      </c>
      <c r="AB258" s="9"/>
      <c r="AC258" s="9"/>
      <c r="AD258" s="9"/>
      <c r="AE258" s="9" t="n">
        <v>30</v>
      </c>
      <c r="AF258" s="9" t="n">
        <v>90</v>
      </c>
      <c r="AG258" s="9"/>
      <c r="AH258" s="9"/>
      <c r="AI258" s="9"/>
      <c r="AJ258" s="9"/>
      <c r="AK258" s="9" t="n">
        <v>30</v>
      </c>
      <c r="AL258" s="9"/>
      <c r="AM258" s="9"/>
      <c r="AN258" s="9"/>
      <c r="AO258" s="9" t="n">
        <v>120</v>
      </c>
      <c r="AP258" s="9"/>
      <c r="AQ258" s="9"/>
      <c r="AR258" s="9"/>
      <c r="AS258" s="9"/>
      <c r="AT258" s="9" t="n">
        <v>60</v>
      </c>
      <c r="AU258" s="9"/>
      <c r="AV258" s="9"/>
      <c r="AW258" s="9"/>
      <c r="AX258" s="9" t="n">
        <v>50</v>
      </c>
      <c r="AY258" s="9"/>
      <c r="AZ258" s="9"/>
      <c r="BA258" s="9" t="n">
        <v>90</v>
      </c>
      <c r="BB258" s="9"/>
      <c r="BC258" s="9" t="n">
        <v>50</v>
      </c>
      <c r="BD258" s="9"/>
      <c r="BE258" s="9"/>
      <c r="BF258" s="9" t="n">
        <v>60</v>
      </c>
      <c r="BG258" s="9"/>
      <c r="BH258" s="9"/>
      <c r="BI258" s="9"/>
      <c r="BJ258" s="9"/>
      <c r="BK258" s="9" t="n">
        <v>50</v>
      </c>
      <c r="BL258" s="9"/>
      <c r="BM258" s="9"/>
      <c r="BN258" s="9" t="n">
        <v>120</v>
      </c>
      <c r="BO258" s="9" t="n">
        <v>40</v>
      </c>
      <c r="BP258" s="9"/>
      <c r="BQ258" s="9"/>
      <c r="BR258" s="9"/>
      <c r="BS258" s="9" t="n">
        <v>60</v>
      </c>
      <c r="BT258" s="9"/>
      <c r="BU258" s="10" t="n">
        <v>1570</v>
      </c>
      <c r="BV258" s="11" t="n">
        <f aca="false">IF(ISERROR(ROUND(MEDIAN(BQ258:BT258),0)),0,ROUND(MEDIAN(BQ258:BT258),0))</f>
        <v>60</v>
      </c>
      <c r="BW258" s="11" t="n">
        <f aca="false">IF(ISERROR(ROUND(MEDIAN(BM258:BT258),0)),0,ROUND(MEDIAN(BM258:BT258),0))</f>
        <v>60</v>
      </c>
      <c r="BX258" s="11" t="n">
        <f aca="false">IF(ISERROR(ROUND(MEDIAN(BI258:BT258),0)),0,ROUND(MEDIAN(BI258:BT258),0))</f>
        <v>55</v>
      </c>
      <c r="BY258" s="11" t="n">
        <f aca="false">IF(ISERROR(ROUND(MEDIAN(BE258:BT258),0)),0,ROUND(MEDIAN(BE258:BT258),0))</f>
        <v>60</v>
      </c>
      <c r="BZ258" s="11" t="n">
        <f aca="false">IF(ISERROR(ROUND(MEDIAN(AU258:BT258),0)),0,ROUND(MEDIAN(AU258:BT258),0))</f>
        <v>55</v>
      </c>
      <c r="CA258" s="12" t="n">
        <f aca="false">IF(ISERROR(ROUND(MEDIAN(U258:BT258),0)),0,ROUND(MEDIAN(U258:BT258),0))</f>
        <v>60</v>
      </c>
      <c r="CB258" s="12" t="n">
        <f aca="false">IF(ISERROR(ROUND(MEDIAN(BT258),0)),0,ROUND(MEDIAN(BT258),0))</f>
        <v>0</v>
      </c>
      <c r="CC258" s="12" t="n">
        <f aca="false">IF(ISERROR(ROUND(MEDIAN(D258:BT258),0)),0,ROUND(MEDIAN(D258:BT258),0))</f>
        <v>60</v>
      </c>
      <c r="CD258" s="12" t="n">
        <f aca="false">MAX(D258:BT258)</f>
        <v>150</v>
      </c>
      <c r="CE258" s="7" t="n">
        <f aca="false">COUNTA(BQ258:BT258)</f>
        <v>1</v>
      </c>
      <c r="CF258" s="7" t="n">
        <f aca="false">COUNTA(BM258:BT258)</f>
        <v>3</v>
      </c>
      <c r="CG258" s="7" t="n">
        <f aca="false">COUNTA(BI258:BT258)</f>
        <v>4</v>
      </c>
      <c r="CH258" s="7" t="n">
        <f aca="false">COUNTA(BE258:BT258)</f>
        <v>5</v>
      </c>
      <c r="CI258" s="7" t="n">
        <f aca="false">COUNTA(AU258:BT258)</f>
        <v>8</v>
      </c>
      <c r="CJ258" s="7" t="n">
        <f aca="false">COUNTA(U258:BT258)</f>
        <v>17</v>
      </c>
      <c r="CK258" s="7" t="n">
        <f aca="false">COUNTA(BT258)</f>
        <v>0</v>
      </c>
      <c r="CL258" s="7" t="n">
        <f aca="false">COUNTA(D258:BT258)</f>
        <v>23</v>
      </c>
      <c r="CM258" s="17" t="str">
        <f aca="false">IF(AND(CE258=1,CJ258=1,BT258&lt;&gt;""),"5.ENTRANTES",IF(AND(CE258&lt;&gt;0,CE258/RIGHT($CE$1,1)&gt;=0.5,CJ258=CE258),"4.RECENTES",IF(AND(CF258&lt;&gt;0,CF258/RIGHT($CF$1,1)&gt;=0.5,CJ258=CF258),"4.RECENTES",IF(AND(CG258&lt;&gt;0,CG258/RIGHT($CG$1,2)&gt;=0.5,CJ258=CG258),"4.RECENTES",IF(AND(CH258&lt;&gt;0,CH258/RIGHT($CH$1,2)&gt;=0.5,CJ258=CH258),"4.RECENTES",IF(AND(CI258&lt;&gt;0,CI258/RIGHT($CI$1,2)&gt;=0.5,CJ258=CI258),"4.RECENTES",IF(AND(CE258=0,CF258=0,CG258=0,CH258=0),"3.INATIVOS",IF(CJ258/RIGHT($CJ$1,2)&lt;0.5,"2.INTERMITENTES","1.ORDINÁRIOS"))))))))</f>
        <v>2.INTERMITENTES</v>
      </c>
      <c r="CN258" s="18" t="n">
        <f aca="false">IF(AND(CE258=1,CJ258=1,BT258&lt;&gt;""),BT258,IF(AND(CE258&lt;&gt;0,CE258/RIGHT($CE$1,1)&gt;=0.5,CJ258=CE258),MAX(BV258:CC258),IF(AND(CF258&lt;&gt;0,CF258/RIGHT($CF$1,1)&gt;=0.5,CJ258=CF258),MAX(BV258:CC258),IF(AND(CG258&lt;&gt;0,CG258/RIGHT($CG$1,2)&gt;=0.5,CJ258=CG258),MAX(BV258:CC258),IF(AND(CH258&lt;&gt;0,CH258/RIGHT($CH$1,2)&gt;=0.5,CJ258=CH258),MAX(BV258:CC258),IF(AND(CI258&lt;&gt;0,CI258/RIGHT($CI$1,2)&gt;=0.5,CJ258=CI258),MAX(BV258:CC258),IF(AND(CE258=0,CF258=0,CG258=0,CH258=0),0,IF(CJ258/RIGHT($CJ$1,2)&lt;0.5,ROUND(BU258/RIGHT($CJ$1,2),0),MAX(BV258:CC258)))))))))</f>
        <v>30</v>
      </c>
      <c r="CO258" s="18" t="n">
        <f aca="false">CD258</f>
        <v>150</v>
      </c>
      <c r="CP258" s="15" t="n">
        <v>0</v>
      </c>
      <c r="CQ258" s="16" t="n">
        <f aca="false">IF((CO258-CP258)&lt;0,0,(CO258-CP258))</f>
        <v>150</v>
      </c>
      <c r="CR258" s="7"/>
    </row>
    <row r="259" customFormat="false" ht="12.75" hidden="false" customHeight="true" outlineLevel="0" collapsed="false">
      <c r="A259" s="7" t="s">
        <v>273</v>
      </c>
      <c r="B259" s="7" t="s">
        <v>356</v>
      </c>
      <c r="C259" s="8" t="n">
        <v>303006001</v>
      </c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 t="n">
        <v>30</v>
      </c>
      <c r="AB259" s="9"/>
      <c r="AC259" s="9"/>
      <c r="AD259" s="9"/>
      <c r="AE259" s="9"/>
      <c r="AF259" s="9"/>
      <c r="AG259" s="9"/>
      <c r="AH259" s="9"/>
      <c r="AI259" s="9" t="n">
        <v>30</v>
      </c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  <c r="BA259" s="9"/>
      <c r="BB259" s="9"/>
      <c r="BC259" s="9"/>
      <c r="BD259" s="9"/>
      <c r="BE259" s="9"/>
      <c r="BF259" s="9"/>
      <c r="BG259" s="9"/>
      <c r="BH259" s="9"/>
      <c r="BI259" s="9"/>
      <c r="BJ259" s="9"/>
      <c r="BK259" s="9"/>
      <c r="BL259" s="9"/>
      <c r="BM259" s="9"/>
      <c r="BN259" s="9"/>
      <c r="BO259" s="9"/>
      <c r="BP259" s="9"/>
      <c r="BQ259" s="9"/>
      <c r="BR259" s="9"/>
      <c r="BS259" s="9"/>
      <c r="BT259" s="9"/>
      <c r="BU259" s="10" t="n">
        <v>60</v>
      </c>
      <c r="BV259" s="11" t="n">
        <f aca="false">IF(ISERROR(ROUND(MEDIAN(BQ259:BT259),0)),0,ROUND(MEDIAN(BQ259:BT259),0))</f>
        <v>0</v>
      </c>
      <c r="BW259" s="11" t="n">
        <f aca="false">IF(ISERROR(ROUND(MEDIAN(BM259:BT259),0)),0,ROUND(MEDIAN(BM259:BT259),0))</f>
        <v>0</v>
      </c>
      <c r="BX259" s="11" t="n">
        <f aca="false">IF(ISERROR(ROUND(MEDIAN(BI259:BT259),0)),0,ROUND(MEDIAN(BI259:BT259),0))</f>
        <v>0</v>
      </c>
      <c r="BY259" s="11" t="n">
        <f aca="false">IF(ISERROR(ROUND(MEDIAN(BE259:BT259),0)),0,ROUND(MEDIAN(BE259:BT259),0))</f>
        <v>0</v>
      </c>
      <c r="BZ259" s="11" t="n">
        <f aca="false">IF(ISERROR(ROUND(MEDIAN(AU259:BT259),0)),0,ROUND(MEDIAN(AU259:BT259),0))</f>
        <v>0</v>
      </c>
      <c r="CA259" s="12" t="n">
        <f aca="false">IF(ISERROR(ROUND(MEDIAN(U259:BT259),0)),0,ROUND(MEDIAN(U259:BT259),0))</f>
        <v>30</v>
      </c>
      <c r="CB259" s="12" t="n">
        <f aca="false">IF(ISERROR(ROUND(MEDIAN(BT259),0)),0,ROUND(MEDIAN(BT259),0))</f>
        <v>0</v>
      </c>
      <c r="CC259" s="12" t="n">
        <f aca="false">IF(ISERROR(ROUND(MEDIAN(D259:BT259),0)),0,ROUND(MEDIAN(D259:BT259),0))</f>
        <v>30</v>
      </c>
      <c r="CD259" s="12" t="n">
        <f aca="false">MAX(D259:BT259)</f>
        <v>30</v>
      </c>
      <c r="CE259" s="7" t="n">
        <f aca="false">COUNTA(BQ259:BT259)</f>
        <v>0</v>
      </c>
      <c r="CF259" s="7" t="n">
        <f aca="false">COUNTA(BM259:BT259)</f>
        <v>0</v>
      </c>
      <c r="CG259" s="7" t="n">
        <f aca="false">COUNTA(BI259:BT259)</f>
        <v>0</v>
      </c>
      <c r="CH259" s="7" t="n">
        <f aca="false">COUNTA(BE259:BT259)</f>
        <v>0</v>
      </c>
      <c r="CI259" s="7" t="n">
        <f aca="false">COUNTA(AU259:BT259)</f>
        <v>0</v>
      </c>
      <c r="CJ259" s="7" t="n">
        <f aca="false">COUNTA(U259:BT259)</f>
        <v>2</v>
      </c>
      <c r="CK259" s="7" t="n">
        <f aca="false">COUNTA(BT259)</f>
        <v>0</v>
      </c>
      <c r="CL259" s="7" t="n">
        <f aca="false">COUNTA(D259:BT259)</f>
        <v>2</v>
      </c>
      <c r="CM259" s="19" t="str">
        <f aca="false">IF(AND(CE259=1,CJ259=1,BT259&lt;&gt;""),"5.ENTRANTES",IF(AND(CE259&lt;&gt;0,CE259/RIGHT($CE$1,1)&gt;=0.5,CJ259=CE259),"4.RECENTES",IF(AND(CF259&lt;&gt;0,CF259/RIGHT($CF$1,1)&gt;=0.5,CJ259=CF259),"4.RECENTES",IF(AND(CG259&lt;&gt;0,CG259/RIGHT($CG$1,2)&gt;=0.5,CJ259=CG259),"4.RECENTES",IF(AND(CH259&lt;&gt;0,CH259/RIGHT($CH$1,2)&gt;=0.5,CJ259=CH259),"4.RECENTES",IF(AND(CI259&lt;&gt;0,CI259/RIGHT($CI$1,2)&gt;=0.5,CJ259=CI259),"4.RECENTES",IF(AND(CE259=0,CF259=0,CG259=0,CH259=0),"3.INATIVOS",IF(CJ259/RIGHT($CJ$1,2)&lt;0.5,"2.INTERMITENTES","1.ORDINÁRIOS"))))))))</f>
        <v>3.INATIVOS</v>
      </c>
      <c r="CN259" s="20" t="n">
        <f aca="false">IF(AND(CE259=1,CJ259=1,BT259&lt;&gt;""),BT259,IF(AND(CE259&lt;&gt;0,CE259/RIGHT($CE$1,1)&gt;=0.5,CJ259=CE259),MAX(BV259:CC259),IF(AND(CF259&lt;&gt;0,CF259/RIGHT($CF$1,1)&gt;=0.5,CJ259=CF259),MAX(BV259:CC259),IF(AND(CG259&lt;&gt;0,CG259/RIGHT($CG$1,2)&gt;=0.5,CJ259=CG259),MAX(BV259:CC259),IF(AND(CH259&lt;&gt;0,CH259/RIGHT($CH$1,2)&gt;=0.5,CJ259=CH259),MAX(BV259:CC259),IF(AND(CI259&lt;&gt;0,CI259/RIGHT($CI$1,2)&gt;=0.5,CJ259=CI259),MAX(BV259:CC259),IF(AND(CE259=0,CF259=0,CG259=0,CH259=0),0,IF(CJ259/RIGHT($CJ$1,2)&lt;0.5,ROUND(BU259/RIGHT($CJ$1,2),0),MAX(BV259:CC259)))))))))</f>
        <v>0</v>
      </c>
      <c r="CO259" s="20" t="n">
        <f aca="false">CN259*3</f>
        <v>0</v>
      </c>
      <c r="CP259" s="15" t="n">
        <v>0</v>
      </c>
      <c r="CQ259" s="16" t="n">
        <f aca="false">IF((CO259-CP259)&lt;0,0,(CO259-CP259))</f>
        <v>0</v>
      </c>
      <c r="CR259" s="7"/>
    </row>
    <row r="260" customFormat="false" ht="12.75" hidden="false" customHeight="true" outlineLevel="0" collapsed="false">
      <c r="A260" s="7" t="s">
        <v>273</v>
      </c>
      <c r="B260" s="7" t="s">
        <v>357</v>
      </c>
      <c r="C260" s="8" t="n">
        <v>325010001</v>
      </c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 t="n">
        <v>30</v>
      </c>
      <c r="R260" s="9"/>
      <c r="S260" s="9"/>
      <c r="T260" s="9"/>
      <c r="U260" s="9"/>
      <c r="V260" s="9" t="n">
        <v>30</v>
      </c>
      <c r="W260" s="9"/>
      <c r="X260" s="9"/>
      <c r="Y260" s="9"/>
      <c r="Z260" s="9" t="n">
        <v>30</v>
      </c>
      <c r="AA260" s="9"/>
      <c r="AB260" s="9"/>
      <c r="AC260" s="9"/>
      <c r="AD260" s="9" t="n">
        <v>30</v>
      </c>
      <c r="AE260" s="9"/>
      <c r="AF260" s="9"/>
      <c r="AG260" s="9"/>
      <c r="AH260" s="9"/>
      <c r="AI260" s="9"/>
      <c r="AJ260" s="9"/>
      <c r="AK260" s="9"/>
      <c r="AL260" s="9"/>
      <c r="AM260" s="9" t="n">
        <v>30</v>
      </c>
      <c r="AN260" s="9"/>
      <c r="AO260" s="9"/>
      <c r="AP260" s="9"/>
      <c r="AQ260" s="9"/>
      <c r="AR260" s="9" t="n">
        <v>30</v>
      </c>
      <c r="AS260" s="9"/>
      <c r="AT260" s="9"/>
      <c r="AU260" s="9"/>
      <c r="AV260" s="9" t="n">
        <v>30</v>
      </c>
      <c r="AW260" s="9"/>
      <c r="AX260" s="9"/>
      <c r="AY260" s="9"/>
      <c r="AZ260" s="9" t="n">
        <v>30</v>
      </c>
      <c r="BA260" s="9"/>
      <c r="BB260" s="9"/>
      <c r="BC260" s="9"/>
      <c r="BD260" s="9"/>
      <c r="BE260" s="9" t="n">
        <v>30</v>
      </c>
      <c r="BF260" s="9"/>
      <c r="BG260" s="9"/>
      <c r="BH260" s="9"/>
      <c r="BI260" s="9"/>
      <c r="BJ260" s="9"/>
      <c r="BK260" s="9"/>
      <c r="BL260" s="9"/>
      <c r="BM260" s="9"/>
      <c r="BN260" s="9"/>
      <c r="BO260" s="9"/>
      <c r="BP260" s="9"/>
      <c r="BQ260" s="9"/>
      <c r="BR260" s="9"/>
      <c r="BS260" s="9"/>
      <c r="BT260" s="9"/>
      <c r="BU260" s="10" t="n">
        <v>270</v>
      </c>
      <c r="BV260" s="11" t="n">
        <f aca="false">IF(ISERROR(ROUND(MEDIAN(BQ260:BT260),0)),0,ROUND(MEDIAN(BQ260:BT260),0))</f>
        <v>0</v>
      </c>
      <c r="BW260" s="11" t="n">
        <f aca="false">IF(ISERROR(ROUND(MEDIAN(BM260:BT260),0)),0,ROUND(MEDIAN(BM260:BT260),0))</f>
        <v>0</v>
      </c>
      <c r="BX260" s="11" t="n">
        <f aca="false">IF(ISERROR(ROUND(MEDIAN(BI260:BT260),0)),0,ROUND(MEDIAN(BI260:BT260),0))</f>
        <v>0</v>
      </c>
      <c r="BY260" s="11" t="n">
        <f aca="false">IF(ISERROR(ROUND(MEDIAN(BE260:BT260),0)),0,ROUND(MEDIAN(BE260:BT260),0))</f>
        <v>30</v>
      </c>
      <c r="BZ260" s="11" t="n">
        <f aca="false">IF(ISERROR(ROUND(MEDIAN(AU260:BT260),0)),0,ROUND(MEDIAN(AU260:BT260),0))</f>
        <v>30</v>
      </c>
      <c r="CA260" s="12" t="n">
        <f aca="false">IF(ISERROR(ROUND(MEDIAN(U260:BT260),0)),0,ROUND(MEDIAN(U260:BT260),0))</f>
        <v>30</v>
      </c>
      <c r="CB260" s="12" t="n">
        <f aca="false">IF(ISERROR(ROUND(MEDIAN(BT260),0)),0,ROUND(MEDIAN(BT260),0))</f>
        <v>0</v>
      </c>
      <c r="CC260" s="12" t="n">
        <f aca="false">IF(ISERROR(ROUND(MEDIAN(D260:BT260),0)),0,ROUND(MEDIAN(D260:BT260),0))</f>
        <v>30</v>
      </c>
      <c r="CD260" s="12" t="n">
        <f aca="false">MAX(D260:BT260)</f>
        <v>30</v>
      </c>
      <c r="CE260" s="7" t="n">
        <f aca="false">COUNTA(BQ260:BT260)</f>
        <v>0</v>
      </c>
      <c r="CF260" s="7" t="n">
        <f aca="false">COUNTA(BM260:BT260)</f>
        <v>0</v>
      </c>
      <c r="CG260" s="7" t="n">
        <f aca="false">COUNTA(BI260:BT260)</f>
        <v>0</v>
      </c>
      <c r="CH260" s="7" t="n">
        <f aca="false">COUNTA(BE260:BT260)</f>
        <v>1</v>
      </c>
      <c r="CI260" s="7" t="n">
        <f aca="false">COUNTA(AU260:BT260)</f>
        <v>3</v>
      </c>
      <c r="CJ260" s="7" t="n">
        <f aca="false">COUNTA(U260:BT260)</f>
        <v>8</v>
      </c>
      <c r="CK260" s="7" t="n">
        <f aca="false">COUNTA(BT260)</f>
        <v>0</v>
      </c>
      <c r="CL260" s="7" t="n">
        <f aca="false">COUNTA(D260:BT260)</f>
        <v>9</v>
      </c>
      <c r="CM260" s="17" t="str">
        <f aca="false">IF(AND(CE260=1,CJ260=1,BT260&lt;&gt;""),"5.ENTRANTES",IF(AND(CE260&lt;&gt;0,CE260/RIGHT($CE$1,1)&gt;=0.5,CJ260=CE260),"4.RECENTES",IF(AND(CF260&lt;&gt;0,CF260/RIGHT($CF$1,1)&gt;=0.5,CJ260=CF260),"4.RECENTES",IF(AND(CG260&lt;&gt;0,CG260/RIGHT($CG$1,2)&gt;=0.5,CJ260=CG260),"4.RECENTES",IF(AND(CH260&lt;&gt;0,CH260/RIGHT($CH$1,2)&gt;=0.5,CJ260=CH260),"4.RECENTES",IF(AND(CI260&lt;&gt;0,CI260/RIGHT($CI$1,2)&gt;=0.5,CJ260=CI260),"4.RECENTES",IF(AND(CE260=0,CF260=0,CG260=0,CH260=0),"3.INATIVOS",IF(CJ260/RIGHT($CJ$1,2)&lt;0.5,"2.INTERMITENTES","1.ORDINÁRIOS"))))))))</f>
        <v>2.INTERMITENTES</v>
      </c>
      <c r="CN260" s="18" t="n">
        <f aca="false">IF(AND(CE260=1,CJ260=1,BT260&lt;&gt;""),BT260,IF(AND(CE260&lt;&gt;0,CE260/RIGHT($CE$1,1)&gt;=0.5,CJ260=CE260),MAX(BV260:CC260),IF(AND(CF260&lt;&gt;0,CF260/RIGHT($CF$1,1)&gt;=0.5,CJ260=CF260),MAX(BV260:CC260),IF(AND(CG260&lt;&gt;0,CG260/RIGHT($CG$1,2)&gt;=0.5,CJ260=CG260),MAX(BV260:CC260),IF(AND(CH260&lt;&gt;0,CH260/RIGHT($CH$1,2)&gt;=0.5,CJ260=CH260),MAX(BV260:CC260),IF(AND(CI260&lt;&gt;0,CI260/RIGHT($CI$1,2)&gt;=0.5,CJ260=CI260),MAX(BV260:CC260),IF(AND(CE260=0,CF260=0,CG260=0,CH260=0),0,IF(CJ260/RIGHT($CJ$1,2)&lt;0.5,ROUND(BU260/RIGHT($CJ$1,2),0),MAX(BV260:CC260)))))))))</f>
        <v>5</v>
      </c>
      <c r="CO260" s="18" t="n">
        <f aca="false">CD260</f>
        <v>30</v>
      </c>
      <c r="CP260" s="15" t="n">
        <v>0</v>
      </c>
      <c r="CQ260" s="16" t="n">
        <f aca="false">IF((CO260-CP260)&lt;0,0,(CO260-CP260))</f>
        <v>30</v>
      </c>
      <c r="CR260" s="7"/>
    </row>
    <row r="261" customFormat="false" ht="12.75" hidden="false" customHeight="true" outlineLevel="0" collapsed="false">
      <c r="A261" s="7" t="s">
        <v>273</v>
      </c>
      <c r="B261" s="7" t="s">
        <v>358</v>
      </c>
      <c r="C261" s="8" t="n">
        <v>302004001</v>
      </c>
      <c r="D261" s="9"/>
      <c r="E261" s="9" t="n">
        <v>150</v>
      </c>
      <c r="F261" s="9" t="n">
        <v>390</v>
      </c>
      <c r="G261" s="9" t="n">
        <v>180</v>
      </c>
      <c r="H261" s="9" t="n">
        <v>210</v>
      </c>
      <c r="I261" s="9" t="n">
        <v>180</v>
      </c>
      <c r="J261" s="9" t="n">
        <v>180</v>
      </c>
      <c r="K261" s="9" t="n">
        <v>60</v>
      </c>
      <c r="L261" s="9" t="n">
        <v>180</v>
      </c>
      <c r="M261" s="9" t="n">
        <v>210</v>
      </c>
      <c r="N261" s="9" t="n">
        <v>30</v>
      </c>
      <c r="O261" s="9" t="n">
        <v>240</v>
      </c>
      <c r="P261" s="9" t="n">
        <v>150</v>
      </c>
      <c r="Q261" s="9" t="n">
        <v>180</v>
      </c>
      <c r="R261" s="9" t="n">
        <v>30</v>
      </c>
      <c r="S261" s="9" t="n">
        <v>120</v>
      </c>
      <c r="T261" s="9" t="n">
        <v>60</v>
      </c>
      <c r="U261" s="9" t="n">
        <v>240</v>
      </c>
      <c r="V261" s="9" t="n">
        <v>180</v>
      </c>
      <c r="W261" s="9" t="n">
        <v>120</v>
      </c>
      <c r="X261" s="9" t="n">
        <v>150</v>
      </c>
      <c r="Y261" s="9" t="n">
        <v>210</v>
      </c>
      <c r="Z261" s="9" t="n">
        <v>210</v>
      </c>
      <c r="AA261" s="9" t="n">
        <v>150</v>
      </c>
      <c r="AB261" s="9" t="n">
        <v>60</v>
      </c>
      <c r="AC261" s="9" t="n">
        <v>120</v>
      </c>
      <c r="AD261" s="9" t="n">
        <v>180</v>
      </c>
      <c r="AE261" s="9" t="n">
        <v>150</v>
      </c>
      <c r="AF261" s="9" t="n">
        <v>120</v>
      </c>
      <c r="AG261" s="9" t="n">
        <v>120</v>
      </c>
      <c r="AH261" s="9" t="n">
        <v>240</v>
      </c>
      <c r="AI261" s="9" t="n">
        <v>30</v>
      </c>
      <c r="AJ261" s="9" t="n">
        <v>390</v>
      </c>
      <c r="AK261" s="9" t="n">
        <v>30</v>
      </c>
      <c r="AL261" s="9" t="n">
        <v>180</v>
      </c>
      <c r="AM261" s="9" t="n">
        <v>120</v>
      </c>
      <c r="AN261" s="9" t="n">
        <v>60</v>
      </c>
      <c r="AO261" s="9"/>
      <c r="AP261" s="9" t="n">
        <v>360</v>
      </c>
      <c r="AQ261" s="9" t="n">
        <v>180</v>
      </c>
      <c r="AR261" s="9" t="n">
        <v>60</v>
      </c>
      <c r="AS261" s="9" t="n">
        <v>180</v>
      </c>
      <c r="AT261" s="9" t="n">
        <v>330</v>
      </c>
      <c r="AU261" s="9" t="n">
        <v>30</v>
      </c>
      <c r="AV261" s="9" t="n">
        <v>90</v>
      </c>
      <c r="AW261" s="9" t="n">
        <v>60</v>
      </c>
      <c r="AX261" s="9" t="n">
        <v>60</v>
      </c>
      <c r="AY261" s="9" t="n">
        <v>300</v>
      </c>
      <c r="AZ261" s="9" t="n">
        <v>300</v>
      </c>
      <c r="BA261" s="9" t="n">
        <v>60</v>
      </c>
      <c r="BB261" s="9" t="n">
        <v>90</v>
      </c>
      <c r="BC261" s="9" t="n">
        <v>120</v>
      </c>
      <c r="BD261" s="9" t="n">
        <v>270</v>
      </c>
      <c r="BE261" s="9" t="n">
        <v>120</v>
      </c>
      <c r="BF261" s="9" t="n">
        <v>270</v>
      </c>
      <c r="BG261" s="9"/>
      <c r="BH261" s="9" t="n">
        <v>120</v>
      </c>
      <c r="BI261" s="9" t="n">
        <v>300</v>
      </c>
      <c r="BJ261" s="9" t="n">
        <v>120</v>
      </c>
      <c r="BK261" s="9" t="n">
        <v>120</v>
      </c>
      <c r="BL261" s="9" t="n">
        <v>210</v>
      </c>
      <c r="BM261" s="9" t="n">
        <v>180</v>
      </c>
      <c r="BN261" s="9" t="n">
        <v>360</v>
      </c>
      <c r="BO261" s="9" t="n">
        <v>15</v>
      </c>
      <c r="BP261" s="9"/>
      <c r="BQ261" s="9" t="n">
        <v>270</v>
      </c>
      <c r="BR261" s="9" t="n">
        <v>300</v>
      </c>
      <c r="BS261" s="9"/>
      <c r="BT261" s="9"/>
      <c r="BU261" s="10" t="n">
        <v>10485</v>
      </c>
      <c r="BV261" s="11" t="n">
        <f aca="false">IF(ISERROR(ROUND(MEDIAN(BQ261:BT261),0)),0,ROUND(MEDIAN(BQ261:BT261),0))</f>
        <v>285</v>
      </c>
      <c r="BW261" s="11" t="n">
        <f aca="false">IF(ISERROR(ROUND(MEDIAN(BM261:BT261),0)),0,ROUND(MEDIAN(BM261:BT261),0))</f>
        <v>270</v>
      </c>
      <c r="BX261" s="11" t="n">
        <f aca="false">IF(ISERROR(ROUND(MEDIAN(BI261:BT261),0)),0,ROUND(MEDIAN(BI261:BT261),0))</f>
        <v>210</v>
      </c>
      <c r="BY261" s="11" t="n">
        <f aca="false">IF(ISERROR(ROUND(MEDIAN(BE261:BT261),0)),0,ROUND(MEDIAN(BE261:BT261),0))</f>
        <v>195</v>
      </c>
      <c r="BZ261" s="11" t="n">
        <f aca="false">IF(ISERROR(ROUND(MEDIAN(AU261:BT261),0)),0,ROUND(MEDIAN(AU261:BT261),0))</f>
        <v>120</v>
      </c>
      <c r="CA261" s="12" t="n">
        <f aca="false">IF(ISERROR(ROUND(MEDIAN(U261:BT261),0)),0,ROUND(MEDIAN(U261:BT261),0))</f>
        <v>150</v>
      </c>
      <c r="CB261" s="12" t="n">
        <f aca="false">IF(ISERROR(ROUND(MEDIAN(BT261),0)),0,ROUND(MEDIAN(BT261),0))</f>
        <v>0</v>
      </c>
      <c r="CC261" s="12" t="n">
        <f aca="false">IF(ISERROR(ROUND(MEDIAN(D261:BT261),0)),0,ROUND(MEDIAN(D261:BT261),0))</f>
        <v>150</v>
      </c>
      <c r="CD261" s="12" t="n">
        <f aca="false">MAX(D261:BT261)</f>
        <v>390</v>
      </c>
      <c r="CE261" s="7" t="n">
        <f aca="false">COUNTA(BQ261:BT261)</f>
        <v>2</v>
      </c>
      <c r="CF261" s="7" t="n">
        <f aca="false">COUNTA(BM261:BT261)</f>
        <v>5</v>
      </c>
      <c r="CG261" s="7" t="n">
        <f aca="false">COUNTA(BI261:BT261)</f>
        <v>9</v>
      </c>
      <c r="CH261" s="7" t="n">
        <f aca="false">COUNTA(BE261:BT261)</f>
        <v>12</v>
      </c>
      <c r="CI261" s="7" t="n">
        <f aca="false">COUNTA(AU261:BT261)</f>
        <v>22</v>
      </c>
      <c r="CJ261" s="7" t="n">
        <f aca="false">COUNTA(U261:BT261)</f>
        <v>47</v>
      </c>
      <c r="CK261" s="7" t="n">
        <f aca="false">COUNTA(BT261)</f>
        <v>0</v>
      </c>
      <c r="CL261" s="7" t="n">
        <f aca="false">COUNTA(D261:BT261)</f>
        <v>63</v>
      </c>
      <c r="CM261" s="13" t="str">
        <f aca="false">IF(AND(CE261=1,CJ261=1,BT261&lt;&gt;""),"5.ENTRANTES",IF(AND(CE261&lt;&gt;0,CE261/RIGHT($CE$1,1)&gt;=0.5,CJ261=CE261),"4.RECENTES",IF(AND(CF261&lt;&gt;0,CF261/RIGHT($CF$1,1)&gt;=0.5,CJ261=CF261),"4.RECENTES",IF(AND(CG261&lt;&gt;0,CG261/RIGHT($CG$1,2)&gt;=0.5,CJ261=CG261),"4.RECENTES",IF(AND(CH261&lt;&gt;0,CH261/RIGHT($CH$1,2)&gt;=0.5,CJ261=CH261),"4.RECENTES",IF(AND(CI261&lt;&gt;0,CI261/RIGHT($CI$1,2)&gt;=0.5,CJ261=CI261),"4.RECENTES",IF(AND(CE261=0,CF261=0,CG261=0,CH261=0),"3.INATIVOS",IF(CJ261/RIGHT($CJ$1,2)&lt;0.5,"2.INTERMITENTES","1.ORDINÁRIOS"))))))))</f>
        <v>1.ORDINÁRIOS</v>
      </c>
      <c r="CN261" s="14" t="n">
        <f aca="false">IF(AND(CE261=1,CJ261=1,BT261&lt;&gt;""),BT261,IF(AND(CE261&lt;&gt;0,CE261/RIGHT($CE$1,1)&gt;=0.5,CJ261=CE261),MAX(BV261:CC261),IF(AND(CF261&lt;&gt;0,CF261/RIGHT($CF$1,1)&gt;=0.5,CJ261=CF261),MAX(BV261:CC261),IF(AND(CG261&lt;&gt;0,CG261/RIGHT($CG$1,2)&gt;=0.5,CJ261=CG261),MAX(BV261:CC261),IF(AND(CH261&lt;&gt;0,CH261/RIGHT($CH$1,2)&gt;=0.5,CJ261=CH261),MAX(BV261:CC261),IF(AND(CI261&lt;&gt;0,CI261/RIGHT($CI$1,2)&gt;=0.5,CJ261=CI261),MAX(BV261:CC261),IF(AND(CE261=0,CF261=0,CG261=0,CH261=0),0,IF(CJ261/RIGHT($CJ$1,2)&lt;0.5,ROUND(BU261/RIGHT($CJ$1,2),0),MAX(BV261:CC261)))))))))</f>
        <v>285</v>
      </c>
      <c r="CO261" s="14" t="n">
        <f aca="false">CN261*3</f>
        <v>855</v>
      </c>
      <c r="CP261" s="15" t="n">
        <v>125</v>
      </c>
      <c r="CQ261" s="16" t="n">
        <f aca="false">IF((CO261-CP261)&lt;0,0,(CO261-CP261))</f>
        <v>730</v>
      </c>
      <c r="CR261" s="7"/>
    </row>
    <row r="262" customFormat="false" ht="12.75" hidden="false" customHeight="true" outlineLevel="0" collapsed="false">
      <c r="A262" s="7" t="s">
        <v>273</v>
      </c>
      <c r="B262" s="7" t="s">
        <v>359</v>
      </c>
      <c r="C262" s="8" t="n">
        <v>21001103</v>
      </c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 t="n">
        <v>1</v>
      </c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 t="n">
        <v>1</v>
      </c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 t="n">
        <v>1</v>
      </c>
      <c r="AY262" s="9"/>
      <c r="AZ262" s="9"/>
      <c r="BA262" s="9"/>
      <c r="BB262" s="9"/>
      <c r="BC262" s="9"/>
      <c r="BD262" s="9"/>
      <c r="BE262" s="9"/>
      <c r="BF262" s="9"/>
      <c r="BG262" s="9"/>
      <c r="BH262" s="9"/>
      <c r="BI262" s="9"/>
      <c r="BJ262" s="9"/>
      <c r="BK262" s="9"/>
      <c r="BL262" s="9"/>
      <c r="BM262" s="9"/>
      <c r="BN262" s="9"/>
      <c r="BO262" s="9"/>
      <c r="BP262" s="9"/>
      <c r="BQ262" s="9"/>
      <c r="BR262" s="9"/>
      <c r="BS262" s="9"/>
      <c r="BT262" s="9"/>
      <c r="BU262" s="10" t="n">
        <v>3</v>
      </c>
      <c r="BV262" s="11" t="n">
        <f aca="false">IF(ISERROR(ROUND(MEDIAN(BQ262:BT262),0)),0,ROUND(MEDIAN(BQ262:BT262),0))</f>
        <v>0</v>
      </c>
      <c r="BW262" s="11" t="n">
        <f aca="false">IF(ISERROR(ROUND(MEDIAN(BM262:BT262),0)),0,ROUND(MEDIAN(BM262:BT262),0))</f>
        <v>0</v>
      </c>
      <c r="BX262" s="11" t="n">
        <f aca="false">IF(ISERROR(ROUND(MEDIAN(BI262:BT262),0)),0,ROUND(MEDIAN(BI262:BT262),0))</f>
        <v>0</v>
      </c>
      <c r="BY262" s="11" t="n">
        <f aca="false">IF(ISERROR(ROUND(MEDIAN(BE262:BT262),0)),0,ROUND(MEDIAN(BE262:BT262),0))</f>
        <v>0</v>
      </c>
      <c r="BZ262" s="11" t="n">
        <f aca="false">IF(ISERROR(ROUND(MEDIAN(AU262:BT262),0)),0,ROUND(MEDIAN(AU262:BT262),0))</f>
        <v>1</v>
      </c>
      <c r="CA262" s="12" t="n">
        <f aca="false">IF(ISERROR(ROUND(MEDIAN(U262:BT262),0)),0,ROUND(MEDIAN(U262:BT262),0))</f>
        <v>1</v>
      </c>
      <c r="CB262" s="12" t="n">
        <f aca="false">IF(ISERROR(ROUND(MEDIAN(BT262),0)),0,ROUND(MEDIAN(BT262),0))</f>
        <v>0</v>
      </c>
      <c r="CC262" s="12" t="n">
        <f aca="false">IF(ISERROR(ROUND(MEDIAN(D262:BT262),0)),0,ROUND(MEDIAN(D262:BT262),0))</f>
        <v>1</v>
      </c>
      <c r="CD262" s="12" t="n">
        <f aca="false">MAX(D262:BT262)</f>
        <v>1</v>
      </c>
      <c r="CE262" s="7" t="n">
        <f aca="false">COUNTA(BQ262:BT262)</f>
        <v>0</v>
      </c>
      <c r="CF262" s="7" t="n">
        <f aca="false">COUNTA(BM262:BT262)</f>
        <v>0</v>
      </c>
      <c r="CG262" s="7" t="n">
        <f aca="false">COUNTA(BI262:BT262)</f>
        <v>0</v>
      </c>
      <c r="CH262" s="7" t="n">
        <f aca="false">COUNTA(BE262:BT262)</f>
        <v>0</v>
      </c>
      <c r="CI262" s="7" t="n">
        <f aca="false">COUNTA(AU262:BT262)</f>
        <v>1</v>
      </c>
      <c r="CJ262" s="7" t="n">
        <f aca="false">COUNTA(U262:BT262)</f>
        <v>3</v>
      </c>
      <c r="CK262" s="7" t="n">
        <f aca="false">COUNTA(BT262)</f>
        <v>0</v>
      </c>
      <c r="CL262" s="7" t="n">
        <f aca="false">COUNTA(D262:BT262)</f>
        <v>3</v>
      </c>
      <c r="CM262" s="19" t="str">
        <f aca="false">IF(AND(CE262=1,CJ262=1,BT262&lt;&gt;""),"5.ENTRANTES",IF(AND(CE262&lt;&gt;0,CE262/RIGHT($CE$1,1)&gt;=0.5,CJ262=CE262),"4.RECENTES",IF(AND(CF262&lt;&gt;0,CF262/RIGHT($CF$1,1)&gt;=0.5,CJ262=CF262),"4.RECENTES",IF(AND(CG262&lt;&gt;0,CG262/RIGHT($CG$1,2)&gt;=0.5,CJ262=CG262),"4.RECENTES",IF(AND(CH262&lt;&gt;0,CH262/RIGHT($CH$1,2)&gt;=0.5,CJ262=CH262),"4.RECENTES",IF(AND(CI262&lt;&gt;0,CI262/RIGHT($CI$1,2)&gt;=0.5,CJ262=CI262),"4.RECENTES",IF(AND(CE262=0,CF262=0,CG262=0,CH262=0),"3.INATIVOS",IF(CJ262/RIGHT($CJ$1,2)&lt;0.5,"2.INTERMITENTES","1.ORDINÁRIOS"))))))))</f>
        <v>3.INATIVOS</v>
      </c>
      <c r="CN262" s="20" t="n">
        <f aca="false">IF(AND(CE262=1,CJ262=1,BT262&lt;&gt;""),BT262,IF(AND(CE262&lt;&gt;0,CE262/RIGHT($CE$1,1)&gt;=0.5,CJ262=CE262),MAX(BV262:CC262),IF(AND(CF262&lt;&gt;0,CF262/RIGHT($CF$1,1)&gt;=0.5,CJ262=CF262),MAX(BV262:CC262),IF(AND(CG262&lt;&gt;0,CG262/RIGHT($CG$1,2)&gt;=0.5,CJ262=CG262),MAX(BV262:CC262),IF(AND(CH262&lt;&gt;0,CH262/RIGHT($CH$1,2)&gt;=0.5,CJ262=CH262),MAX(BV262:CC262),IF(AND(CI262&lt;&gt;0,CI262/RIGHT($CI$1,2)&gt;=0.5,CJ262=CI262),MAX(BV262:CC262),IF(AND(CE262=0,CF262=0,CG262=0,CH262=0),0,IF(CJ262/RIGHT($CJ$1,2)&lt;0.5,ROUND(BU262/RIGHT($CJ$1,2),0),MAX(BV262:CC262)))))))))</f>
        <v>0</v>
      </c>
      <c r="CO262" s="20" t="n">
        <f aca="false">CN262*3</f>
        <v>0</v>
      </c>
      <c r="CP262" s="15" t="n">
        <v>0</v>
      </c>
      <c r="CQ262" s="16" t="n">
        <f aca="false">IF((CO262-CP262)&lt;0,0,(CO262-CP262))</f>
        <v>0</v>
      </c>
      <c r="CR262" s="7"/>
    </row>
    <row r="263" customFormat="false" ht="12.75" hidden="false" customHeight="true" outlineLevel="0" collapsed="false">
      <c r="A263" s="7" t="s">
        <v>273</v>
      </c>
      <c r="B263" s="7" t="s">
        <v>360</v>
      </c>
      <c r="C263" s="8" t="n">
        <v>1000017</v>
      </c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  <c r="AZ263" s="9"/>
      <c r="BA263" s="9"/>
      <c r="BB263" s="9"/>
      <c r="BC263" s="9" t="n">
        <v>30</v>
      </c>
      <c r="BD263" s="9"/>
      <c r="BE263" s="9"/>
      <c r="BF263" s="9"/>
      <c r="BG263" s="9"/>
      <c r="BH263" s="9"/>
      <c r="BI263" s="9"/>
      <c r="BJ263" s="9"/>
      <c r="BK263" s="9"/>
      <c r="BL263" s="9"/>
      <c r="BM263" s="9"/>
      <c r="BN263" s="9"/>
      <c r="BO263" s="9"/>
      <c r="BP263" s="9"/>
      <c r="BQ263" s="9"/>
      <c r="BR263" s="9"/>
      <c r="BS263" s="9"/>
      <c r="BT263" s="9"/>
      <c r="BU263" s="10" t="n">
        <v>30</v>
      </c>
      <c r="BV263" s="11" t="n">
        <f aca="false">IF(ISERROR(ROUND(MEDIAN(BQ263:BT263),0)),0,ROUND(MEDIAN(BQ263:BT263),0))</f>
        <v>0</v>
      </c>
      <c r="BW263" s="11" t="n">
        <f aca="false">IF(ISERROR(ROUND(MEDIAN(BM263:BT263),0)),0,ROUND(MEDIAN(BM263:BT263),0))</f>
        <v>0</v>
      </c>
      <c r="BX263" s="11" t="n">
        <f aca="false">IF(ISERROR(ROUND(MEDIAN(BI263:BT263),0)),0,ROUND(MEDIAN(BI263:BT263),0))</f>
        <v>0</v>
      </c>
      <c r="BY263" s="11" t="n">
        <f aca="false">IF(ISERROR(ROUND(MEDIAN(BE263:BT263),0)),0,ROUND(MEDIAN(BE263:BT263),0))</f>
        <v>0</v>
      </c>
      <c r="BZ263" s="11" t="n">
        <f aca="false">IF(ISERROR(ROUND(MEDIAN(AU263:BT263),0)),0,ROUND(MEDIAN(AU263:BT263),0))</f>
        <v>30</v>
      </c>
      <c r="CA263" s="12" t="n">
        <f aca="false">IF(ISERROR(ROUND(MEDIAN(U263:BT263),0)),0,ROUND(MEDIAN(U263:BT263),0))</f>
        <v>30</v>
      </c>
      <c r="CB263" s="12" t="n">
        <f aca="false">IF(ISERROR(ROUND(MEDIAN(BT263),0)),0,ROUND(MEDIAN(BT263),0))</f>
        <v>0</v>
      </c>
      <c r="CC263" s="12" t="n">
        <f aca="false">IF(ISERROR(ROUND(MEDIAN(D263:BT263),0)),0,ROUND(MEDIAN(D263:BT263),0))</f>
        <v>30</v>
      </c>
      <c r="CD263" s="12" t="n">
        <f aca="false">MAX(D263:BT263)</f>
        <v>30</v>
      </c>
      <c r="CE263" s="7" t="n">
        <f aca="false">COUNTA(BQ263:BT263)</f>
        <v>0</v>
      </c>
      <c r="CF263" s="7" t="n">
        <f aca="false">COUNTA(BM263:BT263)</f>
        <v>0</v>
      </c>
      <c r="CG263" s="7" t="n">
        <f aca="false">COUNTA(BI263:BT263)</f>
        <v>0</v>
      </c>
      <c r="CH263" s="7" t="n">
        <f aca="false">COUNTA(BE263:BT263)</f>
        <v>0</v>
      </c>
      <c r="CI263" s="7" t="n">
        <f aca="false">COUNTA(AU263:BT263)</f>
        <v>1</v>
      </c>
      <c r="CJ263" s="7" t="n">
        <f aca="false">COUNTA(U263:BT263)</f>
        <v>1</v>
      </c>
      <c r="CK263" s="7" t="n">
        <f aca="false">COUNTA(BT263)</f>
        <v>0</v>
      </c>
      <c r="CL263" s="7" t="n">
        <f aca="false">COUNTA(D263:BT263)</f>
        <v>1</v>
      </c>
      <c r="CM263" s="19" t="str">
        <f aca="false">IF(AND(CE263=1,CJ263=1,BT263&lt;&gt;""),"5.ENTRANTES",IF(AND(CE263&lt;&gt;0,CE263/RIGHT($CE$1,1)&gt;=0.5,CJ263=CE263),"4.RECENTES",IF(AND(CF263&lt;&gt;0,CF263/RIGHT($CF$1,1)&gt;=0.5,CJ263=CF263),"4.RECENTES",IF(AND(CG263&lt;&gt;0,CG263/RIGHT($CG$1,2)&gt;=0.5,CJ263=CG263),"4.RECENTES",IF(AND(CH263&lt;&gt;0,CH263/RIGHT($CH$1,2)&gt;=0.5,CJ263=CH263),"4.RECENTES",IF(AND(CI263&lt;&gt;0,CI263/RIGHT($CI$1,2)&gt;=0.5,CJ263=CI263),"4.RECENTES",IF(AND(CE263=0,CF263=0,CG263=0,CH263=0),"3.INATIVOS",IF(CJ263/RIGHT($CJ$1,2)&lt;0.5,"2.INTERMITENTES","1.ORDINÁRIOS"))))))))</f>
        <v>3.INATIVOS</v>
      </c>
      <c r="CN263" s="20" t="n">
        <f aca="false">IF(AND(CE263=1,CJ263=1,BT263&lt;&gt;""),BT263,IF(AND(CE263&lt;&gt;0,CE263/RIGHT($CE$1,1)&gt;=0.5,CJ263=CE263),MAX(BV263:CC263),IF(AND(CF263&lt;&gt;0,CF263/RIGHT($CF$1,1)&gt;=0.5,CJ263=CF263),MAX(BV263:CC263),IF(AND(CG263&lt;&gt;0,CG263/RIGHT($CG$1,2)&gt;=0.5,CJ263=CG263),MAX(BV263:CC263),IF(AND(CH263&lt;&gt;0,CH263/RIGHT($CH$1,2)&gt;=0.5,CJ263=CH263),MAX(BV263:CC263),IF(AND(CI263&lt;&gt;0,CI263/RIGHT($CI$1,2)&gt;=0.5,CJ263=CI263),MAX(BV263:CC263),IF(AND(CE263=0,CF263=0,CG263=0,CH263=0),0,IF(CJ263/RIGHT($CJ$1,2)&lt;0.5,ROUND(BU263/RIGHT($CJ$1,2),0),MAX(BV263:CC263)))))))))</f>
        <v>0</v>
      </c>
      <c r="CO263" s="20" t="n">
        <f aca="false">CN263*3</f>
        <v>0</v>
      </c>
      <c r="CP263" s="15" t="n">
        <v>0</v>
      </c>
      <c r="CQ263" s="16" t="n">
        <f aca="false">IF((CO263-CP263)&lt;0,0,(CO263-CP263))</f>
        <v>0</v>
      </c>
      <c r="CR263" s="7"/>
    </row>
    <row r="264" customFormat="false" ht="12.75" hidden="false" customHeight="true" outlineLevel="0" collapsed="false">
      <c r="A264" s="7" t="s">
        <v>273</v>
      </c>
      <c r="B264" s="7" t="s">
        <v>361</v>
      </c>
      <c r="C264" s="8" t="n">
        <v>325009001</v>
      </c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 t="n">
        <v>30</v>
      </c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  <c r="BA264" s="9"/>
      <c r="BB264" s="9"/>
      <c r="BC264" s="9"/>
      <c r="BD264" s="9"/>
      <c r="BE264" s="9"/>
      <c r="BF264" s="9"/>
      <c r="BG264" s="9"/>
      <c r="BH264" s="9"/>
      <c r="BI264" s="9"/>
      <c r="BJ264" s="9"/>
      <c r="BK264" s="9"/>
      <c r="BL264" s="9"/>
      <c r="BM264" s="9"/>
      <c r="BN264" s="9"/>
      <c r="BO264" s="9"/>
      <c r="BP264" s="9"/>
      <c r="BQ264" s="9"/>
      <c r="BR264" s="9"/>
      <c r="BS264" s="9"/>
      <c r="BT264" s="9"/>
      <c r="BU264" s="10" t="n">
        <v>30</v>
      </c>
      <c r="BV264" s="11" t="n">
        <f aca="false">IF(ISERROR(ROUND(MEDIAN(BQ264:BT264),0)),0,ROUND(MEDIAN(BQ264:BT264),0))</f>
        <v>0</v>
      </c>
      <c r="BW264" s="11" t="n">
        <f aca="false">IF(ISERROR(ROUND(MEDIAN(BM264:BT264),0)),0,ROUND(MEDIAN(BM264:BT264),0))</f>
        <v>0</v>
      </c>
      <c r="BX264" s="11" t="n">
        <f aca="false">IF(ISERROR(ROUND(MEDIAN(BI264:BT264),0)),0,ROUND(MEDIAN(BI264:BT264),0))</f>
        <v>0</v>
      </c>
      <c r="BY264" s="11" t="n">
        <f aca="false">IF(ISERROR(ROUND(MEDIAN(BE264:BT264),0)),0,ROUND(MEDIAN(BE264:BT264),0))</f>
        <v>0</v>
      </c>
      <c r="BZ264" s="11" t="n">
        <f aca="false">IF(ISERROR(ROUND(MEDIAN(AU264:BT264),0)),0,ROUND(MEDIAN(AU264:BT264),0))</f>
        <v>0</v>
      </c>
      <c r="CA264" s="12" t="n">
        <f aca="false">IF(ISERROR(ROUND(MEDIAN(U264:BT264),0)),0,ROUND(MEDIAN(U264:BT264),0))</f>
        <v>0</v>
      </c>
      <c r="CB264" s="12" t="n">
        <f aca="false">IF(ISERROR(ROUND(MEDIAN(BT264),0)),0,ROUND(MEDIAN(BT264),0))</f>
        <v>0</v>
      </c>
      <c r="CC264" s="12" t="n">
        <f aca="false">IF(ISERROR(ROUND(MEDIAN(D264:BT264),0)),0,ROUND(MEDIAN(D264:BT264),0))</f>
        <v>30</v>
      </c>
      <c r="CD264" s="12" t="n">
        <f aca="false">MAX(D264:BT264)</f>
        <v>30</v>
      </c>
      <c r="CE264" s="7" t="n">
        <f aca="false">COUNTA(BQ264:BT264)</f>
        <v>0</v>
      </c>
      <c r="CF264" s="7" t="n">
        <f aca="false">COUNTA(BM264:BT264)</f>
        <v>0</v>
      </c>
      <c r="CG264" s="7" t="n">
        <f aca="false">COUNTA(BI264:BT264)</f>
        <v>0</v>
      </c>
      <c r="CH264" s="7" t="n">
        <f aca="false">COUNTA(BE264:BT264)</f>
        <v>0</v>
      </c>
      <c r="CI264" s="7" t="n">
        <f aca="false">COUNTA(AU264:BT264)</f>
        <v>0</v>
      </c>
      <c r="CJ264" s="7" t="n">
        <f aca="false">COUNTA(U264:BT264)</f>
        <v>0</v>
      </c>
      <c r="CK264" s="7" t="n">
        <f aca="false">COUNTA(BT264)</f>
        <v>0</v>
      </c>
      <c r="CL264" s="7" t="n">
        <f aca="false">COUNTA(D264:BT264)</f>
        <v>1</v>
      </c>
      <c r="CM264" s="19" t="str">
        <f aca="false">IF(AND(CE264=1,CJ264=1,BT264&lt;&gt;""),"5.ENTRANTES",IF(AND(CE264&lt;&gt;0,CE264/RIGHT($CE$1,1)&gt;=0.5,CJ264=CE264),"4.RECENTES",IF(AND(CF264&lt;&gt;0,CF264/RIGHT($CF$1,1)&gt;=0.5,CJ264=CF264),"4.RECENTES",IF(AND(CG264&lt;&gt;0,CG264/RIGHT($CG$1,2)&gt;=0.5,CJ264=CG264),"4.RECENTES",IF(AND(CH264&lt;&gt;0,CH264/RIGHT($CH$1,2)&gt;=0.5,CJ264=CH264),"4.RECENTES",IF(AND(CI264&lt;&gt;0,CI264/RIGHT($CI$1,2)&gt;=0.5,CJ264=CI264),"4.RECENTES",IF(AND(CE264=0,CF264=0,CG264=0,CH264=0),"3.INATIVOS",IF(CJ264/RIGHT($CJ$1,2)&lt;0.5,"2.INTERMITENTES","1.ORDINÁRIOS"))))))))</f>
        <v>3.INATIVOS</v>
      </c>
      <c r="CN264" s="20" t="n">
        <f aca="false">IF(AND(CE264=1,CJ264=1,BT264&lt;&gt;""),BT264,IF(AND(CE264&lt;&gt;0,CE264/RIGHT($CE$1,1)&gt;=0.5,CJ264=CE264),MAX(BV264:CC264),IF(AND(CF264&lt;&gt;0,CF264/RIGHT($CF$1,1)&gt;=0.5,CJ264=CF264),MAX(BV264:CC264),IF(AND(CG264&lt;&gt;0,CG264/RIGHT($CG$1,2)&gt;=0.5,CJ264=CG264),MAX(BV264:CC264),IF(AND(CH264&lt;&gt;0,CH264/RIGHT($CH$1,2)&gt;=0.5,CJ264=CH264),MAX(BV264:CC264),IF(AND(CI264&lt;&gt;0,CI264/RIGHT($CI$1,2)&gt;=0.5,CJ264=CI264),MAX(BV264:CC264),IF(AND(CE264=0,CF264=0,CG264=0,CH264=0),0,IF(CJ264/RIGHT($CJ$1,2)&lt;0.5,ROUND(BU264/RIGHT($CJ$1,2),0),MAX(BV264:CC264)))))))))</f>
        <v>0</v>
      </c>
      <c r="CO264" s="20" t="n">
        <f aca="false">CN264*3</f>
        <v>0</v>
      </c>
      <c r="CP264" s="15" t="n">
        <v>0</v>
      </c>
      <c r="CQ264" s="16" t="n">
        <f aca="false">IF((CO264-CP264)&lt;0,0,(CO264-CP264))</f>
        <v>0</v>
      </c>
      <c r="CR264" s="7"/>
    </row>
    <row r="265" customFormat="false" ht="12.75" hidden="false" customHeight="true" outlineLevel="0" collapsed="false">
      <c r="A265" s="7" t="s">
        <v>273</v>
      </c>
      <c r="B265" s="7" t="s">
        <v>362</v>
      </c>
      <c r="C265" s="8" t="n">
        <v>228001007</v>
      </c>
      <c r="D265" s="9" t="n">
        <v>1</v>
      </c>
      <c r="E265" s="9" t="n">
        <v>2</v>
      </c>
      <c r="F265" s="9" t="n">
        <v>2</v>
      </c>
      <c r="G265" s="9"/>
      <c r="H265" s="9"/>
      <c r="I265" s="9"/>
      <c r="J265" s="9"/>
      <c r="K265" s="9"/>
      <c r="L265" s="9"/>
      <c r="M265" s="9"/>
      <c r="N265" s="9" t="n">
        <v>2</v>
      </c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 t="n">
        <v>17</v>
      </c>
      <c r="AB265" s="9"/>
      <c r="AC265" s="9"/>
      <c r="AD265" s="9"/>
      <c r="AE265" s="9"/>
      <c r="AF265" s="9" t="n">
        <v>8</v>
      </c>
      <c r="AG265" s="9" t="n">
        <v>2</v>
      </c>
      <c r="AH265" s="9"/>
      <c r="AI265" s="9" t="n">
        <v>1</v>
      </c>
      <c r="AJ265" s="9"/>
      <c r="AK265" s="9" t="n">
        <v>2</v>
      </c>
      <c r="AL265" s="9"/>
      <c r="AM265" s="9"/>
      <c r="AN265" s="9" t="n">
        <v>7</v>
      </c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  <c r="BA265" s="9"/>
      <c r="BB265" s="9" t="n">
        <v>7</v>
      </c>
      <c r="BC265" s="9"/>
      <c r="BD265" s="9"/>
      <c r="BE265" s="9"/>
      <c r="BF265" s="9" t="n">
        <v>2</v>
      </c>
      <c r="BG265" s="9" t="n">
        <v>1</v>
      </c>
      <c r="BH265" s="9" t="n">
        <v>2</v>
      </c>
      <c r="BI265" s="9"/>
      <c r="BJ265" s="9"/>
      <c r="BK265" s="9"/>
      <c r="BL265" s="9" t="n">
        <v>1</v>
      </c>
      <c r="BM265" s="9"/>
      <c r="BN265" s="9"/>
      <c r="BO265" s="9"/>
      <c r="BP265" s="9" t="n">
        <v>1</v>
      </c>
      <c r="BQ265" s="9" t="n">
        <v>1</v>
      </c>
      <c r="BR265" s="9" t="n">
        <v>1</v>
      </c>
      <c r="BS265" s="9"/>
      <c r="BT265" s="9" t="n">
        <v>2</v>
      </c>
      <c r="BU265" s="10" t="n">
        <v>62</v>
      </c>
      <c r="BV265" s="11" t="n">
        <f aca="false">IF(ISERROR(ROUND(MEDIAN(BQ265:BT265),0)),0,ROUND(MEDIAN(BQ265:BT265),0))</f>
        <v>1</v>
      </c>
      <c r="BW265" s="11" t="n">
        <f aca="false">IF(ISERROR(ROUND(MEDIAN(BM265:BT265),0)),0,ROUND(MEDIAN(BM265:BT265),0))</f>
        <v>1</v>
      </c>
      <c r="BX265" s="11" t="n">
        <f aca="false">IF(ISERROR(ROUND(MEDIAN(BI265:BT265),0)),0,ROUND(MEDIAN(BI265:BT265),0))</f>
        <v>1</v>
      </c>
      <c r="BY265" s="11" t="n">
        <f aca="false">IF(ISERROR(ROUND(MEDIAN(BE265:BT265),0)),0,ROUND(MEDIAN(BE265:BT265),0))</f>
        <v>1</v>
      </c>
      <c r="BZ265" s="11" t="n">
        <f aca="false">IF(ISERROR(ROUND(MEDIAN(AU265:BT265),0)),0,ROUND(MEDIAN(AU265:BT265),0))</f>
        <v>1</v>
      </c>
      <c r="CA265" s="12" t="n">
        <f aca="false">IF(ISERROR(ROUND(MEDIAN(U265:BT265),0)),0,ROUND(MEDIAN(U265:BT265),0))</f>
        <v>2</v>
      </c>
      <c r="CB265" s="12" t="n">
        <f aca="false">IF(ISERROR(ROUND(MEDIAN(BT265),0)),0,ROUND(MEDIAN(BT265),0))</f>
        <v>2</v>
      </c>
      <c r="CC265" s="12" t="n">
        <f aca="false">IF(ISERROR(ROUND(MEDIAN(D265:BT265),0)),0,ROUND(MEDIAN(D265:BT265),0))</f>
        <v>2</v>
      </c>
      <c r="CD265" s="12" t="n">
        <f aca="false">MAX(D265:BT265)</f>
        <v>17</v>
      </c>
      <c r="CE265" s="7" t="n">
        <f aca="false">COUNTA(BQ265:BT265)</f>
        <v>3</v>
      </c>
      <c r="CF265" s="7" t="n">
        <f aca="false">COUNTA(BM265:BT265)</f>
        <v>4</v>
      </c>
      <c r="CG265" s="7" t="n">
        <f aca="false">COUNTA(BI265:BT265)</f>
        <v>5</v>
      </c>
      <c r="CH265" s="7" t="n">
        <f aca="false">COUNTA(BE265:BT265)</f>
        <v>8</v>
      </c>
      <c r="CI265" s="7" t="n">
        <f aca="false">COUNTA(AU265:BT265)</f>
        <v>9</v>
      </c>
      <c r="CJ265" s="7" t="n">
        <f aca="false">COUNTA(U265:BT265)</f>
        <v>15</v>
      </c>
      <c r="CK265" s="7" t="n">
        <f aca="false">COUNTA(BT265)</f>
        <v>1</v>
      </c>
      <c r="CL265" s="7" t="n">
        <f aca="false">COUNTA(D265:BT265)</f>
        <v>19</v>
      </c>
      <c r="CM265" s="17" t="str">
        <f aca="false">IF(AND(CE265=1,CJ265=1,BT265&lt;&gt;""),"5.ENTRANTES",IF(AND(CE265&lt;&gt;0,CE265/RIGHT($CE$1,1)&gt;=0.5,CJ265=CE265),"4.RECENTES",IF(AND(CF265&lt;&gt;0,CF265/RIGHT($CF$1,1)&gt;=0.5,CJ265=CF265),"4.RECENTES",IF(AND(CG265&lt;&gt;0,CG265/RIGHT($CG$1,2)&gt;=0.5,CJ265=CG265),"4.RECENTES",IF(AND(CH265&lt;&gt;0,CH265/RIGHT($CH$1,2)&gt;=0.5,CJ265=CH265),"4.RECENTES",IF(AND(CI265&lt;&gt;0,CI265/RIGHT($CI$1,2)&gt;=0.5,CJ265=CI265),"4.RECENTES",IF(AND(CE265=0,CF265=0,CG265=0,CH265=0),"3.INATIVOS",IF(CJ265/RIGHT($CJ$1,2)&lt;0.5,"2.INTERMITENTES","1.ORDINÁRIOS"))))))))</f>
        <v>2.INTERMITENTES</v>
      </c>
      <c r="CN265" s="18" t="n">
        <f aca="false">IF(AND(CE265=1,CJ265=1,BT265&lt;&gt;""),BT265,IF(AND(CE265&lt;&gt;0,CE265/RIGHT($CE$1,1)&gt;=0.5,CJ265=CE265),MAX(BV265:CC265),IF(AND(CF265&lt;&gt;0,CF265/RIGHT($CF$1,1)&gt;=0.5,CJ265=CF265),MAX(BV265:CC265),IF(AND(CG265&lt;&gt;0,CG265/RIGHT($CG$1,2)&gt;=0.5,CJ265=CG265),MAX(BV265:CC265),IF(AND(CH265&lt;&gt;0,CH265/RIGHT($CH$1,2)&gt;=0.5,CJ265=CH265),MAX(BV265:CC265),IF(AND(CI265&lt;&gt;0,CI265/RIGHT($CI$1,2)&gt;=0.5,CJ265=CI265),MAX(BV265:CC265),IF(AND(CE265=0,CF265=0,CG265=0,CH265=0),0,IF(CJ265/RIGHT($CJ$1,2)&lt;0.5,ROUND(BU265/RIGHT($CJ$1,2),0),MAX(BV265:CC265)))))))))</f>
        <v>1</v>
      </c>
      <c r="CO265" s="18" t="n">
        <f aca="false">CD265</f>
        <v>17</v>
      </c>
      <c r="CP265" s="15" t="n">
        <v>6</v>
      </c>
      <c r="CQ265" s="16" t="n">
        <f aca="false">IF((CO265-CP265)&lt;0,0,(CO265-CP265))</f>
        <v>11</v>
      </c>
      <c r="CR265" s="7"/>
    </row>
    <row r="266" customFormat="false" ht="12.75" hidden="false" customHeight="true" outlineLevel="0" collapsed="false">
      <c r="A266" s="7" t="s">
        <v>273</v>
      </c>
      <c r="B266" s="7" t="s">
        <v>363</v>
      </c>
      <c r="C266" s="8" t="n">
        <v>5000016</v>
      </c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 t="n">
        <v>2</v>
      </c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  <c r="BA266" s="9"/>
      <c r="BB266" s="9"/>
      <c r="BC266" s="9"/>
      <c r="BD266" s="9"/>
      <c r="BE266" s="9"/>
      <c r="BF266" s="9"/>
      <c r="BG266" s="9"/>
      <c r="BH266" s="9"/>
      <c r="BI266" s="9"/>
      <c r="BJ266" s="9"/>
      <c r="BK266" s="9"/>
      <c r="BL266" s="9"/>
      <c r="BM266" s="9"/>
      <c r="BN266" s="9"/>
      <c r="BO266" s="9"/>
      <c r="BP266" s="9"/>
      <c r="BQ266" s="9"/>
      <c r="BR266" s="9"/>
      <c r="BS266" s="9"/>
      <c r="BT266" s="9"/>
      <c r="BU266" s="10" t="n">
        <v>2</v>
      </c>
      <c r="BV266" s="11" t="n">
        <f aca="false">IF(ISERROR(ROUND(MEDIAN(BQ266:BT266),0)),0,ROUND(MEDIAN(BQ266:BT266),0))</f>
        <v>0</v>
      </c>
      <c r="BW266" s="11" t="n">
        <f aca="false">IF(ISERROR(ROUND(MEDIAN(BM266:BT266),0)),0,ROUND(MEDIAN(BM266:BT266),0))</f>
        <v>0</v>
      </c>
      <c r="BX266" s="11" t="n">
        <f aca="false">IF(ISERROR(ROUND(MEDIAN(BI266:BT266),0)),0,ROUND(MEDIAN(BI266:BT266),0))</f>
        <v>0</v>
      </c>
      <c r="BY266" s="11" t="n">
        <f aca="false">IF(ISERROR(ROUND(MEDIAN(BE266:BT266),0)),0,ROUND(MEDIAN(BE266:BT266),0))</f>
        <v>0</v>
      </c>
      <c r="BZ266" s="11" t="n">
        <f aca="false">IF(ISERROR(ROUND(MEDIAN(AU266:BT266),0)),0,ROUND(MEDIAN(AU266:BT266),0))</f>
        <v>0</v>
      </c>
      <c r="CA266" s="12" t="n">
        <f aca="false">IF(ISERROR(ROUND(MEDIAN(U266:BT266),0)),0,ROUND(MEDIAN(U266:BT266),0))</f>
        <v>2</v>
      </c>
      <c r="CB266" s="12" t="n">
        <f aca="false">IF(ISERROR(ROUND(MEDIAN(BT266),0)),0,ROUND(MEDIAN(BT266),0))</f>
        <v>0</v>
      </c>
      <c r="CC266" s="12" t="n">
        <f aca="false">IF(ISERROR(ROUND(MEDIAN(D266:BT266),0)),0,ROUND(MEDIAN(D266:BT266),0))</f>
        <v>2</v>
      </c>
      <c r="CD266" s="12" t="n">
        <f aca="false">MAX(D266:BT266)</f>
        <v>2</v>
      </c>
      <c r="CE266" s="7" t="n">
        <f aca="false">COUNTA(BQ266:BT266)</f>
        <v>0</v>
      </c>
      <c r="CF266" s="7" t="n">
        <f aca="false">COUNTA(BM266:BT266)</f>
        <v>0</v>
      </c>
      <c r="CG266" s="7" t="n">
        <f aca="false">COUNTA(BI266:BT266)</f>
        <v>0</v>
      </c>
      <c r="CH266" s="7" t="n">
        <f aca="false">COUNTA(BE266:BT266)</f>
        <v>0</v>
      </c>
      <c r="CI266" s="7" t="n">
        <f aca="false">COUNTA(AU266:BT266)</f>
        <v>0</v>
      </c>
      <c r="CJ266" s="7" t="n">
        <f aca="false">COUNTA(U266:BT266)</f>
        <v>1</v>
      </c>
      <c r="CK266" s="7" t="n">
        <f aca="false">COUNTA(BT266)</f>
        <v>0</v>
      </c>
      <c r="CL266" s="7" t="n">
        <f aca="false">COUNTA(D266:BT266)</f>
        <v>1</v>
      </c>
      <c r="CM266" s="19" t="str">
        <f aca="false">IF(AND(CE266=1,CJ266=1,BT266&lt;&gt;""),"5.ENTRANTES",IF(AND(CE266&lt;&gt;0,CE266/RIGHT($CE$1,1)&gt;=0.5,CJ266=CE266),"4.RECENTES",IF(AND(CF266&lt;&gt;0,CF266/RIGHT($CF$1,1)&gt;=0.5,CJ266=CF266),"4.RECENTES",IF(AND(CG266&lt;&gt;0,CG266/RIGHT($CG$1,2)&gt;=0.5,CJ266=CG266),"4.RECENTES",IF(AND(CH266&lt;&gt;0,CH266/RIGHT($CH$1,2)&gt;=0.5,CJ266=CH266),"4.RECENTES",IF(AND(CI266&lt;&gt;0,CI266/RIGHT($CI$1,2)&gt;=0.5,CJ266=CI266),"4.RECENTES",IF(AND(CE266=0,CF266=0,CG266=0,CH266=0),"3.INATIVOS",IF(CJ266/RIGHT($CJ$1,2)&lt;0.5,"2.INTERMITENTES","1.ORDINÁRIOS"))))))))</f>
        <v>3.INATIVOS</v>
      </c>
      <c r="CN266" s="20" t="n">
        <f aca="false">IF(AND(CE266=1,CJ266=1,BT266&lt;&gt;""),BT266,IF(AND(CE266&lt;&gt;0,CE266/RIGHT($CE$1,1)&gt;=0.5,CJ266=CE266),MAX(BV266:CC266),IF(AND(CF266&lt;&gt;0,CF266/RIGHT($CF$1,1)&gt;=0.5,CJ266=CF266),MAX(BV266:CC266),IF(AND(CG266&lt;&gt;0,CG266/RIGHT($CG$1,2)&gt;=0.5,CJ266=CG266),MAX(BV266:CC266),IF(AND(CH266&lt;&gt;0,CH266/RIGHT($CH$1,2)&gt;=0.5,CJ266=CH266),MAX(BV266:CC266),IF(AND(CI266&lt;&gt;0,CI266/RIGHT($CI$1,2)&gt;=0.5,CJ266=CI266),MAX(BV266:CC266),IF(AND(CE266=0,CF266=0,CG266=0,CH266=0),0,IF(CJ266/RIGHT($CJ$1,2)&lt;0.5,ROUND(BU266/RIGHT($CJ$1,2),0),MAX(BV266:CC266)))))))))</f>
        <v>0</v>
      </c>
      <c r="CO266" s="20" t="n">
        <f aca="false">CN266*3</f>
        <v>0</v>
      </c>
      <c r="CP266" s="15" t="n">
        <v>0</v>
      </c>
      <c r="CQ266" s="16" t="n">
        <f aca="false">IF((CO266-CP266)&lt;0,0,(CO266-CP266))</f>
        <v>0</v>
      </c>
      <c r="CR266" s="7"/>
    </row>
    <row r="267" customFormat="false" ht="12.75" hidden="false" customHeight="true" outlineLevel="0" collapsed="false">
      <c r="A267" s="7" t="s">
        <v>273</v>
      </c>
      <c r="B267" s="7" t="s">
        <v>364</v>
      </c>
      <c r="C267" s="8" t="n">
        <v>55001002</v>
      </c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 t="n">
        <v>30</v>
      </c>
      <c r="Q267" s="9"/>
      <c r="R267" s="9"/>
      <c r="S267" s="9"/>
      <c r="T267" s="9"/>
      <c r="U267" s="9" t="n">
        <v>30</v>
      </c>
      <c r="V267" s="9"/>
      <c r="W267" s="9"/>
      <c r="X267" s="9"/>
      <c r="Y267" s="9" t="n">
        <v>30</v>
      </c>
      <c r="Z267" s="9"/>
      <c r="AA267" s="9"/>
      <c r="AB267" s="9"/>
      <c r="AC267" s="9"/>
      <c r="AD267" s="9" t="n">
        <v>30</v>
      </c>
      <c r="AE267" s="9"/>
      <c r="AF267" s="9"/>
      <c r="AG267" s="9"/>
      <c r="AH267" s="9"/>
      <c r="AI267" s="9" t="n">
        <v>30</v>
      </c>
      <c r="AJ267" s="9"/>
      <c r="AK267" s="9"/>
      <c r="AL267" s="9"/>
      <c r="AM267" s="9" t="n">
        <v>30</v>
      </c>
      <c r="AN267" s="9"/>
      <c r="AO267" s="9"/>
      <c r="AP267" s="9"/>
      <c r="AQ267" s="9" t="n">
        <v>30</v>
      </c>
      <c r="AR267" s="9"/>
      <c r="AS267" s="9"/>
      <c r="AT267" s="9"/>
      <c r="AU267" s="9"/>
      <c r="AV267" s="9" t="n">
        <v>30</v>
      </c>
      <c r="AW267" s="9"/>
      <c r="AX267" s="9"/>
      <c r="AY267" s="9"/>
      <c r="AZ267" s="9"/>
      <c r="BA267" s="9" t="n">
        <v>30</v>
      </c>
      <c r="BB267" s="9"/>
      <c r="BC267" s="9"/>
      <c r="BD267" s="9"/>
      <c r="BE267" s="9" t="n">
        <v>30</v>
      </c>
      <c r="BF267" s="9"/>
      <c r="BG267" s="9"/>
      <c r="BH267" s="9"/>
      <c r="BI267" s="9" t="n">
        <v>30</v>
      </c>
      <c r="BJ267" s="9"/>
      <c r="BK267" s="9"/>
      <c r="BL267" s="9"/>
      <c r="BM267" s="9"/>
      <c r="BN267" s="9"/>
      <c r="BO267" s="9" t="n">
        <v>30</v>
      </c>
      <c r="BP267" s="9"/>
      <c r="BQ267" s="9"/>
      <c r="BR267" s="9"/>
      <c r="BS267" s="9" t="n">
        <v>30</v>
      </c>
      <c r="BT267" s="9"/>
      <c r="BU267" s="10" t="n">
        <v>390</v>
      </c>
      <c r="BV267" s="11" t="n">
        <f aca="false">IF(ISERROR(ROUND(MEDIAN(BQ267:BT267),0)),0,ROUND(MEDIAN(BQ267:BT267),0))</f>
        <v>30</v>
      </c>
      <c r="BW267" s="11" t="n">
        <f aca="false">IF(ISERROR(ROUND(MEDIAN(BM267:BT267),0)),0,ROUND(MEDIAN(BM267:BT267),0))</f>
        <v>30</v>
      </c>
      <c r="BX267" s="11" t="n">
        <f aca="false">IF(ISERROR(ROUND(MEDIAN(BI267:BT267),0)),0,ROUND(MEDIAN(BI267:BT267),0))</f>
        <v>30</v>
      </c>
      <c r="BY267" s="11" t="n">
        <f aca="false">IF(ISERROR(ROUND(MEDIAN(BE267:BT267),0)),0,ROUND(MEDIAN(BE267:BT267),0))</f>
        <v>30</v>
      </c>
      <c r="BZ267" s="11" t="n">
        <f aca="false">IF(ISERROR(ROUND(MEDIAN(AU267:BT267),0)),0,ROUND(MEDIAN(AU267:BT267),0))</f>
        <v>30</v>
      </c>
      <c r="CA267" s="12" t="n">
        <f aca="false">IF(ISERROR(ROUND(MEDIAN(U267:BT267),0)),0,ROUND(MEDIAN(U267:BT267),0))</f>
        <v>30</v>
      </c>
      <c r="CB267" s="12" t="n">
        <f aca="false">IF(ISERROR(ROUND(MEDIAN(BT267),0)),0,ROUND(MEDIAN(BT267),0))</f>
        <v>0</v>
      </c>
      <c r="CC267" s="12" t="n">
        <f aca="false">IF(ISERROR(ROUND(MEDIAN(D267:BT267),0)),0,ROUND(MEDIAN(D267:BT267),0))</f>
        <v>30</v>
      </c>
      <c r="CD267" s="12" t="n">
        <f aca="false">MAX(D267:BT267)</f>
        <v>30</v>
      </c>
      <c r="CE267" s="7" t="n">
        <f aca="false">COUNTA(BQ267:BT267)</f>
        <v>1</v>
      </c>
      <c r="CF267" s="7" t="n">
        <f aca="false">COUNTA(BM267:BT267)</f>
        <v>2</v>
      </c>
      <c r="CG267" s="7" t="n">
        <f aca="false">COUNTA(BI267:BT267)</f>
        <v>3</v>
      </c>
      <c r="CH267" s="7" t="n">
        <f aca="false">COUNTA(BE267:BT267)</f>
        <v>4</v>
      </c>
      <c r="CI267" s="7" t="n">
        <f aca="false">COUNTA(AU267:BT267)</f>
        <v>6</v>
      </c>
      <c r="CJ267" s="7" t="n">
        <f aca="false">COUNTA(U267:BT267)</f>
        <v>12</v>
      </c>
      <c r="CK267" s="7" t="n">
        <f aca="false">COUNTA(BT267)</f>
        <v>0</v>
      </c>
      <c r="CL267" s="7" t="n">
        <f aca="false">COUNTA(D267:BT267)</f>
        <v>13</v>
      </c>
      <c r="CM267" s="17" t="str">
        <f aca="false">IF(AND(CE267=1,CJ267=1,BT267&lt;&gt;""),"5.ENTRANTES",IF(AND(CE267&lt;&gt;0,CE267/RIGHT($CE$1,1)&gt;=0.5,CJ267=CE267),"4.RECENTES",IF(AND(CF267&lt;&gt;0,CF267/RIGHT($CF$1,1)&gt;=0.5,CJ267=CF267),"4.RECENTES",IF(AND(CG267&lt;&gt;0,CG267/RIGHT($CG$1,2)&gt;=0.5,CJ267=CG267),"4.RECENTES",IF(AND(CH267&lt;&gt;0,CH267/RIGHT($CH$1,2)&gt;=0.5,CJ267=CH267),"4.RECENTES",IF(AND(CI267&lt;&gt;0,CI267/RIGHT($CI$1,2)&gt;=0.5,CJ267=CI267),"4.RECENTES",IF(AND(CE267=0,CF267=0,CG267=0,CH267=0),"3.INATIVOS",IF(CJ267/RIGHT($CJ$1,2)&lt;0.5,"2.INTERMITENTES","1.ORDINÁRIOS"))))))))</f>
        <v>2.INTERMITENTES</v>
      </c>
      <c r="CN267" s="18" t="n">
        <f aca="false">IF(AND(CE267=1,CJ267=1,BT267&lt;&gt;""),BT267,IF(AND(CE267&lt;&gt;0,CE267/RIGHT($CE$1,1)&gt;=0.5,CJ267=CE267),MAX(BV267:CC267),IF(AND(CF267&lt;&gt;0,CF267/RIGHT($CF$1,1)&gt;=0.5,CJ267=CF267),MAX(BV267:CC267),IF(AND(CG267&lt;&gt;0,CG267/RIGHT($CG$1,2)&gt;=0.5,CJ267=CG267),MAX(BV267:CC267),IF(AND(CH267&lt;&gt;0,CH267/RIGHT($CH$1,2)&gt;=0.5,CJ267=CH267),MAX(BV267:CC267),IF(AND(CI267&lt;&gt;0,CI267/RIGHT($CI$1,2)&gt;=0.5,CJ267=CI267),MAX(BV267:CC267),IF(AND(CE267=0,CF267=0,CG267=0,CH267=0),0,IF(CJ267/RIGHT($CJ$1,2)&lt;0.5,ROUND(BU267/RIGHT($CJ$1,2),0),MAX(BV267:CC267)))))))))</f>
        <v>8</v>
      </c>
      <c r="CO267" s="18" t="n">
        <f aca="false">CD267</f>
        <v>30</v>
      </c>
      <c r="CP267" s="15" t="n">
        <v>0</v>
      </c>
      <c r="CQ267" s="16" t="n">
        <f aca="false">IF((CO267-CP267)&lt;0,0,(CO267-CP267))</f>
        <v>30</v>
      </c>
      <c r="CR267" s="7"/>
    </row>
    <row r="268" customFormat="false" ht="12.75" hidden="false" customHeight="true" outlineLevel="0" collapsed="false">
      <c r="A268" s="7" t="s">
        <v>273</v>
      </c>
      <c r="B268" s="7" t="s">
        <v>365</v>
      </c>
      <c r="C268" s="8" t="n">
        <v>303007005</v>
      </c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 t="n">
        <v>30</v>
      </c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  <c r="BA268" s="9"/>
      <c r="BB268" s="9"/>
      <c r="BC268" s="9"/>
      <c r="BD268" s="9"/>
      <c r="BE268" s="9"/>
      <c r="BF268" s="9"/>
      <c r="BG268" s="9"/>
      <c r="BH268" s="9"/>
      <c r="BI268" s="9" t="n">
        <v>28</v>
      </c>
      <c r="BJ268" s="9"/>
      <c r="BK268" s="9"/>
      <c r="BL268" s="9"/>
      <c r="BM268" s="9"/>
      <c r="BN268" s="9"/>
      <c r="BO268" s="9"/>
      <c r="BP268" s="9"/>
      <c r="BQ268" s="9"/>
      <c r="BR268" s="9"/>
      <c r="BS268" s="9"/>
      <c r="BT268" s="9"/>
      <c r="BU268" s="10" t="n">
        <v>58</v>
      </c>
      <c r="BV268" s="11" t="n">
        <f aca="false">IF(ISERROR(ROUND(MEDIAN(BQ268:BT268),0)),0,ROUND(MEDIAN(BQ268:BT268),0))</f>
        <v>0</v>
      </c>
      <c r="BW268" s="11" t="n">
        <f aca="false">IF(ISERROR(ROUND(MEDIAN(BM268:BT268),0)),0,ROUND(MEDIAN(BM268:BT268),0))</f>
        <v>0</v>
      </c>
      <c r="BX268" s="11" t="n">
        <f aca="false">IF(ISERROR(ROUND(MEDIAN(BI268:BT268),0)),0,ROUND(MEDIAN(BI268:BT268),0))</f>
        <v>28</v>
      </c>
      <c r="BY268" s="11" t="n">
        <f aca="false">IF(ISERROR(ROUND(MEDIAN(BE268:BT268),0)),0,ROUND(MEDIAN(BE268:BT268),0))</f>
        <v>28</v>
      </c>
      <c r="BZ268" s="11" t="n">
        <f aca="false">IF(ISERROR(ROUND(MEDIAN(AU268:BT268),0)),0,ROUND(MEDIAN(AU268:BT268),0))</f>
        <v>28</v>
      </c>
      <c r="CA268" s="12" t="n">
        <f aca="false">IF(ISERROR(ROUND(MEDIAN(U268:BT268),0)),0,ROUND(MEDIAN(U268:BT268),0))</f>
        <v>29</v>
      </c>
      <c r="CB268" s="12" t="n">
        <f aca="false">IF(ISERROR(ROUND(MEDIAN(BT268),0)),0,ROUND(MEDIAN(BT268),0))</f>
        <v>0</v>
      </c>
      <c r="CC268" s="12" t="n">
        <f aca="false">IF(ISERROR(ROUND(MEDIAN(D268:BT268),0)),0,ROUND(MEDIAN(D268:BT268),0))</f>
        <v>29</v>
      </c>
      <c r="CD268" s="12" t="n">
        <f aca="false">MAX(D268:BT268)</f>
        <v>30</v>
      </c>
      <c r="CE268" s="7" t="n">
        <f aca="false">COUNTA(BQ268:BT268)</f>
        <v>0</v>
      </c>
      <c r="CF268" s="7" t="n">
        <f aca="false">COUNTA(BM268:BT268)</f>
        <v>0</v>
      </c>
      <c r="CG268" s="7" t="n">
        <f aca="false">COUNTA(BI268:BT268)</f>
        <v>1</v>
      </c>
      <c r="CH268" s="7" t="n">
        <f aca="false">COUNTA(BE268:BT268)</f>
        <v>1</v>
      </c>
      <c r="CI268" s="7" t="n">
        <f aca="false">COUNTA(AU268:BT268)</f>
        <v>1</v>
      </c>
      <c r="CJ268" s="7" t="n">
        <f aca="false">COUNTA(U268:BT268)</f>
        <v>2</v>
      </c>
      <c r="CK268" s="7" t="n">
        <f aca="false">COUNTA(BT268)</f>
        <v>0</v>
      </c>
      <c r="CL268" s="7" t="n">
        <f aca="false">COUNTA(D268:BT268)</f>
        <v>2</v>
      </c>
      <c r="CM268" s="17" t="str">
        <f aca="false">IF(AND(CE268=1,CJ268=1,BT268&lt;&gt;""),"5.ENTRANTES",IF(AND(CE268&lt;&gt;0,CE268/RIGHT($CE$1,1)&gt;=0.5,CJ268=CE268),"4.RECENTES",IF(AND(CF268&lt;&gt;0,CF268/RIGHT($CF$1,1)&gt;=0.5,CJ268=CF268),"4.RECENTES",IF(AND(CG268&lt;&gt;0,CG268/RIGHT($CG$1,2)&gt;=0.5,CJ268=CG268),"4.RECENTES",IF(AND(CH268&lt;&gt;0,CH268/RIGHT($CH$1,2)&gt;=0.5,CJ268=CH268),"4.RECENTES",IF(AND(CI268&lt;&gt;0,CI268/RIGHT($CI$1,2)&gt;=0.5,CJ268=CI268),"4.RECENTES",IF(AND(CE268=0,CF268=0,CG268=0,CH268=0),"3.INATIVOS",IF(CJ268/RIGHT($CJ$1,2)&lt;0.5,"2.INTERMITENTES","1.ORDINÁRIOS"))))))))</f>
        <v>2.INTERMITENTES</v>
      </c>
      <c r="CN268" s="18" t="n">
        <f aca="false">IF(AND(CE268=1,CJ268=1,BT268&lt;&gt;""),BT268,IF(AND(CE268&lt;&gt;0,CE268/RIGHT($CE$1,1)&gt;=0.5,CJ268=CE268),MAX(BV268:CC268),IF(AND(CF268&lt;&gt;0,CF268/RIGHT($CF$1,1)&gt;=0.5,CJ268=CF268),MAX(BV268:CC268),IF(AND(CG268&lt;&gt;0,CG268/RIGHT($CG$1,2)&gt;=0.5,CJ268=CG268),MAX(BV268:CC268),IF(AND(CH268&lt;&gt;0,CH268/RIGHT($CH$1,2)&gt;=0.5,CJ268=CH268),MAX(BV268:CC268),IF(AND(CI268&lt;&gt;0,CI268/RIGHT($CI$1,2)&gt;=0.5,CJ268=CI268),MAX(BV268:CC268),IF(AND(CE268=0,CF268=0,CG268=0,CH268=0),0,IF(CJ268/RIGHT($CJ$1,2)&lt;0.5,ROUND(BU268/RIGHT($CJ$1,2),0),MAX(BV268:CC268)))))))))</f>
        <v>1</v>
      </c>
      <c r="CO268" s="18" t="n">
        <f aca="false">CD268</f>
        <v>30</v>
      </c>
      <c r="CP268" s="15" t="n">
        <v>0</v>
      </c>
      <c r="CQ268" s="16" t="n">
        <f aca="false">IF((CO268-CP268)&lt;0,0,(CO268-CP268))</f>
        <v>30</v>
      </c>
      <c r="CR268" s="7"/>
    </row>
    <row r="269" customFormat="false" ht="12.75" hidden="false" customHeight="true" outlineLevel="0" collapsed="false">
      <c r="A269" s="7" t="s">
        <v>273</v>
      </c>
      <c r="B269" s="7" t="s">
        <v>366</v>
      </c>
      <c r="C269" s="8" t="n">
        <v>55001001</v>
      </c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 t="n">
        <v>58</v>
      </c>
      <c r="U269" s="9"/>
      <c r="V269" s="9"/>
      <c r="W269" s="9"/>
      <c r="X269" s="9"/>
      <c r="Y269" s="9"/>
      <c r="Z269" s="9" t="n">
        <v>30</v>
      </c>
      <c r="AA269" s="9"/>
      <c r="AB269" s="9"/>
      <c r="AC269" s="9" t="n">
        <v>30</v>
      </c>
      <c r="AD269" s="9"/>
      <c r="AE269" s="9"/>
      <c r="AF269" s="9"/>
      <c r="AG269" s="9"/>
      <c r="AH269" s="9"/>
      <c r="AI269" s="9"/>
      <c r="AJ269" s="9"/>
      <c r="AK269" s="9" t="n">
        <v>30</v>
      </c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 t="n">
        <v>30</v>
      </c>
      <c r="AW269" s="9"/>
      <c r="AX269" s="9"/>
      <c r="AY269" s="9"/>
      <c r="AZ269" s="9"/>
      <c r="BA269" s="9" t="n">
        <v>30</v>
      </c>
      <c r="BB269" s="9"/>
      <c r="BC269" s="9"/>
      <c r="BD269" s="9"/>
      <c r="BE269" s="9"/>
      <c r="BF269" s="9" t="n">
        <v>30</v>
      </c>
      <c r="BG269" s="9"/>
      <c r="BH269" s="9"/>
      <c r="BI269" s="9"/>
      <c r="BJ269" s="9"/>
      <c r="BK269" s="9"/>
      <c r="BL269" s="9"/>
      <c r="BM269" s="9"/>
      <c r="BN269" s="9" t="n">
        <v>30</v>
      </c>
      <c r="BO269" s="9"/>
      <c r="BP269" s="9"/>
      <c r="BQ269" s="9" t="n">
        <v>30</v>
      </c>
      <c r="BR269" s="9" t="n">
        <v>30</v>
      </c>
      <c r="BS269" s="9"/>
      <c r="BT269" s="9"/>
      <c r="BU269" s="10" t="n">
        <v>328</v>
      </c>
      <c r="BV269" s="11" t="n">
        <f aca="false">IF(ISERROR(ROUND(MEDIAN(BQ269:BT269),0)),0,ROUND(MEDIAN(BQ269:BT269),0))</f>
        <v>30</v>
      </c>
      <c r="BW269" s="11" t="n">
        <f aca="false">IF(ISERROR(ROUND(MEDIAN(BM269:BT269),0)),0,ROUND(MEDIAN(BM269:BT269),0))</f>
        <v>30</v>
      </c>
      <c r="BX269" s="11" t="n">
        <f aca="false">IF(ISERROR(ROUND(MEDIAN(BI269:BT269),0)),0,ROUND(MEDIAN(BI269:BT269),0))</f>
        <v>30</v>
      </c>
      <c r="BY269" s="11" t="n">
        <f aca="false">IF(ISERROR(ROUND(MEDIAN(BE269:BT269),0)),0,ROUND(MEDIAN(BE269:BT269),0))</f>
        <v>30</v>
      </c>
      <c r="BZ269" s="11" t="n">
        <f aca="false">IF(ISERROR(ROUND(MEDIAN(AU269:BT269),0)),0,ROUND(MEDIAN(AU269:BT269),0))</f>
        <v>30</v>
      </c>
      <c r="CA269" s="12" t="n">
        <f aca="false">IF(ISERROR(ROUND(MEDIAN(U269:BT269),0)),0,ROUND(MEDIAN(U269:BT269),0))</f>
        <v>30</v>
      </c>
      <c r="CB269" s="12" t="n">
        <f aca="false">IF(ISERROR(ROUND(MEDIAN(BT269),0)),0,ROUND(MEDIAN(BT269),0))</f>
        <v>0</v>
      </c>
      <c r="CC269" s="12" t="n">
        <f aca="false">IF(ISERROR(ROUND(MEDIAN(D269:BT269),0)),0,ROUND(MEDIAN(D269:BT269),0))</f>
        <v>30</v>
      </c>
      <c r="CD269" s="12" t="n">
        <f aca="false">MAX(D269:BT269)</f>
        <v>58</v>
      </c>
      <c r="CE269" s="7" t="n">
        <f aca="false">COUNTA(BQ269:BT269)</f>
        <v>2</v>
      </c>
      <c r="CF269" s="7" t="n">
        <f aca="false">COUNTA(BM269:BT269)</f>
        <v>3</v>
      </c>
      <c r="CG269" s="7" t="n">
        <f aca="false">COUNTA(BI269:BT269)</f>
        <v>3</v>
      </c>
      <c r="CH269" s="7" t="n">
        <f aca="false">COUNTA(BE269:BT269)</f>
        <v>4</v>
      </c>
      <c r="CI269" s="7" t="n">
        <f aca="false">COUNTA(AU269:BT269)</f>
        <v>6</v>
      </c>
      <c r="CJ269" s="7" t="n">
        <f aca="false">COUNTA(U269:BT269)</f>
        <v>9</v>
      </c>
      <c r="CK269" s="7" t="n">
        <f aca="false">COUNTA(BT269)</f>
        <v>0</v>
      </c>
      <c r="CL269" s="7" t="n">
        <f aca="false">COUNTA(D269:BT269)</f>
        <v>10</v>
      </c>
      <c r="CM269" s="17" t="str">
        <f aca="false">IF(AND(CE269=1,CJ269=1,BT269&lt;&gt;""),"5.ENTRANTES",IF(AND(CE269&lt;&gt;0,CE269/RIGHT($CE$1,1)&gt;=0.5,CJ269=CE269),"4.RECENTES",IF(AND(CF269&lt;&gt;0,CF269/RIGHT($CF$1,1)&gt;=0.5,CJ269=CF269),"4.RECENTES",IF(AND(CG269&lt;&gt;0,CG269/RIGHT($CG$1,2)&gt;=0.5,CJ269=CG269),"4.RECENTES",IF(AND(CH269&lt;&gt;0,CH269/RIGHT($CH$1,2)&gt;=0.5,CJ269=CH269),"4.RECENTES",IF(AND(CI269&lt;&gt;0,CI269/RIGHT($CI$1,2)&gt;=0.5,CJ269=CI269),"4.RECENTES",IF(AND(CE269=0,CF269=0,CG269=0,CH269=0),"3.INATIVOS",IF(CJ269/RIGHT($CJ$1,2)&lt;0.5,"2.INTERMITENTES","1.ORDINÁRIOS"))))))))</f>
        <v>2.INTERMITENTES</v>
      </c>
      <c r="CN269" s="18" t="n">
        <f aca="false">IF(AND(CE269=1,CJ269=1,BT269&lt;&gt;""),BT269,IF(AND(CE269&lt;&gt;0,CE269/RIGHT($CE$1,1)&gt;=0.5,CJ269=CE269),MAX(BV269:CC269),IF(AND(CF269&lt;&gt;0,CF269/RIGHT($CF$1,1)&gt;=0.5,CJ269=CF269),MAX(BV269:CC269),IF(AND(CG269&lt;&gt;0,CG269/RIGHT($CG$1,2)&gt;=0.5,CJ269=CG269),MAX(BV269:CC269),IF(AND(CH269&lt;&gt;0,CH269/RIGHT($CH$1,2)&gt;=0.5,CJ269=CH269),MAX(BV269:CC269),IF(AND(CI269&lt;&gt;0,CI269/RIGHT($CI$1,2)&gt;=0.5,CJ269=CI269),MAX(BV269:CC269),IF(AND(CE269=0,CF269=0,CG269=0,CH269=0),0,IF(CJ269/RIGHT($CJ$1,2)&lt;0.5,ROUND(BU269/RIGHT($CJ$1,2),0),MAX(BV269:CC269)))))))))</f>
        <v>6</v>
      </c>
      <c r="CO269" s="18" t="n">
        <f aca="false">CD269</f>
        <v>58</v>
      </c>
      <c r="CP269" s="15" t="n">
        <v>60</v>
      </c>
      <c r="CQ269" s="16" t="n">
        <f aca="false">IF((CO269-CP269)&lt;0,0,(CO269-CP269))</f>
        <v>0</v>
      </c>
      <c r="CR269" s="7"/>
    </row>
    <row r="270" customFormat="false" ht="12.75" hidden="false" customHeight="true" outlineLevel="0" collapsed="false">
      <c r="A270" s="7" t="s">
        <v>273</v>
      </c>
      <c r="B270" s="7" t="s">
        <v>367</v>
      </c>
      <c r="C270" s="8" t="n">
        <v>305002007</v>
      </c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 t="n">
        <v>2</v>
      </c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9"/>
      <c r="BA270" s="9"/>
      <c r="BB270" s="9"/>
      <c r="BC270" s="9"/>
      <c r="BD270" s="9"/>
      <c r="BE270" s="9"/>
      <c r="BF270" s="9"/>
      <c r="BG270" s="9"/>
      <c r="BH270" s="9"/>
      <c r="BI270" s="9"/>
      <c r="BJ270" s="9"/>
      <c r="BK270" s="9"/>
      <c r="BL270" s="9"/>
      <c r="BM270" s="9"/>
      <c r="BN270" s="9"/>
      <c r="BO270" s="9"/>
      <c r="BP270" s="9"/>
      <c r="BQ270" s="9"/>
      <c r="BR270" s="9"/>
      <c r="BS270" s="9"/>
      <c r="BT270" s="9"/>
      <c r="BU270" s="10" t="n">
        <v>2</v>
      </c>
      <c r="BV270" s="11" t="n">
        <f aca="false">IF(ISERROR(ROUND(MEDIAN(BQ270:BT270),0)),0,ROUND(MEDIAN(BQ270:BT270),0))</f>
        <v>0</v>
      </c>
      <c r="BW270" s="11" t="n">
        <f aca="false">IF(ISERROR(ROUND(MEDIAN(BM270:BT270),0)),0,ROUND(MEDIAN(BM270:BT270),0))</f>
        <v>0</v>
      </c>
      <c r="BX270" s="11" t="n">
        <f aca="false">IF(ISERROR(ROUND(MEDIAN(BI270:BT270),0)),0,ROUND(MEDIAN(BI270:BT270),0))</f>
        <v>0</v>
      </c>
      <c r="BY270" s="11" t="n">
        <f aca="false">IF(ISERROR(ROUND(MEDIAN(BE270:BT270),0)),0,ROUND(MEDIAN(BE270:BT270),0))</f>
        <v>0</v>
      </c>
      <c r="BZ270" s="11" t="n">
        <f aca="false">IF(ISERROR(ROUND(MEDIAN(AU270:BT270),0)),0,ROUND(MEDIAN(AU270:BT270),0))</f>
        <v>0</v>
      </c>
      <c r="CA270" s="12" t="n">
        <f aca="false">IF(ISERROR(ROUND(MEDIAN(U270:BT270),0)),0,ROUND(MEDIAN(U270:BT270),0))</f>
        <v>2</v>
      </c>
      <c r="CB270" s="12" t="n">
        <f aca="false">IF(ISERROR(ROUND(MEDIAN(BT270),0)),0,ROUND(MEDIAN(BT270),0))</f>
        <v>0</v>
      </c>
      <c r="CC270" s="12" t="n">
        <f aca="false">IF(ISERROR(ROUND(MEDIAN(D270:BT270),0)),0,ROUND(MEDIAN(D270:BT270),0))</f>
        <v>2</v>
      </c>
      <c r="CD270" s="12" t="n">
        <f aca="false">MAX(D270:BT270)</f>
        <v>2</v>
      </c>
      <c r="CE270" s="7" t="n">
        <f aca="false">COUNTA(BQ270:BT270)</f>
        <v>0</v>
      </c>
      <c r="CF270" s="7" t="n">
        <f aca="false">COUNTA(BM270:BT270)</f>
        <v>0</v>
      </c>
      <c r="CG270" s="7" t="n">
        <f aca="false">COUNTA(BI270:BT270)</f>
        <v>0</v>
      </c>
      <c r="CH270" s="7" t="n">
        <f aca="false">COUNTA(BE270:BT270)</f>
        <v>0</v>
      </c>
      <c r="CI270" s="7" t="n">
        <f aca="false">COUNTA(AU270:BT270)</f>
        <v>0</v>
      </c>
      <c r="CJ270" s="7" t="n">
        <f aca="false">COUNTA(U270:BT270)</f>
        <v>1</v>
      </c>
      <c r="CK270" s="7" t="n">
        <f aca="false">COUNTA(BT270)</f>
        <v>0</v>
      </c>
      <c r="CL270" s="7" t="n">
        <f aca="false">COUNTA(D270:BT270)</f>
        <v>1</v>
      </c>
      <c r="CM270" s="19" t="str">
        <f aca="false">IF(AND(CE270=1,CJ270=1,BT270&lt;&gt;""),"5.ENTRANTES",IF(AND(CE270&lt;&gt;0,CE270/RIGHT($CE$1,1)&gt;=0.5,CJ270=CE270),"4.RECENTES",IF(AND(CF270&lt;&gt;0,CF270/RIGHT($CF$1,1)&gt;=0.5,CJ270=CF270),"4.RECENTES",IF(AND(CG270&lt;&gt;0,CG270/RIGHT($CG$1,2)&gt;=0.5,CJ270=CG270),"4.RECENTES",IF(AND(CH270&lt;&gt;0,CH270/RIGHT($CH$1,2)&gt;=0.5,CJ270=CH270),"4.RECENTES",IF(AND(CI270&lt;&gt;0,CI270/RIGHT($CI$1,2)&gt;=0.5,CJ270=CI270),"4.RECENTES",IF(AND(CE270=0,CF270=0,CG270=0,CH270=0),"3.INATIVOS",IF(CJ270/RIGHT($CJ$1,2)&lt;0.5,"2.INTERMITENTES","1.ORDINÁRIOS"))))))))</f>
        <v>3.INATIVOS</v>
      </c>
      <c r="CN270" s="20" t="n">
        <f aca="false">IF(AND(CE270=1,CJ270=1,BT270&lt;&gt;""),BT270,IF(AND(CE270&lt;&gt;0,CE270/RIGHT($CE$1,1)&gt;=0.5,CJ270=CE270),MAX(BV270:CC270),IF(AND(CF270&lt;&gt;0,CF270/RIGHT($CF$1,1)&gt;=0.5,CJ270=CF270),MAX(BV270:CC270),IF(AND(CG270&lt;&gt;0,CG270/RIGHT($CG$1,2)&gt;=0.5,CJ270=CG270),MAX(BV270:CC270),IF(AND(CH270&lt;&gt;0,CH270/RIGHT($CH$1,2)&gt;=0.5,CJ270=CH270),MAX(BV270:CC270),IF(AND(CI270&lt;&gt;0,CI270/RIGHT($CI$1,2)&gt;=0.5,CJ270=CI270),MAX(BV270:CC270),IF(AND(CE270=0,CF270=0,CG270=0,CH270=0),0,IF(CJ270/RIGHT($CJ$1,2)&lt;0.5,ROUND(BU270/RIGHT($CJ$1,2),0),MAX(BV270:CC270)))))))))</f>
        <v>0</v>
      </c>
      <c r="CO270" s="20" t="n">
        <f aca="false">CN270*3</f>
        <v>0</v>
      </c>
      <c r="CP270" s="15" t="n">
        <v>0</v>
      </c>
      <c r="CQ270" s="16" t="n">
        <f aca="false">IF((CO270-CP270)&lt;0,0,(CO270-CP270))</f>
        <v>0</v>
      </c>
      <c r="CR270" s="7"/>
    </row>
    <row r="271" customFormat="false" ht="12.75" hidden="false" customHeight="true" outlineLevel="0" collapsed="false">
      <c r="A271" s="7" t="s">
        <v>273</v>
      </c>
      <c r="B271" s="7" t="s">
        <v>368</v>
      </c>
      <c r="C271" s="8" t="n">
        <v>79001003</v>
      </c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 t="n">
        <v>60</v>
      </c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  <c r="BA271" s="9"/>
      <c r="BB271" s="9"/>
      <c r="BC271" s="9"/>
      <c r="BD271" s="9"/>
      <c r="BE271" s="9"/>
      <c r="BF271" s="9"/>
      <c r="BG271" s="9"/>
      <c r="BH271" s="9"/>
      <c r="BI271" s="9"/>
      <c r="BJ271" s="9"/>
      <c r="BK271" s="9"/>
      <c r="BL271" s="9"/>
      <c r="BM271" s="9"/>
      <c r="BN271" s="9"/>
      <c r="BO271" s="9"/>
      <c r="BP271" s="9"/>
      <c r="BQ271" s="9"/>
      <c r="BR271" s="9"/>
      <c r="BS271" s="9"/>
      <c r="BT271" s="9"/>
      <c r="BU271" s="10" t="n">
        <v>60</v>
      </c>
      <c r="BV271" s="11" t="n">
        <f aca="false">IF(ISERROR(ROUND(MEDIAN(BQ271:BT271),0)),0,ROUND(MEDIAN(BQ271:BT271),0))</f>
        <v>0</v>
      </c>
      <c r="BW271" s="11" t="n">
        <f aca="false">IF(ISERROR(ROUND(MEDIAN(BM271:BT271),0)),0,ROUND(MEDIAN(BM271:BT271),0))</f>
        <v>0</v>
      </c>
      <c r="BX271" s="11" t="n">
        <f aca="false">IF(ISERROR(ROUND(MEDIAN(BI271:BT271),0)),0,ROUND(MEDIAN(BI271:BT271),0))</f>
        <v>0</v>
      </c>
      <c r="BY271" s="11" t="n">
        <f aca="false">IF(ISERROR(ROUND(MEDIAN(BE271:BT271),0)),0,ROUND(MEDIAN(BE271:BT271),0))</f>
        <v>0</v>
      </c>
      <c r="BZ271" s="11" t="n">
        <f aca="false">IF(ISERROR(ROUND(MEDIAN(AU271:BT271),0)),0,ROUND(MEDIAN(AU271:BT271),0))</f>
        <v>0</v>
      </c>
      <c r="CA271" s="12" t="n">
        <f aca="false">IF(ISERROR(ROUND(MEDIAN(U271:BT271),0)),0,ROUND(MEDIAN(U271:BT271),0))</f>
        <v>60</v>
      </c>
      <c r="CB271" s="12" t="n">
        <f aca="false">IF(ISERROR(ROUND(MEDIAN(BT271),0)),0,ROUND(MEDIAN(BT271),0))</f>
        <v>0</v>
      </c>
      <c r="CC271" s="12" t="n">
        <f aca="false">IF(ISERROR(ROUND(MEDIAN(D271:BT271),0)),0,ROUND(MEDIAN(D271:BT271),0))</f>
        <v>60</v>
      </c>
      <c r="CD271" s="12" t="n">
        <f aca="false">MAX(D271:BT271)</f>
        <v>60</v>
      </c>
      <c r="CE271" s="7" t="n">
        <f aca="false">COUNTA(BQ271:BT271)</f>
        <v>0</v>
      </c>
      <c r="CF271" s="7" t="n">
        <f aca="false">COUNTA(BM271:BT271)</f>
        <v>0</v>
      </c>
      <c r="CG271" s="7" t="n">
        <f aca="false">COUNTA(BI271:BT271)</f>
        <v>0</v>
      </c>
      <c r="CH271" s="7" t="n">
        <f aca="false">COUNTA(BE271:BT271)</f>
        <v>0</v>
      </c>
      <c r="CI271" s="7" t="n">
        <f aca="false">COUNTA(AU271:BT271)</f>
        <v>0</v>
      </c>
      <c r="CJ271" s="7" t="n">
        <f aca="false">COUNTA(U271:BT271)</f>
        <v>1</v>
      </c>
      <c r="CK271" s="7" t="n">
        <f aca="false">COUNTA(BT271)</f>
        <v>0</v>
      </c>
      <c r="CL271" s="7" t="n">
        <f aca="false">COUNTA(D271:BT271)</f>
        <v>1</v>
      </c>
      <c r="CM271" s="19" t="str">
        <f aca="false">IF(AND(CE271=1,CJ271=1,BT271&lt;&gt;""),"5.ENTRANTES",IF(AND(CE271&lt;&gt;0,CE271/RIGHT($CE$1,1)&gt;=0.5,CJ271=CE271),"4.RECENTES",IF(AND(CF271&lt;&gt;0,CF271/RIGHT($CF$1,1)&gt;=0.5,CJ271=CF271),"4.RECENTES",IF(AND(CG271&lt;&gt;0,CG271/RIGHT($CG$1,2)&gt;=0.5,CJ271=CG271),"4.RECENTES",IF(AND(CH271&lt;&gt;0,CH271/RIGHT($CH$1,2)&gt;=0.5,CJ271=CH271),"4.RECENTES",IF(AND(CI271&lt;&gt;0,CI271/RIGHT($CI$1,2)&gt;=0.5,CJ271=CI271),"4.RECENTES",IF(AND(CE271=0,CF271=0,CG271=0,CH271=0),"3.INATIVOS",IF(CJ271/RIGHT($CJ$1,2)&lt;0.5,"2.INTERMITENTES","1.ORDINÁRIOS"))))))))</f>
        <v>3.INATIVOS</v>
      </c>
      <c r="CN271" s="20" t="n">
        <f aca="false">IF(AND(CE271=1,CJ271=1,BT271&lt;&gt;""),BT271,IF(AND(CE271&lt;&gt;0,CE271/RIGHT($CE$1,1)&gt;=0.5,CJ271=CE271),MAX(BV271:CC271),IF(AND(CF271&lt;&gt;0,CF271/RIGHT($CF$1,1)&gt;=0.5,CJ271=CF271),MAX(BV271:CC271),IF(AND(CG271&lt;&gt;0,CG271/RIGHT($CG$1,2)&gt;=0.5,CJ271=CG271),MAX(BV271:CC271),IF(AND(CH271&lt;&gt;0,CH271/RIGHT($CH$1,2)&gt;=0.5,CJ271=CH271),MAX(BV271:CC271),IF(AND(CI271&lt;&gt;0,CI271/RIGHT($CI$1,2)&gt;=0.5,CJ271=CI271),MAX(BV271:CC271),IF(AND(CE271=0,CF271=0,CG271=0,CH271=0),0,IF(CJ271/RIGHT($CJ$1,2)&lt;0.5,ROUND(BU271/RIGHT($CJ$1,2),0),MAX(BV271:CC271)))))))))</f>
        <v>0</v>
      </c>
      <c r="CO271" s="20" t="n">
        <f aca="false">CN271*3</f>
        <v>0</v>
      </c>
      <c r="CP271" s="15" t="n">
        <v>0</v>
      </c>
      <c r="CQ271" s="16" t="n">
        <f aca="false">IF((CO271-CP271)&lt;0,0,(CO271-CP271))</f>
        <v>0</v>
      </c>
      <c r="CR271" s="7"/>
    </row>
    <row r="272" customFormat="false" ht="12.75" hidden="false" customHeight="true" outlineLevel="0" collapsed="false">
      <c r="A272" s="7" t="s">
        <v>273</v>
      </c>
      <c r="B272" s="7" t="s">
        <v>369</v>
      </c>
      <c r="C272" s="8" t="n">
        <v>230001018</v>
      </c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 t="n">
        <v>2</v>
      </c>
      <c r="AQ272" s="9"/>
      <c r="AR272" s="9"/>
      <c r="AS272" s="9"/>
      <c r="AT272" s="9"/>
      <c r="AU272" s="9" t="n">
        <v>2</v>
      </c>
      <c r="AV272" s="9"/>
      <c r="AW272" s="9"/>
      <c r="AX272" s="9"/>
      <c r="AY272" s="9"/>
      <c r="AZ272" s="9" t="n">
        <v>2</v>
      </c>
      <c r="BA272" s="9"/>
      <c r="BB272" s="9"/>
      <c r="BC272" s="9"/>
      <c r="BD272" s="9" t="n">
        <v>2</v>
      </c>
      <c r="BE272" s="9"/>
      <c r="BF272" s="9"/>
      <c r="BG272" s="9"/>
      <c r="BH272" s="9" t="n">
        <v>2</v>
      </c>
      <c r="BI272" s="9"/>
      <c r="BJ272" s="9"/>
      <c r="BK272" s="9"/>
      <c r="BL272" s="9"/>
      <c r="BM272" s="9" t="n">
        <v>2</v>
      </c>
      <c r="BN272" s="9"/>
      <c r="BO272" s="9"/>
      <c r="BP272" s="9"/>
      <c r="BQ272" s="9"/>
      <c r="BR272" s="9"/>
      <c r="BS272" s="9"/>
      <c r="BT272" s="9"/>
      <c r="BU272" s="10" t="n">
        <v>12</v>
      </c>
      <c r="BV272" s="11" t="n">
        <f aca="false">IF(ISERROR(ROUND(MEDIAN(BQ272:BT272),0)),0,ROUND(MEDIAN(BQ272:BT272),0))</f>
        <v>0</v>
      </c>
      <c r="BW272" s="11" t="n">
        <f aca="false">IF(ISERROR(ROUND(MEDIAN(BM272:BT272),0)),0,ROUND(MEDIAN(BM272:BT272),0))</f>
        <v>2</v>
      </c>
      <c r="BX272" s="11" t="n">
        <f aca="false">IF(ISERROR(ROUND(MEDIAN(BI272:BT272),0)),0,ROUND(MEDIAN(BI272:BT272),0))</f>
        <v>2</v>
      </c>
      <c r="BY272" s="11" t="n">
        <f aca="false">IF(ISERROR(ROUND(MEDIAN(BE272:BT272),0)),0,ROUND(MEDIAN(BE272:BT272),0))</f>
        <v>2</v>
      </c>
      <c r="BZ272" s="11" t="n">
        <f aca="false">IF(ISERROR(ROUND(MEDIAN(AU272:BT272),0)),0,ROUND(MEDIAN(AU272:BT272),0))</f>
        <v>2</v>
      </c>
      <c r="CA272" s="12" t="n">
        <f aca="false">IF(ISERROR(ROUND(MEDIAN(U272:BT272),0)),0,ROUND(MEDIAN(U272:BT272),0))</f>
        <v>2</v>
      </c>
      <c r="CB272" s="12" t="n">
        <f aca="false">IF(ISERROR(ROUND(MEDIAN(BT272),0)),0,ROUND(MEDIAN(BT272),0))</f>
        <v>0</v>
      </c>
      <c r="CC272" s="12" t="n">
        <f aca="false">IF(ISERROR(ROUND(MEDIAN(D272:BT272),0)),0,ROUND(MEDIAN(D272:BT272),0))</f>
        <v>2</v>
      </c>
      <c r="CD272" s="12" t="n">
        <f aca="false">MAX(D272:BT272)</f>
        <v>2</v>
      </c>
      <c r="CE272" s="7" t="n">
        <f aca="false">COUNTA(BQ272:BT272)</f>
        <v>0</v>
      </c>
      <c r="CF272" s="7" t="n">
        <f aca="false">COUNTA(BM272:BT272)</f>
        <v>1</v>
      </c>
      <c r="CG272" s="7" t="n">
        <f aca="false">COUNTA(BI272:BT272)</f>
        <v>1</v>
      </c>
      <c r="CH272" s="7" t="n">
        <f aca="false">COUNTA(BE272:BT272)</f>
        <v>2</v>
      </c>
      <c r="CI272" s="7" t="n">
        <f aca="false">COUNTA(AU272:BT272)</f>
        <v>5</v>
      </c>
      <c r="CJ272" s="7" t="n">
        <f aca="false">COUNTA(U272:BT272)</f>
        <v>6</v>
      </c>
      <c r="CK272" s="7" t="n">
        <f aca="false">COUNTA(BT272)</f>
        <v>0</v>
      </c>
      <c r="CL272" s="7" t="n">
        <f aca="false">COUNTA(D272:BT272)</f>
        <v>6</v>
      </c>
      <c r="CM272" s="17" t="str">
        <f aca="false">IF(AND(CE272=1,CJ272=1,BT272&lt;&gt;""),"5.ENTRANTES",IF(AND(CE272&lt;&gt;0,CE272/RIGHT($CE$1,1)&gt;=0.5,CJ272=CE272),"4.RECENTES",IF(AND(CF272&lt;&gt;0,CF272/RIGHT($CF$1,1)&gt;=0.5,CJ272=CF272),"4.RECENTES",IF(AND(CG272&lt;&gt;0,CG272/RIGHT($CG$1,2)&gt;=0.5,CJ272=CG272),"4.RECENTES",IF(AND(CH272&lt;&gt;0,CH272/RIGHT($CH$1,2)&gt;=0.5,CJ272=CH272),"4.RECENTES",IF(AND(CI272&lt;&gt;0,CI272/RIGHT($CI$1,2)&gt;=0.5,CJ272=CI272),"4.RECENTES",IF(AND(CE272=0,CF272=0,CG272=0,CH272=0),"3.INATIVOS",IF(CJ272/RIGHT($CJ$1,2)&lt;0.5,"2.INTERMITENTES","1.ORDINÁRIOS"))))))))</f>
        <v>2.INTERMITENTES</v>
      </c>
      <c r="CN272" s="18" t="n">
        <f aca="false">IF(AND(CE272=1,CJ272=1,BT272&lt;&gt;""),BT272,IF(AND(CE272&lt;&gt;0,CE272/RIGHT($CE$1,1)&gt;=0.5,CJ272=CE272),MAX(BV272:CC272),IF(AND(CF272&lt;&gt;0,CF272/RIGHT($CF$1,1)&gt;=0.5,CJ272=CF272),MAX(BV272:CC272),IF(AND(CG272&lt;&gt;0,CG272/RIGHT($CG$1,2)&gt;=0.5,CJ272=CG272),MAX(BV272:CC272),IF(AND(CH272&lt;&gt;0,CH272/RIGHT($CH$1,2)&gt;=0.5,CJ272=CH272),MAX(BV272:CC272),IF(AND(CI272&lt;&gt;0,CI272/RIGHT($CI$1,2)&gt;=0.5,CJ272=CI272),MAX(BV272:CC272),IF(AND(CE272=0,CF272=0,CG272=0,CH272=0),0,IF(CJ272/RIGHT($CJ$1,2)&lt;0.5,ROUND(BU272/RIGHT($CJ$1,2),0),MAX(BV272:CC272)))))))))</f>
        <v>0</v>
      </c>
      <c r="CO272" s="18" t="n">
        <f aca="false">CD272</f>
        <v>2</v>
      </c>
      <c r="CP272" s="15" t="n">
        <v>0</v>
      </c>
      <c r="CQ272" s="16" t="n">
        <f aca="false">IF((CO272-CP272)&lt;0,0,(CO272-CP272))</f>
        <v>2</v>
      </c>
      <c r="CR272" s="7"/>
    </row>
    <row r="273" customFormat="false" ht="12.75" hidden="false" customHeight="true" outlineLevel="0" collapsed="false">
      <c r="A273" s="7" t="s">
        <v>273</v>
      </c>
      <c r="B273" s="7" t="s">
        <v>370</v>
      </c>
      <c r="C273" s="8" t="n">
        <v>21001028</v>
      </c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 t="n">
        <v>20</v>
      </c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  <c r="BA273" s="9"/>
      <c r="BB273" s="9"/>
      <c r="BC273" s="9"/>
      <c r="BD273" s="9"/>
      <c r="BE273" s="9"/>
      <c r="BF273" s="9"/>
      <c r="BG273" s="9"/>
      <c r="BH273" s="9"/>
      <c r="BI273" s="9"/>
      <c r="BJ273" s="9"/>
      <c r="BK273" s="9"/>
      <c r="BL273" s="9"/>
      <c r="BM273" s="9"/>
      <c r="BN273" s="9"/>
      <c r="BO273" s="9"/>
      <c r="BP273" s="9"/>
      <c r="BQ273" s="9"/>
      <c r="BR273" s="9"/>
      <c r="BS273" s="9"/>
      <c r="BT273" s="9"/>
      <c r="BU273" s="10" t="n">
        <v>20</v>
      </c>
      <c r="BV273" s="11" t="n">
        <f aca="false">IF(ISERROR(ROUND(MEDIAN(BQ273:BT273),0)),0,ROUND(MEDIAN(BQ273:BT273),0))</f>
        <v>0</v>
      </c>
      <c r="BW273" s="11" t="n">
        <f aca="false">IF(ISERROR(ROUND(MEDIAN(BM273:BT273),0)),0,ROUND(MEDIAN(BM273:BT273),0))</f>
        <v>0</v>
      </c>
      <c r="BX273" s="11" t="n">
        <f aca="false">IF(ISERROR(ROUND(MEDIAN(BI273:BT273),0)),0,ROUND(MEDIAN(BI273:BT273),0))</f>
        <v>0</v>
      </c>
      <c r="BY273" s="11" t="n">
        <f aca="false">IF(ISERROR(ROUND(MEDIAN(BE273:BT273),0)),0,ROUND(MEDIAN(BE273:BT273),0))</f>
        <v>0</v>
      </c>
      <c r="BZ273" s="11" t="n">
        <f aca="false">IF(ISERROR(ROUND(MEDIAN(AU273:BT273),0)),0,ROUND(MEDIAN(AU273:BT273),0))</f>
        <v>0</v>
      </c>
      <c r="CA273" s="12" t="n">
        <f aca="false">IF(ISERROR(ROUND(MEDIAN(U273:BT273),0)),0,ROUND(MEDIAN(U273:BT273),0))</f>
        <v>20</v>
      </c>
      <c r="CB273" s="12" t="n">
        <f aca="false">IF(ISERROR(ROUND(MEDIAN(BT273),0)),0,ROUND(MEDIAN(BT273),0))</f>
        <v>0</v>
      </c>
      <c r="CC273" s="12" t="n">
        <f aca="false">IF(ISERROR(ROUND(MEDIAN(D273:BT273),0)),0,ROUND(MEDIAN(D273:BT273),0))</f>
        <v>20</v>
      </c>
      <c r="CD273" s="12" t="n">
        <f aca="false">MAX(D273:BT273)</f>
        <v>20</v>
      </c>
      <c r="CE273" s="7" t="n">
        <f aca="false">COUNTA(BQ273:BT273)</f>
        <v>0</v>
      </c>
      <c r="CF273" s="7" t="n">
        <f aca="false">COUNTA(BM273:BT273)</f>
        <v>0</v>
      </c>
      <c r="CG273" s="7" t="n">
        <f aca="false">COUNTA(BI273:BT273)</f>
        <v>0</v>
      </c>
      <c r="CH273" s="7" t="n">
        <f aca="false">COUNTA(BE273:BT273)</f>
        <v>0</v>
      </c>
      <c r="CI273" s="7" t="n">
        <f aca="false">COUNTA(AU273:BT273)</f>
        <v>0</v>
      </c>
      <c r="CJ273" s="7" t="n">
        <f aca="false">COUNTA(U273:BT273)</f>
        <v>1</v>
      </c>
      <c r="CK273" s="7" t="n">
        <f aca="false">COUNTA(BT273)</f>
        <v>0</v>
      </c>
      <c r="CL273" s="7" t="n">
        <f aca="false">COUNTA(D273:BT273)</f>
        <v>1</v>
      </c>
      <c r="CM273" s="19" t="str">
        <f aca="false">IF(AND(CE273=1,CJ273=1,BT273&lt;&gt;""),"5.ENTRANTES",IF(AND(CE273&lt;&gt;0,CE273/RIGHT($CE$1,1)&gt;=0.5,CJ273=CE273),"4.RECENTES",IF(AND(CF273&lt;&gt;0,CF273/RIGHT($CF$1,1)&gt;=0.5,CJ273=CF273),"4.RECENTES",IF(AND(CG273&lt;&gt;0,CG273/RIGHT($CG$1,2)&gt;=0.5,CJ273=CG273),"4.RECENTES",IF(AND(CH273&lt;&gt;0,CH273/RIGHT($CH$1,2)&gt;=0.5,CJ273=CH273),"4.RECENTES",IF(AND(CI273&lt;&gt;0,CI273/RIGHT($CI$1,2)&gt;=0.5,CJ273=CI273),"4.RECENTES",IF(AND(CE273=0,CF273=0,CG273=0,CH273=0),"3.INATIVOS",IF(CJ273/RIGHT($CJ$1,2)&lt;0.5,"2.INTERMITENTES","1.ORDINÁRIOS"))))))))</f>
        <v>3.INATIVOS</v>
      </c>
      <c r="CN273" s="20" t="n">
        <f aca="false">IF(AND(CE273=1,CJ273=1,BT273&lt;&gt;""),BT273,IF(AND(CE273&lt;&gt;0,CE273/RIGHT($CE$1,1)&gt;=0.5,CJ273=CE273),MAX(BV273:CC273),IF(AND(CF273&lt;&gt;0,CF273/RIGHT($CF$1,1)&gt;=0.5,CJ273=CF273),MAX(BV273:CC273),IF(AND(CG273&lt;&gt;0,CG273/RIGHT($CG$1,2)&gt;=0.5,CJ273=CG273),MAX(BV273:CC273),IF(AND(CH273&lt;&gt;0,CH273/RIGHT($CH$1,2)&gt;=0.5,CJ273=CH273),MAX(BV273:CC273),IF(AND(CI273&lt;&gt;0,CI273/RIGHT($CI$1,2)&gt;=0.5,CJ273=CI273),MAX(BV273:CC273),IF(AND(CE273=0,CF273=0,CG273=0,CH273=0),0,IF(CJ273/RIGHT($CJ$1,2)&lt;0.5,ROUND(BU273/RIGHT($CJ$1,2),0),MAX(BV273:CC273)))))))))</f>
        <v>0</v>
      </c>
      <c r="CO273" s="20" t="n">
        <f aca="false">CN273*3</f>
        <v>0</v>
      </c>
      <c r="CP273" s="15" t="n">
        <v>0</v>
      </c>
      <c r="CQ273" s="16" t="n">
        <f aca="false">IF((CO273-CP273)&lt;0,0,(CO273-CP273))</f>
        <v>0</v>
      </c>
      <c r="CR273" s="7"/>
    </row>
    <row r="274" customFormat="false" ht="12.75" hidden="false" customHeight="true" outlineLevel="0" collapsed="false">
      <c r="A274" s="7" t="s">
        <v>273</v>
      </c>
      <c r="B274" s="7" t="s">
        <v>371</v>
      </c>
      <c r="C274" s="8" t="n">
        <v>21001091</v>
      </c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 t="n">
        <v>10</v>
      </c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AZ274" s="9"/>
      <c r="BA274" s="9"/>
      <c r="BB274" s="9"/>
      <c r="BC274" s="9"/>
      <c r="BD274" s="9"/>
      <c r="BE274" s="9"/>
      <c r="BF274" s="9"/>
      <c r="BG274" s="9"/>
      <c r="BH274" s="9"/>
      <c r="BI274" s="9"/>
      <c r="BJ274" s="9"/>
      <c r="BK274" s="9"/>
      <c r="BL274" s="9"/>
      <c r="BM274" s="9"/>
      <c r="BN274" s="9"/>
      <c r="BO274" s="9"/>
      <c r="BP274" s="9"/>
      <c r="BQ274" s="9"/>
      <c r="BR274" s="9"/>
      <c r="BS274" s="9"/>
      <c r="BT274" s="9"/>
      <c r="BU274" s="10" t="n">
        <v>10</v>
      </c>
      <c r="BV274" s="11" t="n">
        <f aca="false">IF(ISERROR(ROUND(MEDIAN(BQ274:BT274),0)),0,ROUND(MEDIAN(BQ274:BT274),0))</f>
        <v>0</v>
      </c>
      <c r="BW274" s="11" t="n">
        <f aca="false">IF(ISERROR(ROUND(MEDIAN(BM274:BT274),0)),0,ROUND(MEDIAN(BM274:BT274),0))</f>
        <v>0</v>
      </c>
      <c r="BX274" s="11" t="n">
        <f aca="false">IF(ISERROR(ROUND(MEDIAN(BI274:BT274),0)),0,ROUND(MEDIAN(BI274:BT274),0))</f>
        <v>0</v>
      </c>
      <c r="BY274" s="11" t="n">
        <f aca="false">IF(ISERROR(ROUND(MEDIAN(BE274:BT274),0)),0,ROUND(MEDIAN(BE274:BT274),0))</f>
        <v>0</v>
      </c>
      <c r="BZ274" s="11" t="n">
        <f aca="false">IF(ISERROR(ROUND(MEDIAN(AU274:BT274),0)),0,ROUND(MEDIAN(AU274:BT274),0))</f>
        <v>0</v>
      </c>
      <c r="CA274" s="12" t="n">
        <f aca="false">IF(ISERROR(ROUND(MEDIAN(U274:BT274),0)),0,ROUND(MEDIAN(U274:BT274),0))</f>
        <v>10</v>
      </c>
      <c r="CB274" s="12" t="n">
        <f aca="false">IF(ISERROR(ROUND(MEDIAN(BT274),0)),0,ROUND(MEDIAN(BT274),0))</f>
        <v>0</v>
      </c>
      <c r="CC274" s="12" t="n">
        <f aca="false">IF(ISERROR(ROUND(MEDIAN(D274:BT274),0)),0,ROUND(MEDIAN(D274:BT274),0))</f>
        <v>10</v>
      </c>
      <c r="CD274" s="12" t="n">
        <f aca="false">MAX(D274:BT274)</f>
        <v>10</v>
      </c>
      <c r="CE274" s="7" t="n">
        <f aca="false">COUNTA(BQ274:BT274)</f>
        <v>0</v>
      </c>
      <c r="CF274" s="7" t="n">
        <f aca="false">COUNTA(BM274:BT274)</f>
        <v>0</v>
      </c>
      <c r="CG274" s="7" t="n">
        <f aca="false">COUNTA(BI274:BT274)</f>
        <v>0</v>
      </c>
      <c r="CH274" s="7" t="n">
        <f aca="false">COUNTA(BE274:BT274)</f>
        <v>0</v>
      </c>
      <c r="CI274" s="7" t="n">
        <f aca="false">COUNTA(AU274:BT274)</f>
        <v>0</v>
      </c>
      <c r="CJ274" s="7" t="n">
        <f aca="false">COUNTA(U274:BT274)</f>
        <v>1</v>
      </c>
      <c r="CK274" s="7" t="n">
        <f aca="false">COUNTA(BT274)</f>
        <v>0</v>
      </c>
      <c r="CL274" s="7" t="n">
        <f aca="false">COUNTA(D274:BT274)</f>
        <v>1</v>
      </c>
      <c r="CM274" s="19" t="str">
        <f aca="false">IF(AND(CE274=1,CJ274=1,BT274&lt;&gt;""),"5.ENTRANTES",IF(AND(CE274&lt;&gt;0,CE274/RIGHT($CE$1,1)&gt;=0.5,CJ274=CE274),"4.RECENTES",IF(AND(CF274&lt;&gt;0,CF274/RIGHT($CF$1,1)&gt;=0.5,CJ274=CF274),"4.RECENTES",IF(AND(CG274&lt;&gt;0,CG274/RIGHT($CG$1,2)&gt;=0.5,CJ274=CG274),"4.RECENTES",IF(AND(CH274&lt;&gt;0,CH274/RIGHT($CH$1,2)&gt;=0.5,CJ274=CH274),"4.RECENTES",IF(AND(CI274&lt;&gt;0,CI274/RIGHT($CI$1,2)&gt;=0.5,CJ274=CI274),"4.RECENTES",IF(AND(CE274=0,CF274=0,CG274=0,CH274=0),"3.INATIVOS",IF(CJ274/RIGHT($CJ$1,2)&lt;0.5,"2.INTERMITENTES","1.ORDINÁRIOS"))))))))</f>
        <v>3.INATIVOS</v>
      </c>
      <c r="CN274" s="20" t="n">
        <f aca="false">IF(AND(CE274=1,CJ274=1,BT274&lt;&gt;""),BT274,IF(AND(CE274&lt;&gt;0,CE274/RIGHT($CE$1,1)&gt;=0.5,CJ274=CE274),MAX(BV274:CC274),IF(AND(CF274&lt;&gt;0,CF274/RIGHT($CF$1,1)&gt;=0.5,CJ274=CF274),MAX(BV274:CC274),IF(AND(CG274&lt;&gt;0,CG274/RIGHT($CG$1,2)&gt;=0.5,CJ274=CG274),MAX(BV274:CC274),IF(AND(CH274&lt;&gt;0,CH274/RIGHT($CH$1,2)&gt;=0.5,CJ274=CH274),MAX(BV274:CC274),IF(AND(CI274&lt;&gt;0,CI274/RIGHT($CI$1,2)&gt;=0.5,CJ274=CI274),MAX(BV274:CC274),IF(AND(CE274=0,CF274=0,CG274=0,CH274=0),0,IF(CJ274/RIGHT($CJ$1,2)&lt;0.5,ROUND(BU274/RIGHT($CJ$1,2),0),MAX(BV274:CC274)))))))))</f>
        <v>0</v>
      </c>
      <c r="CO274" s="20" t="n">
        <f aca="false">CN274*3</f>
        <v>0</v>
      </c>
      <c r="CP274" s="15" t="n">
        <v>0</v>
      </c>
      <c r="CQ274" s="16" t="n">
        <f aca="false">IF((CO274-CP274)&lt;0,0,(CO274-CP274))</f>
        <v>0</v>
      </c>
      <c r="CR274" s="7"/>
    </row>
    <row r="275" customFormat="false" ht="12.75" hidden="false" customHeight="true" outlineLevel="0" collapsed="false">
      <c r="A275" s="7" t="s">
        <v>273</v>
      </c>
      <c r="B275" s="7" t="s">
        <v>372</v>
      </c>
      <c r="C275" s="8" t="n">
        <v>21001090</v>
      </c>
      <c r="D275" s="9" t="n">
        <v>30</v>
      </c>
      <c r="E275" s="9" t="n">
        <v>140</v>
      </c>
      <c r="F275" s="9" t="n">
        <v>150</v>
      </c>
      <c r="G275" s="9"/>
      <c r="H275" s="9"/>
      <c r="I275" s="9" t="n">
        <v>120</v>
      </c>
      <c r="J275" s="9" t="n">
        <v>150</v>
      </c>
      <c r="K275" s="9"/>
      <c r="L275" s="9"/>
      <c r="M275" s="9"/>
      <c r="N275" s="9" t="n">
        <v>30</v>
      </c>
      <c r="O275" s="9"/>
      <c r="P275" s="9" t="n">
        <v>1</v>
      </c>
      <c r="Q275" s="9" t="n">
        <v>30</v>
      </c>
      <c r="R275" s="9"/>
      <c r="S275" s="9"/>
      <c r="T275" s="9"/>
      <c r="U275" s="9"/>
      <c r="V275" s="9" t="n">
        <v>70</v>
      </c>
      <c r="W275" s="9"/>
      <c r="X275" s="9" t="n">
        <v>40</v>
      </c>
      <c r="Y275" s="9"/>
      <c r="Z275" s="9" t="n">
        <v>20</v>
      </c>
      <c r="AA275" s="9" t="n">
        <v>20</v>
      </c>
      <c r="AB275" s="9" t="n">
        <v>10</v>
      </c>
      <c r="AC275" s="9"/>
      <c r="AD275" s="9" t="n">
        <v>10</v>
      </c>
      <c r="AE275" s="9"/>
      <c r="AF275" s="9"/>
      <c r="AG275" s="9"/>
      <c r="AH275" s="9"/>
      <c r="AI275" s="9"/>
      <c r="AJ275" s="9"/>
      <c r="AK275" s="9" t="n">
        <v>50</v>
      </c>
      <c r="AL275" s="9"/>
      <c r="AM275" s="9" t="n">
        <v>60</v>
      </c>
      <c r="AN275" s="9"/>
      <c r="AO275" s="9"/>
      <c r="AP275" s="9" t="n">
        <v>20</v>
      </c>
      <c r="AQ275" s="9" t="n">
        <v>100</v>
      </c>
      <c r="AR275" s="9" t="n">
        <v>60</v>
      </c>
      <c r="AS275" s="9"/>
      <c r="AT275" s="9" t="n">
        <v>160</v>
      </c>
      <c r="AU275" s="9"/>
      <c r="AV275" s="9" t="n">
        <v>180</v>
      </c>
      <c r="AW275" s="9"/>
      <c r="AX275" s="9"/>
      <c r="AY275" s="9"/>
      <c r="AZ275" s="9"/>
      <c r="BA275" s="9" t="n">
        <v>240</v>
      </c>
      <c r="BB275" s="9"/>
      <c r="BC275" s="9"/>
      <c r="BD275" s="9"/>
      <c r="BE275" s="9"/>
      <c r="BF275" s="9" t="n">
        <v>240</v>
      </c>
      <c r="BG275" s="9"/>
      <c r="BH275" s="9" t="n">
        <v>30</v>
      </c>
      <c r="BI275" s="9"/>
      <c r="BJ275" s="9"/>
      <c r="BK275" s="9" t="n">
        <v>30</v>
      </c>
      <c r="BL275" s="9" t="n">
        <v>180</v>
      </c>
      <c r="BM275" s="9"/>
      <c r="BN275" s="9"/>
      <c r="BO275" s="9"/>
      <c r="BP275" s="9"/>
      <c r="BQ275" s="9" t="n">
        <v>181</v>
      </c>
      <c r="BR275" s="9" t="n">
        <v>31</v>
      </c>
      <c r="BS275" s="9"/>
      <c r="BT275" s="9"/>
      <c r="BU275" s="10" t="n">
        <v>2383</v>
      </c>
      <c r="BV275" s="11" t="n">
        <f aca="false">IF(ISERROR(ROUND(MEDIAN(BQ275:BT275),0)),0,ROUND(MEDIAN(BQ275:BT275),0))</f>
        <v>106</v>
      </c>
      <c r="BW275" s="11" t="n">
        <f aca="false">IF(ISERROR(ROUND(MEDIAN(BM275:BT275),0)),0,ROUND(MEDIAN(BM275:BT275),0))</f>
        <v>106</v>
      </c>
      <c r="BX275" s="11" t="n">
        <f aca="false">IF(ISERROR(ROUND(MEDIAN(BI275:BT275),0)),0,ROUND(MEDIAN(BI275:BT275),0))</f>
        <v>106</v>
      </c>
      <c r="BY275" s="11" t="n">
        <f aca="false">IF(ISERROR(ROUND(MEDIAN(BE275:BT275),0)),0,ROUND(MEDIAN(BE275:BT275),0))</f>
        <v>106</v>
      </c>
      <c r="BZ275" s="11" t="n">
        <f aca="false">IF(ISERROR(ROUND(MEDIAN(AU275:BT275),0)),0,ROUND(MEDIAN(AU275:BT275),0))</f>
        <v>180</v>
      </c>
      <c r="CA275" s="12" t="n">
        <f aca="false">IF(ISERROR(ROUND(MEDIAN(U275:BT275),0)),0,ROUND(MEDIAN(U275:BT275),0))</f>
        <v>55</v>
      </c>
      <c r="CB275" s="12" t="n">
        <f aca="false">IF(ISERROR(ROUND(MEDIAN(BT275),0)),0,ROUND(MEDIAN(BT275),0))</f>
        <v>0</v>
      </c>
      <c r="CC275" s="12" t="n">
        <f aca="false">IF(ISERROR(ROUND(MEDIAN(D275:BT275),0)),0,ROUND(MEDIAN(D275:BT275),0))</f>
        <v>55</v>
      </c>
      <c r="CD275" s="12" t="n">
        <f aca="false">MAX(D275:BT275)</f>
        <v>240</v>
      </c>
      <c r="CE275" s="7" t="n">
        <f aca="false">COUNTA(BQ275:BT275)</f>
        <v>2</v>
      </c>
      <c r="CF275" s="7" t="n">
        <f aca="false">COUNTA(BM275:BT275)</f>
        <v>2</v>
      </c>
      <c r="CG275" s="7" t="n">
        <f aca="false">COUNTA(BI275:BT275)</f>
        <v>4</v>
      </c>
      <c r="CH275" s="7" t="n">
        <f aca="false">COUNTA(BE275:BT275)</f>
        <v>6</v>
      </c>
      <c r="CI275" s="7" t="n">
        <f aca="false">COUNTA(AU275:BT275)</f>
        <v>8</v>
      </c>
      <c r="CJ275" s="7" t="n">
        <f aca="false">COUNTA(U275:BT275)</f>
        <v>20</v>
      </c>
      <c r="CK275" s="7" t="n">
        <f aca="false">COUNTA(BT275)</f>
        <v>0</v>
      </c>
      <c r="CL275" s="7" t="n">
        <f aca="false">COUNTA(D275:BT275)</f>
        <v>28</v>
      </c>
      <c r="CM275" s="17" t="str">
        <f aca="false">IF(AND(CE275=1,CJ275=1,BT275&lt;&gt;""),"5.ENTRANTES",IF(AND(CE275&lt;&gt;0,CE275/RIGHT($CE$1,1)&gt;=0.5,CJ275=CE275),"4.RECENTES",IF(AND(CF275&lt;&gt;0,CF275/RIGHT($CF$1,1)&gt;=0.5,CJ275=CF275),"4.RECENTES",IF(AND(CG275&lt;&gt;0,CG275/RIGHT($CG$1,2)&gt;=0.5,CJ275=CG275),"4.RECENTES",IF(AND(CH275&lt;&gt;0,CH275/RIGHT($CH$1,2)&gt;=0.5,CJ275=CH275),"4.RECENTES",IF(AND(CI275&lt;&gt;0,CI275/RIGHT($CI$1,2)&gt;=0.5,CJ275=CI275),"4.RECENTES",IF(AND(CE275=0,CF275=0,CG275=0,CH275=0),"3.INATIVOS",IF(CJ275/RIGHT($CJ$1,2)&lt;0.5,"2.INTERMITENTES","1.ORDINÁRIOS"))))))))</f>
        <v>2.INTERMITENTES</v>
      </c>
      <c r="CN275" s="18" t="n">
        <f aca="false">IF(AND(CE275=1,CJ275=1,BT275&lt;&gt;""),BT275,IF(AND(CE275&lt;&gt;0,CE275/RIGHT($CE$1,1)&gt;=0.5,CJ275=CE275),MAX(BV275:CC275),IF(AND(CF275&lt;&gt;0,CF275/RIGHT($CF$1,1)&gt;=0.5,CJ275=CF275),MAX(BV275:CC275),IF(AND(CG275&lt;&gt;0,CG275/RIGHT($CG$1,2)&gt;=0.5,CJ275=CG275),MAX(BV275:CC275),IF(AND(CH275&lt;&gt;0,CH275/RIGHT($CH$1,2)&gt;=0.5,CJ275=CH275),MAX(BV275:CC275),IF(AND(CI275&lt;&gt;0,CI275/RIGHT($CI$1,2)&gt;=0.5,CJ275=CI275),MAX(BV275:CC275),IF(AND(CE275=0,CF275=0,CG275=0,CH275=0),0,IF(CJ275/RIGHT($CJ$1,2)&lt;0.5,ROUND(BU275/RIGHT($CJ$1,2),0),MAX(BV275:CC275)))))))))</f>
        <v>46</v>
      </c>
      <c r="CO275" s="18" t="n">
        <f aca="false">CD275</f>
        <v>240</v>
      </c>
      <c r="CP275" s="15" t="n">
        <v>0</v>
      </c>
      <c r="CQ275" s="16" t="n">
        <f aca="false">IF((CO275-CP275)&lt;0,0,(CO275-CP275))</f>
        <v>240</v>
      </c>
      <c r="CR275" s="7"/>
    </row>
    <row r="276" customFormat="false" ht="12.75" hidden="false" customHeight="true" outlineLevel="0" collapsed="false">
      <c r="A276" s="7" t="s">
        <v>273</v>
      </c>
      <c r="B276" s="7" t="s">
        <v>373</v>
      </c>
      <c r="C276" s="8" t="n">
        <v>325001001</v>
      </c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 t="n">
        <v>1</v>
      </c>
      <c r="AP276" s="9"/>
      <c r="AQ276" s="9"/>
      <c r="AR276" s="9"/>
      <c r="AS276" s="9"/>
      <c r="AT276" s="9"/>
      <c r="AU276" s="9"/>
      <c r="AV276" s="9"/>
      <c r="AW276" s="9"/>
      <c r="AX276" s="9"/>
      <c r="AY276" s="9"/>
      <c r="AZ276" s="9"/>
      <c r="BA276" s="9"/>
      <c r="BB276" s="9"/>
      <c r="BC276" s="9"/>
      <c r="BD276" s="9"/>
      <c r="BE276" s="9"/>
      <c r="BF276" s="9"/>
      <c r="BG276" s="9"/>
      <c r="BH276" s="9"/>
      <c r="BI276" s="9"/>
      <c r="BJ276" s="9"/>
      <c r="BK276" s="9"/>
      <c r="BL276" s="9"/>
      <c r="BM276" s="9"/>
      <c r="BN276" s="9"/>
      <c r="BO276" s="9"/>
      <c r="BP276" s="9"/>
      <c r="BQ276" s="9"/>
      <c r="BR276" s="9"/>
      <c r="BS276" s="9"/>
      <c r="BT276" s="9"/>
      <c r="BU276" s="10" t="n">
        <v>1</v>
      </c>
      <c r="BV276" s="11" t="n">
        <f aca="false">IF(ISERROR(ROUND(MEDIAN(BQ276:BT276),0)),0,ROUND(MEDIAN(BQ276:BT276),0))</f>
        <v>0</v>
      </c>
      <c r="BW276" s="11" t="n">
        <f aca="false">IF(ISERROR(ROUND(MEDIAN(BM276:BT276),0)),0,ROUND(MEDIAN(BM276:BT276),0))</f>
        <v>0</v>
      </c>
      <c r="BX276" s="11" t="n">
        <f aca="false">IF(ISERROR(ROUND(MEDIAN(BI276:BT276),0)),0,ROUND(MEDIAN(BI276:BT276),0))</f>
        <v>0</v>
      </c>
      <c r="BY276" s="11" t="n">
        <f aca="false">IF(ISERROR(ROUND(MEDIAN(BE276:BT276),0)),0,ROUND(MEDIAN(BE276:BT276),0))</f>
        <v>0</v>
      </c>
      <c r="BZ276" s="11" t="n">
        <f aca="false">IF(ISERROR(ROUND(MEDIAN(AU276:BT276),0)),0,ROUND(MEDIAN(AU276:BT276),0))</f>
        <v>0</v>
      </c>
      <c r="CA276" s="12" t="n">
        <f aca="false">IF(ISERROR(ROUND(MEDIAN(U276:BT276),0)),0,ROUND(MEDIAN(U276:BT276),0))</f>
        <v>1</v>
      </c>
      <c r="CB276" s="12" t="n">
        <f aca="false">IF(ISERROR(ROUND(MEDIAN(BT276),0)),0,ROUND(MEDIAN(BT276),0))</f>
        <v>0</v>
      </c>
      <c r="CC276" s="12" t="n">
        <f aca="false">IF(ISERROR(ROUND(MEDIAN(D276:BT276),0)),0,ROUND(MEDIAN(D276:BT276),0))</f>
        <v>1</v>
      </c>
      <c r="CD276" s="12" t="n">
        <f aca="false">MAX(D276:BT276)</f>
        <v>1</v>
      </c>
      <c r="CE276" s="7" t="n">
        <f aca="false">COUNTA(BQ276:BT276)</f>
        <v>0</v>
      </c>
      <c r="CF276" s="7" t="n">
        <f aca="false">COUNTA(BM276:BT276)</f>
        <v>0</v>
      </c>
      <c r="CG276" s="7" t="n">
        <f aca="false">COUNTA(BI276:BT276)</f>
        <v>0</v>
      </c>
      <c r="CH276" s="7" t="n">
        <f aca="false">COUNTA(BE276:BT276)</f>
        <v>0</v>
      </c>
      <c r="CI276" s="7" t="n">
        <f aca="false">COUNTA(AU276:BT276)</f>
        <v>0</v>
      </c>
      <c r="CJ276" s="7" t="n">
        <f aca="false">COUNTA(U276:BT276)</f>
        <v>1</v>
      </c>
      <c r="CK276" s="7" t="n">
        <f aca="false">COUNTA(BT276)</f>
        <v>0</v>
      </c>
      <c r="CL276" s="7" t="n">
        <f aca="false">COUNTA(D276:BT276)</f>
        <v>1</v>
      </c>
      <c r="CM276" s="19" t="str">
        <f aca="false">IF(AND(CE276=1,CJ276=1,BT276&lt;&gt;""),"5.ENTRANTES",IF(AND(CE276&lt;&gt;0,CE276/RIGHT($CE$1,1)&gt;=0.5,CJ276=CE276),"4.RECENTES",IF(AND(CF276&lt;&gt;0,CF276/RIGHT($CF$1,1)&gt;=0.5,CJ276=CF276),"4.RECENTES",IF(AND(CG276&lt;&gt;0,CG276/RIGHT($CG$1,2)&gt;=0.5,CJ276=CG276),"4.RECENTES",IF(AND(CH276&lt;&gt;0,CH276/RIGHT($CH$1,2)&gt;=0.5,CJ276=CH276),"4.RECENTES",IF(AND(CI276&lt;&gt;0,CI276/RIGHT($CI$1,2)&gt;=0.5,CJ276=CI276),"4.RECENTES",IF(AND(CE276=0,CF276=0,CG276=0,CH276=0),"3.INATIVOS",IF(CJ276/RIGHT($CJ$1,2)&lt;0.5,"2.INTERMITENTES","1.ORDINÁRIOS"))))))))</f>
        <v>3.INATIVOS</v>
      </c>
      <c r="CN276" s="20" t="n">
        <f aca="false">IF(AND(CE276=1,CJ276=1,BT276&lt;&gt;""),BT276,IF(AND(CE276&lt;&gt;0,CE276/RIGHT($CE$1,1)&gt;=0.5,CJ276=CE276),MAX(BV276:CC276),IF(AND(CF276&lt;&gt;0,CF276/RIGHT($CF$1,1)&gt;=0.5,CJ276=CF276),MAX(BV276:CC276),IF(AND(CG276&lt;&gt;0,CG276/RIGHT($CG$1,2)&gt;=0.5,CJ276=CG276),MAX(BV276:CC276),IF(AND(CH276&lt;&gt;0,CH276/RIGHT($CH$1,2)&gt;=0.5,CJ276=CH276),MAX(BV276:CC276),IF(AND(CI276&lt;&gt;0,CI276/RIGHT($CI$1,2)&gt;=0.5,CJ276=CI276),MAX(BV276:CC276),IF(AND(CE276=0,CF276=0,CG276=0,CH276=0),0,IF(CJ276/RIGHT($CJ$1,2)&lt;0.5,ROUND(BU276/RIGHT($CJ$1,2),0),MAX(BV276:CC276)))))))))</f>
        <v>0</v>
      </c>
      <c r="CO276" s="20" t="n">
        <f aca="false">CN276*3</f>
        <v>0</v>
      </c>
      <c r="CP276" s="15" t="n">
        <v>0</v>
      </c>
      <c r="CQ276" s="16" t="n">
        <f aca="false">IF((CO276-CP276)&lt;0,0,(CO276-CP276))</f>
        <v>0</v>
      </c>
      <c r="CR276" s="7"/>
    </row>
    <row r="277" customFormat="false" ht="12.75" hidden="false" customHeight="true" outlineLevel="0" collapsed="false">
      <c r="A277" s="7" t="s">
        <v>273</v>
      </c>
      <c r="B277" s="7" t="s">
        <v>374</v>
      </c>
      <c r="C277" s="8" t="n">
        <v>325004001</v>
      </c>
      <c r="D277" s="9"/>
      <c r="E277" s="9"/>
      <c r="F277" s="9"/>
      <c r="G277" s="9"/>
      <c r="H277" s="9"/>
      <c r="I277" s="9"/>
      <c r="J277" s="9"/>
      <c r="K277" s="9"/>
      <c r="L277" s="9" t="n">
        <v>30</v>
      </c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  <c r="AZ277" s="9"/>
      <c r="BA277" s="9"/>
      <c r="BB277" s="9"/>
      <c r="BC277" s="9"/>
      <c r="BD277" s="9"/>
      <c r="BE277" s="9"/>
      <c r="BF277" s="9"/>
      <c r="BG277" s="9"/>
      <c r="BH277" s="9"/>
      <c r="BI277" s="9"/>
      <c r="BJ277" s="9"/>
      <c r="BK277" s="9"/>
      <c r="BL277" s="9"/>
      <c r="BM277" s="9"/>
      <c r="BN277" s="9"/>
      <c r="BO277" s="9"/>
      <c r="BP277" s="9"/>
      <c r="BQ277" s="9"/>
      <c r="BR277" s="9"/>
      <c r="BS277" s="9"/>
      <c r="BT277" s="9"/>
      <c r="BU277" s="10" t="n">
        <v>30</v>
      </c>
      <c r="BV277" s="11" t="n">
        <f aca="false">IF(ISERROR(ROUND(MEDIAN(BQ277:BT277),0)),0,ROUND(MEDIAN(BQ277:BT277),0))</f>
        <v>0</v>
      </c>
      <c r="BW277" s="11" t="n">
        <f aca="false">IF(ISERROR(ROUND(MEDIAN(BM277:BT277),0)),0,ROUND(MEDIAN(BM277:BT277),0))</f>
        <v>0</v>
      </c>
      <c r="BX277" s="11" t="n">
        <f aca="false">IF(ISERROR(ROUND(MEDIAN(BI277:BT277),0)),0,ROUND(MEDIAN(BI277:BT277),0))</f>
        <v>0</v>
      </c>
      <c r="BY277" s="11" t="n">
        <f aca="false">IF(ISERROR(ROUND(MEDIAN(BE277:BT277),0)),0,ROUND(MEDIAN(BE277:BT277),0))</f>
        <v>0</v>
      </c>
      <c r="BZ277" s="11" t="n">
        <f aca="false">IF(ISERROR(ROUND(MEDIAN(AU277:BT277),0)),0,ROUND(MEDIAN(AU277:BT277),0))</f>
        <v>0</v>
      </c>
      <c r="CA277" s="12" t="n">
        <f aca="false">IF(ISERROR(ROUND(MEDIAN(U277:BT277),0)),0,ROUND(MEDIAN(U277:BT277),0))</f>
        <v>0</v>
      </c>
      <c r="CB277" s="12" t="n">
        <f aca="false">IF(ISERROR(ROUND(MEDIAN(BT277),0)),0,ROUND(MEDIAN(BT277),0))</f>
        <v>0</v>
      </c>
      <c r="CC277" s="12" t="n">
        <f aca="false">IF(ISERROR(ROUND(MEDIAN(D277:BT277),0)),0,ROUND(MEDIAN(D277:BT277),0))</f>
        <v>30</v>
      </c>
      <c r="CD277" s="12" t="n">
        <f aca="false">MAX(D277:BT277)</f>
        <v>30</v>
      </c>
      <c r="CE277" s="7" t="n">
        <f aca="false">COUNTA(BQ277:BT277)</f>
        <v>0</v>
      </c>
      <c r="CF277" s="7" t="n">
        <f aca="false">COUNTA(BM277:BT277)</f>
        <v>0</v>
      </c>
      <c r="CG277" s="7" t="n">
        <f aca="false">COUNTA(BI277:BT277)</f>
        <v>0</v>
      </c>
      <c r="CH277" s="7" t="n">
        <f aca="false">COUNTA(BE277:BT277)</f>
        <v>0</v>
      </c>
      <c r="CI277" s="7" t="n">
        <f aca="false">COUNTA(AU277:BT277)</f>
        <v>0</v>
      </c>
      <c r="CJ277" s="7" t="n">
        <f aca="false">COUNTA(U277:BT277)</f>
        <v>0</v>
      </c>
      <c r="CK277" s="7" t="n">
        <f aca="false">COUNTA(BT277)</f>
        <v>0</v>
      </c>
      <c r="CL277" s="7" t="n">
        <f aca="false">COUNTA(D277:BT277)</f>
        <v>1</v>
      </c>
      <c r="CM277" s="19" t="str">
        <f aca="false">IF(AND(CE277=1,CJ277=1,BT277&lt;&gt;""),"5.ENTRANTES",IF(AND(CE277&lt;&gt;0,CE277/RIGHT($CE$1,1)&gt;=0.5,CJ277=CE277),"4.RECENTES",IF(AND(CF277&lt;&gt;0,CF277/RIGHT($CF$1,1)&gt;=0.5,CJ277=CF277),"4.RECENTES",IF(AND(CG277&lt;&gt;0,CG277/RIGHT($CG$1,2)&gt;=0.5,CJ277=CG277),"4.RECENTES",IF(AND(CH277&lt;&gt;0,CH277/RIGHT($CH$1,2)&gt;=0.5,CJ277=CH277),"4.RECENTES",IF(AND(CI277&lt;&gt;0,CI277/RIGHT($CI$1,2)&gt;=0.5,CJ277=CI277),"4.RECENTES",IF(AND(CE277=0,CF277=0,CG277=0,CH277=0),"3.INATIVOS",IF(CJ277/RIGHT($CJ$1,2)&lt;0.5,"2.INTERMITENTES","1.ORDINÁRIOS"))))))))</f>
        <v>3.INATIVOS</v>
      </c>
      <c r="CN277" s="20" t="n">
        <f aca="false">IF(AND(CE277=1,CJ277=1,BT277&lt;&gt;""),BT277,IF(AND(CE277&lt;&gt;0,CE277/RIGHT($CE$1,1)&gt;=0.5,CJ277=CE277),MAX(BV277:CC277),IF(AND(CF277&lt;&gt;0,CF277/RIGHT($CF$1,1)&gt;=0.5,CJ277=CF277),MAX(BV277:CC277),IF(AND(CG277&lt;&gt;0,CG277/RIGHT($CG$1,2)&gt;=0.5,CJ277=CG277),MAX(BV277:CC277),IF(AND(CH277&lt;&gt;0,CH277/RIGHT($CH$1,2)&gt;=0.5,CJ277=CH277),MAX(BV277:CC277),IF(AND(CI277&lt;&gt;0,CI277/RIGHT($CI$1,2)&gt;=0.5,CJ277=CI277),MAX(BV277:CC277),IF(AND(CE277=0,CF277=0,CG277=0,CH277=0),0,IF(CJ277/RIGHT($CJ$1,2)&lt;0.5,ROUND(BU277/RIGHT($CJ$1,2),0),MAX(BV277:CC277)))))))))</f>
        <v>0</v>
      </c>
      <c r="CO277" s="20" t="n">
        <f aca="false">CN277*3</f>
        <v>0</v>
      </c>
      <c r="CP277" s="15" t="n">
        <v>0</v>
      </c>
      <c r="CQ277" s="16" t="n">
        <f aca="false">IF((CO277-CP277)&lt;0,0,(CO277-CP277))</f>
        <v>0</v>
      </c>
      <c r="CR277" s="7"/>
    </row>
    <row r="278" customFormat="false" ht="12.75" hidden="false" customHeight="true" outlineLevel="0" collapsed="false">
      <c r="A278" s="7" t="s">
        <v>273</v>
      </c>
      <c r="B278" s="7" t="s">
        <v>375</v>
      </c>
      <c r="C278" s="8" t="n">
        <v>313001003</v>
      </c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 t="n">
        <v>1</v>
      </c>
      <c r="AS278" s="9"/>
      <c r="AT278" s="9"/>
      <c r="AU278" s="9"/>
      <c r="AV278" s="9"/>
      <c r="AW278" s="9"/>
      <c r="AX278" s="9"/>
      <c r="AY278" s="9"/>
      <c r="AZ278" s="9"/>
      <c r="BA278" s="9"/>
      <c r="BB278" s="9"/>
      <c r="BC278" s="9"/>
      <c r="BD278" s="9"/>
      <c r="BE278" s="9"/>
      <c r="BF278" s="9"/>
      <c r="BG278" s="9"/>
      <c r="BH278" s="9"/>
      <c r="BI278" s="9"/>
      <c r="BJ278" s="9"/>
      <c r="BK278" s="9"/>
      <c r="BL278" s="9"/>
      <c r="BM278" s="9"/>
      <c r="BN278" s="9"/>
      <c r="BO278" s="9"/>
      <c r="BP278" s="9"/>
      <c r="BQ278" s="9"/>
      <c r="BR278" s="9"/>
      <c r="BS278" s="9"/>
      <c r="BT278" s="9"/>
      <c r="BU278" s="10" t="n">
        <v>1</v>
      </c>
      <c r="BV278" s="11" t="n">
        <f aca="false">IF(ISERROR(ROUND(MEDIAN(BQ278:BT278),0)),0,ROUND(MEDIAN(BQ278:BT278),0))</f>
        <v>0</v>
      </c>
      <c r="BW278" s="11" t="n">
        <f aca="false">IF(ISERROR(ROUND(MEDIAN(BM278:BT278),0)),0,ROUND(MEDIAN(BM278:BT278),0))</f>
        <v>0</v>
      </c>
      <c r="BX278" s="11" t="n">
        <f aca="false">IF(ISERROR(ROUND(MEDIAN(BI278:BT278),0)),0,ROUND(MEDIAN(BI278:BT278),0))</f>
        <v>0</v>
      </c>
      <c r="BY278" s="11" t="n">
        <f aca="false">IF(ISERROR(ROUND(MEDIAN(BE278:BT278),0)),0,ROUND(MEDIAN(BE278:BT278),0))</f>
        <v>0</v>
      </c>
      <c r="BZ278" s="11" t="n">
        <f aca="false">IF(ISERROR(ROUND(MEDIAN(AU278:BT278),0)),0,ROUND(MEDIAN(AU278:BT278),0))</f>
        <v>0</v>
      </c>
      <c r="CA278" s="12" t="n">
        <f aca="false">IF(ISERROR(ROUND(MEDIAN(U278:BT278),0)),0,ROUND(MEDIAN(U278:BT278),0))</f>
        <v>1</v>
      </c>
      <c r="CB278" s="12" t="n">
        <f aca="false">IF(ISERROR(ROUND(MEDIAN(BT278),0)),0,ROUND(MEDIAN(BT278),0))</f>
        <v>0</v>
      </c>
      <c r="CC278" s="12" t="n">
        <f aca="false">IF(ISERROR(ROUND(MEDIAN(D278:BT278),0)),0,ROUND(MEDIAN(D278:BT278),0))</f>
        <v>1</v>
      </c>
      <c r="CD278" s="12" t="n">
        <f aca="false">MAX(D278:BT278)</f>
        <v>1</v>
      </c>
      <c r="CE278" s="7" t="n">
        <f aca="false">COUNTA(BQ278:BT278)</f>
        <v>0</v>
      </c>
      <c r="CF278" s="7" t="n">
        <f aca="false">COUNTA(BM278:BT278)</f>
        <v>0</v>
      </c>
      <c r="CG278" s="7" t="n">
        <f aca="false">COUNTA(BI278:BT278)</f>
        <v>0</v>
      </c>
      <c r="CH278" s="7" t="n">
        <f aca="false">COUNTA(BE278:BT278)</f>
        <v>0</v>
      </c>
      <c r="CI278" s="7" t="n">
        <f aca="false">COUNTA(AU278:BT278)</f>
        <v>0</v>
      </c>
      <c r="CJ278" s="7" t="n">
        <f aca="false">COUNTA(U278:BT278)</f>
        <v>1</v>
      </c>
      <c r="CK278" s="7" t="n">
        <f aca="false">COUNTA(BT278)</f>
        <v>0</v>
      </c>
      <c r="CL278" s="7" t="n">
        <f aca="false">COUNTA(D278:BT278)</f>
        <v>1</v>
      </c>
      <c r="CM278" s="19" t="str">
        <f aca="false">IF(AND(CE278=1,CJ278=1,BT278&lt;&gt;""),"5.ENTRANTES",IF(AND(CE278&lt;&gt;0,CE278/RIGHT($CE$1,1)&gt;=0.5,CJ278=CE278),"4.RECENTES",IF(AND(CF278&lt;&gt;0,CF278/RIGHT($CF$1,1)&gt;=0.5,CJ278=CF278),"4.RECENTES",IF(AND(CG278&lt;&gt;0,CG278/RIGHT($CG$1,2)&gt;=0.5,CJ278=CG278),"4.RECENTES",IF(AND(CH278&lt;&gt;0,CH278/RIGHT($CH$1,2)&gt;=0.5,CJ278=CH278),"4.RECENTES",IF(AND(CI278&lt;&gt;0,CI278/RIGHT($CI$1,2)&gt;=0.5,CJ278=CI278),"4.RECENTES",IF(AND(CE278=0,CF278=0,CG278=0,CH278=0),"3.INATIVOS",IF(CJ278/RIGHT($CJ$1,2)&lt;0.5,"2.INTERMITENTES","1.ORDINÁRIOS"))))))))</f>
        <v>3.INATIVOS</v>
      </c>
      <c r="CN278" s="20" t="n">
        <f aca="false">IF(AND(CE278=1,CJ278=1,BT278&lt;&gt;""),BT278,IF(AND(CE278&lt;&gt;0,CE278/RIGHT($CE$1,1)&gt;=0.5,CJ278=CE278),MAX(BV278:CC278),IF(AND(CF278&lt;&gt;0,CF278/RIGHT($CF$1,1)&gt;=0.5,CJ278=CF278),MAX(BV278:CC278),IF(AND(CG278&lt;&gt;0,CG278/RIGHT($CG$1,2)&gt;=0.5,CJ278=CG278),MAX(BV278:CC278),IF(AND(CH278&lt;&gt;0,CH278/RIGHT($CH$1,2)&gt;=0.5,CJ278=CH278),MAX(BV278:CC278),IF(AND(CI278&lt;&gt;0,CI278/RIGHT($CI$1,2)&gt;=0.5,CJ278=CI278),MAX(BV278:CC278),IF(AND(CE278=0,CF278=0,CG278=0,CH278=0),0,IF(CJ278/RIGHT($CJ$1,2)&lt;0.5,ROUND(BU278/RIGHT($CJ$1,2),0),MAX(BV278:CC278)))))))))</f>
        <v>0</v>
      </c>
      <c r="CO278" s="20" t="n">
        <f aca="false">CN278*3</f>
        <v>0</v>
      </c>
      <c r="CP278" s="15" t="n">
        <v>0</v>
      </c>
      <c r="CQ278" s="16" t="n">
        <f aca="false">IF((CO278-CP278)&lt;0,0,(CO278-CP278))</f>
        <v>0</v>
      </c>
      <c r="CR278" s="7"/>
    </row>
    <row r="279" customFormat="false" ht="12.75" hidden="false" customHeight="true" outlineLevel="0" collapsed="false">
      <c r="A279" s="7" t="s">
        <v>273</v>
      </c>
      <c r="B279" s="7" t="s">
        <v>376</v>
      </c>
      <c r="C279" s="8" t="n">
        <v>311002001</v>
      </c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 t="n">
        <v>1</v>
      </c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  <c r="AZ279" s="9"/>
      <c r="BA279" s="9"/>
      <c r="BB279" s="9"/>
      <c r="BC279" s="9"/>
      <c r="BD279" s="9"/>
      <c r="BE279" s="9"/>
      <c r="BF279" s="9"/>
      <c r="BG279" s="9"/>
      <c r="BH279" s="9"/>
      <c r="BI279" s="9"/>
      <c r="BJ279" s="9"/>
      <c r="BK279" s="9"/>
      <c r="BL279" s="9"/>
      <c r="BM279" s="9"/>
      <c r="BN279" s="9"/>
      <c r="BO279" s="9"/>
      <c r="BP279" s="9"/>
      <c r="BQ279" s="9"/>
      <c r="BR279" s="9"/>
      <c r="BS279" s="9"/>
      <c r="BT279" s="9"/>
      <c r="BU279" s="10" t="n">
        <v>1</v>
      </c>
      <c r="BV279" s="11" t="n">
        <f aca="false">IF(ISERROR(ROUND(MEDIAN(BQ279:BT279),0)),0,ROUND(MEDIAN(BQ279:BT279),0))</f>
        <v>0</v>
      </c>
      <c r="BW279" s="11" t="n">
        <f aca="false">IF(ISERROR(ROUND(MEDIAN(BM279:BT279),0)),0,ROUND(MEDIAN(BM279:BT279),0))</f>
        <v>0</v>
      </c>
      <c r="BX279" s="11" t="n">
        <f aca="false">IF(ISERROR(ROUND(MEDIAN(BI279:BT279),0)),0,ROUND(MEDIAN(BI279:BT279),0))</f>
        <v>0</v>
      </c>
      <c r="BY279" s="11" t="n">
        <f aca="false">IF(ISERROR(ROUND(MEDIAN(BE279:BT279),0)),0,ROUND(MEDIAN(BE279:BT279),0))</f>
        <v>0</v>
      </c>
      <c r="BZ279" s="11" t="n">
        <f aca="false">IF(ISERROR(ROUND(MEDIAN(AU279:BT279),0)),0,ROUND(MEDIAN(AU279:BT279),0))</f>
        <v>0</v>
      </c>
      <c r="CA279" s="12" t="n">
        <f aca="false">IF(ISERROR(ROUND(MEDIAN(U279:BT279),0)),0,ROUND(MEDIAN(U279:BT279),0))</f>
        <v>1</v>
      </c>
      <c r="CB279" s="12" t="n">
        <f aca="false">IF(ISERROR(ROUND(MEDIAN(BT279),0)),0,ROUND(MEDIAN(BT279),0))</f>
        <v>0</v>
      </c>
      <c r="CC279" s="12" t="n">
        <f aca="false">IF(ISERROR(ROUND(MEDIAN(D279:BT279),0)),0,ROUND(MEDIAN(D279:BT279),0))</f>
        <v>1</v>
      </c>
      <c r="CD279" s="12" t="n">
        <f aca="false">MAX(D279:BT279)</f>
        <v>1</v>
      </c>
      <c r="CE279" s="7" t="n">
        <f aca="false">COUNTA(BQ279:BT279)</f>
        <v>0</v>
      </c>
      <c r="CF279" s="7" t="n">
        <f aca="false">COUNTA(BM279:BT279)</f>
        <v>0</v>
      </c>
      <c r="CG279" s="7" t="n">
        <f aca="false">COUNTA(BI279:BT279)</f>
        <v>0</v>
      </c>
      <c r="CH279" s="7" t="n">
        <f aca="false">COUNTA(BE279:BT279)</f>
        <v>0</v>
      </c>
      <c r="CI279" s="7" t="n">
        <f aca="false">COUNTA(AU279:BT279)</f>
        <v>0</v>
      </c>
      <c r="CJ279" s="7" t="n">
        <f aca="false">COUNTA(U279:BT279)</f>
        <v>1</v>
      </c>
      <c r="CK279" s="7" t="n">
        <f aca="false">COUNTA(BT279)</f>
        <v>0</v>
      </c>
      <c r="CL279" s="7" t="n">
        <f aca="false">COUNTA(D279:BT279)</f>
        <v>1</v>
      </c>
      <c r="CM279" s="19" t="str">
        <f aca="false">IF(AND(CE279=1,CJ279=1,BT279&lt;&gt;""),"5.ENTRANTES",IF(AND(CE279&lt;&gt;0,CE279/RIGHT($CE$1,1)&gt;=0.5,CJ279=CE279),"4.RECENTES",IF(AND(CF279&lt;&gt;0,CF279/RIGHT($CF$1,1)&gt;=0.5,CJ279=CF279),"4.RECENTES",IF(AND(CG279&lt;&gt;0,CG279/RIGHT($CG$1,2)&gt;=0.5,CJ279=CG279),"4.RECENTES",IF(AND(CH279&lt;&gt;0,CH279/RIGHT($CH$1,2)&gt;=0.5,CJ279=CH279),"4.RECENTES",IF(AND(CI279&lt;&gt;0,CI279/RIGHT($CI$1,2)&gt;=0.5,CJ279=CI279),"4.RECENTES",IF(AND(CE279=0,CF279=0,CG279=0,CH279=0),"3.INATIVOS",IF(CJ279/RIGHT($CJ$1,2)&lt;0.5,"2.INTERMITENTES","1.ORDINÁRIOS"))))))))</f>
        <v>3.INATIVOS</v>
      </c>
      <c r="CN279" s="20" t="n">
        <f aca="false">IF(AND(CE279=1,CJ279=1,BT279&lt;&gt;""),BT279,IF(AND(CE279&lt;&gt;0,CE279/RIGHT($CE$1,1)&gt;=0.5,CJ279=CE279),MAX(BV279:CC279),IF(AND(CF279&lt;&gt;0,CF279/RIGHT($CF$1,1)&gt;=0.5,CJ279=CF279),MAX(BV279:CC279),IF(AND(CG279&lt;&gt;0,CG279/RIGHT($CG$1,2)&gt;=0.5,CJ279=CG279),MAX(BV279:CC279),IF(AND(CH279&lt;&gt;0,CH279/RIGHT($CH$1,2)&gt;=0.5,CJ279=CH279),MAX(BV279:CC279),IF(AND(CI279&lt;&gt;0,CI279/RIGHT($CI$1,2)&gt;=0.5,CJ279=CI279),MAX(BV279:CC279),IF(AND(CE279=0,CF279=0,CG279=0,CH279=0),0,IF(CJ279/RIGHT($CJ$1,2)&lt;0.5,ROUND(BU279/RIGHT($CJ$1,2),0),MAX(BV279:CC279)))))))))</f>
        <v>0</v>
      </c>
      <c r="CO279" s="20" t="n">
        <f aca="false">CN279*3</f>
        <v>0</v>
      </c>
      <c r="CP279" s="15" t="n">
        <v>0</v>
      </c>
      <c r="CQ279" s="16" t="n">
        <f aca="false">IF((CO279-CP279)&lt;0,0,(CO279-CP279))</f>
        <v>0</v>
      </c>
      <c r="CR279" s="7"/>
    </row>
    <row r="280" customFormat="false" ht="12.75" hidden="false" customHeight="true" outlineLevel="0" collapsed="false">
      <c r="A280" s="7" t="s">
        <v>273</v>
      </c>
      <c r="B280" s="7" t="s">
        <v>377</v>
      </c>
      <c r="C280" s="8" t="n">
        <v>306001004</v>
      </c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 t="n">
        <v>30</v>
      </c>
      <c r="AX280" s="9"/>
      <c r="AY280" s="9"/>
      <c r="AZ280" s="9"/>
      <c r="BA280" s="9"/>
      <c r="BB280" s="9"/>
      <c r="BC280" s="9"/>
      <c r="BD280" s="9"/>
      <c r="BE280" s="9"/>
      <c r="BF280" s="9"/>
      <c r="BG280" s="9"/>
      <c r="BH280" s="9"/>
      <c r="BI280" s="9"/>
      <c r="BJ280" s="9"/>
      <c r="BK280" s="9"/>
      <c r="BL280" s="9"/>
      <c r="BM280" s="9"/>
      <c r="BN280" s="9"/>
      <c r="BO280" s="9"/>
      <c r="BP280" s="9"/>
      <c r="BQ280" s="9"/>
      <c r="BR280" s="9"/>
      <c r="BS280" s="9"/>
      <c r="BT280" s="9"/>
      <c r="BU280" s="10" t="n">
        <v>30</v>
      </c>
      <c r="BV280" s="11" t="n">
        <f aca="false">IF(ISERROR(ROUND(MEDIAN(BQ280:BT280),0)),0,ROUND(MEDIAN(BQ280:BT280),0))</f>
        <v>0</v>
      </c>
      <c r="BW280" s="11" t="n">
        <f aca="false">IF(ISERROR(ROUND(MEDIAN(BM280:BT280),0)),0,ROUND(MEDIAN(BM280:BT280),0))</f>
        <v>0</v>
      </c>
      <c r="BX280" s="11" t="n">
        <f aca="false">IF(ISERROR(ROUND(MEDIAN(BI280:BT280),0)),0,ROUND(MEDIAN(BI280:BT280),0))</f>
        <v>0</v>
      </c>
      <c r="BY280" s="11" t="n">
        <f aca="false">IF(ISERROR(ROUND(MEDIAN(BE280:BT280),0)),0,ROUND(MEDIAN(BE280:BT280),0))</f>
        <v>0</v>
      </c>
      <c r="BZ280" s="11" t="n">
        <f aca="false">IF(ISERROR(ROUND(MEDIAN(AU280:BT280),0)),0,ROUND(MEDIAN(AU280:BT280),0))</f>
        <v>30</v>
      </c>
      <c r="CA280" s="12" t="n">
        <f aca="false">IF(ISERROR(ROUND(MEDIAN(U280:BT280),0)),0,ROUND(MEDIAN(U280:BT280),0))</f>
        <v>30</v>
      </c>
      <c r="CB280" s="12" t="n">
        <f aca="false">IF(ISERROR(ROUND(MEDIAN(BT280),0)),0,ROUND(MEDIAN(BT280),0))</f>
        <v>0</v>
      </c>
      <c r="CC280" s="12" t="n">
        <f aca="false">IF(ISERROR(ROUND(MEDIAN(D280:BT280),0)),0,ROUND(MEDIAN(D280:BT280),0))</f>
        <v>30</v>
      </c>
      <c r="CD280" s="12" t="n">
        <f aca="false">MAX(D280:BT280)</f>
        <v>30</v>
      </c>
      <c r="CE280" s="7" t="n">
        <f aca="false">COUNTA(BQ280:BT280)</f>
        <v>0</v>
      </c>
      <c r="CF280" s="7" t="n">
        <f aca="false">COUNTA(BM280:BT280)</f>
        <v>0</v>
      </c>
      <c r="CG280" s="7" t="n">
        <f aca="false">COUNTA(BI280:BT280)</f>
        <v>0</v>
      </c>
      <c r="CH280" s="7" t="n">
        <f aca="false">COUNTA(BE280:BT280)</f>
        <v>0</v>
      </c>
      <c r="CI280" s="7" t="n">
        <f aca="false">COUNTA(AU280:BT280)</f>
        <v>1</v>
      </c>
      <c r="CJ280" s="7" t="n">
        <f aca="false">COUNTA(U280:BT280)</f>
        <v>1</v>
      </c>
      <c r="CK280" s="7" t="n">
        <f aca="false">COUNTA(BT280)</f>
        <v>0</v>
      </c>
      <c r="CL280" s="7" t="n">
        <f aca="false">COUNTA(D280:BT280)</f>
        <v>1</v>
      </c>
      <c r="CM280" s="19" t="str">
        <f aca="false">IF(AND(CE280=1,CJ280=1,BT280&lt;&gt;""),"5.ENTRANTES",IF(AND(CE280&lt;&gt;0,CE280/RIGHT($CE$1,1)&gt;=0.5,CJ280=CE280),"4.RECENTES",IF(AND(CF280&lt;&gt;0,CF280/RIGHT($CF$1,1)&gt;=0.5,CJ280=CF280),"4.RECENTES",IF(AND(CG280&lt;&gt;0,CG280/RIGHT($CG$1,2)&gt;=0.5,CJ280=CG280),"4.RECENTES",IF(AND(CH280&lt;&gt;0,CH280/RIGHT($CH$1,2)&gt;=0.5,CJ280=CH280),"4.RECENTES",IF(AND(CI280&lt;&gt;0,CI280/RIGHT($CI$1,2)&gt;=0.5,CJ280=CI280),"4.RECENTES",IF(AND(CE280=0,CF280=0,CG280=0,CH280=0),"3.INATIVOS",IF(CJ280/RIGHT($CJ$1,2)&lt;0.5,"2.INTERMITENTES","1.ORDINÁRIOS"))))))))</f>
        <v>3.INATIVOS</v>
      </c>
      <c r="CN280" s="20" t="n">
        <f aca="false">IF(AND(CE280=1,CJ280=1,BT280&lt;&gt;""),BT280,IF(AND(CE280&lt;&gt;0,CE280/RIGHT($CE$1,1)&gt;=0.5,CJ280=CE280),MAX(BV280:CC280),IF(AND(CF280&lt;&gt;0,CF280/RIGHT($CF$1,1)&gt;=0.5,CJ280=CF280),MAX(BV280:CC280),IF(AND(CG280&lt;&gt;0,CG280/RIGHT($CG$1,2)&gt;=0.5,CJ280=CG280),MAX(BV280:CC280),IF(AND(CH280&lt;&gt;0,CH280/RIGHT($CH$1,2)&gt;=0.5,CJ280=CH280),MAX(BV280:CC280),IF(AND(CI280&lt;&gt;0,CI280/RIGHT($CI$1,2)&gt;=0.5,CJ280=CI280),MAX(BV280:CC280),IF(AND(CE280=0,CF280=0,CG280=0,CH280=0),0,IF(CJ280/RIGHT($CJ$1,2)&lt;0.5,ROUND(BU280/RIGHT($CJ$1,2),0),MAX(BV280:CC280)))))))))</f>
        <v>0</v>
      </c>
      <c r="CO280" s="20" t="n">
        <f aca="false">CN280*3</f>
        <v>0</v>
      </c>
      <c r="CP280" s="15" t="n">
        <v>0</v>
      </c>
      <c r="CQ280" s="16" t="n">
        <f aca="false">IF((CO280-CP280)&lt;0,0,(CO280-CP280))</f>
        <v>0</v>
      </c>
      <c r="CR280" s="7"/>
    </row>
    <row r="281" customFormat="false" ht="12.75" hidden="false" customHeight="true" outlineLevel="0" collapsed="false">
      <c r="A281" s="7" t="s">
        <v>273</v>
      </c>
      <c r="B281" s="7" t="s">
        <v>378</v>
      </c>
      <c r="C281" s="8" t="n">
        <v>5000068</v>
      </c>
      <c r="D281" s="9"/>
      <c r="E281" s="9" t="n">
        <v>120</v>
      </c>
      <c r="F281" s="9" t="n">
        <v>210</v>
      </c>
      <c r="G281" s="9" t="n">
        <v>30</v>
      </c>
      <c r="H281" s="9" t="n">
        <v>120</v>
      </c>
      <c r="I281" s="9"/>
      <c r="J281" s="9" t="n">
        <v>88</v>
      </c>
      <c r="K281" s="9"/>
      <c r="L281" s="9" t="n">
        <v>60</v>
      </c>
      <c r="M281" s="9"/>
      <c r="N281" s="9" t="n">
        <v>88</v>
      </c>
      <c r="O281" s="9" t="n">
        <v>196</v>
      </c>
      <c r="P281" s="9" t="n">
        <v>60</v>
      </c>
      <c r="Q281" s="9"/>
      <c r="R281" s="9" t="n">
        <v>28</v>
      </c>
      <c r="S281" s="9" t="n">
        <v>121</v>
      </c>
      <c r="T281" s="9"/>
      <c r="U281" s="9" t="n">
        <v>60</v>
      </c>
      <c r="V281" s="9"/>
      <c r="W281" s="9"/>
      <c r="X281" s="9" t="n">
        <v>90</v>
      </c>
      <c r="Y281" s="9" t="n">
        <v>300</v>
      </c>
      <c r="Z281" s="9"/>
      <c r="AA281" s="9" t="n">
        <v>30</v>
      </c>
      <c r="AB281" s="9"/>
      <c r="AC281" s="9" t="n">
        <v>60</v>
      </c>
      <c r="AD281" s="9" t="n">
        <v>150</v>
      </c>
      <c r="AE281" s="9"/>
      <c r="AF281" s="9" t="n">
        <v>90</v>
      </c>
      <c r="AG281" s="9" t="n">
        <v>30</v>
      </c>
      <c r="AH281" s="9" t="n">
        <v>120</v>
      </c>
      <c r="AI281" s="9" t="n">
        <v>118</v>
      </c>
      <c r="AJ281" s="9" t="n">
        <v>90</v>
      </c>
      <c r="AK281" s="9"/>
      <c r="AL281" s="9"/>
      <c r="AM281" s="9" t="n">
        <v>60</v>
      </c>
      <c r="AN281" s="9"/>
      <c r="AO281" s="9"/>
      <c r="AP281" s="9"/>
      <c r="AQ281" s="9" t="n">
        <v>120</v>
      </c>
      <c r="AR281" s="9"/>
      <c r="AS281" s="9" t="n">
        <v>180</v>
      </c>
      <c r="AT281" s="9"/>
      <c r="AU281" s="9"/>
      <c r="AV281" s="9" t="n">
        <v>60</v>
      </c>
      <c r="AW281" s="9" t="n">
        <v>60</v>
      </c>
      <c r="AX281" s="9"/>
      <c r="AY281" s="9" t="n">
        <v>30</v>
      </c>
      <c r="AZ281" s="9" t="n">
        <v>150</v>
      </c>
      <c r="BA281" s="9"/>
      <c r="BB281" s="9" t="n">
        <v>240</v>
      </c>
      <c r="BC281" s="9"/>
      <c r="BD281" s="9" t="n">
        <v>120</v>
      </c>
      <c r="BE281" s="9"/>
      <c r="BF281" s="9" t="n">
        <v>240</v>
      </c>
      <c r="BG281" s="9"/>
      <c r="BH281" s="9" t="n">
        <v>1</v>
      </c>
      <c r="BI281" s="9"/>
      <c r="BJ281" s="9"/>
      <c r="BK281" s="9"/>
      <c r="BL281" s="9" t="n">
        <v>119</v>
      </c>
      <c r="BM281" s="9"/>
      <c r="BN281" s="9" t="n">
        <v>120</v>
      </c>
      <c r="BO281" s="9"/>
      <c r="BP281" s="9"/>
      <c r="BQ281" s="9" t="n">
        <v>120</v>
      </c>
      <c r="BR281" s="9" t="n">
        <v>60</v>
      </c>
      <c r="BS281" s="9"/>
      <c r="BT281" s="9"/>
      <c r="BU281" s="10" t="n">
        <v>3939</v>
      </c>
      <c r="BV281" s="11" t="n">
        <f aca="false">IF(ISERROR(ROUND(MEDIAN(BQ281:BT281),0)),0,ROUND(MEDIAN(BQ281:BT281),0))</f>
        <v>90</v>
      </c>
      <c r="BW281" s="11" t="n">
        <f aca="false">IF(ISERROR(ROUND(MEDIAN(BM281:BT281),0)),0,ROUND(MEDIAN(BM281:BT281),0))</f>
        <v>120</v>
      </c>
      <c r="BX281" s="11" t="n">
        <f aca="false">IF(ISERROR(ROUND(MEDIAN(BI281:BT281),0)),0,ROUND(MEDIAN(BI281:BT281),0))</f>
        <v>120</v>
      </c>
      <c r="BY281" s="11" t="n">
        <f aca="false">IF(ISERROR(ROUND(MEDIAN(BE281:BT281),0)),0,ROUND(MEDIAN(BE281:BT281),0))</f>
        <v>120</v>
      </c>
      <c r="BZ281" s="11" t="n">
        <f aca="false">IF(ISERROR(ROUND(MEDIAN(AU281:BT281),0)),0,ROUND(MEDIAN(AU281:BT281),0))</f>
        <v>120</v>
      </c>
      <c r="CA281" s="12" t="n">
        <f aca="false">IF(ISERROR(ROUND(MEDIAN(U281:BT281),0)),0,ROUND(MEDIAN(U281:BT281),0))</f>
        <v>104</v>
      </c>
      <c r="CB281" s="12" t="n">
        <f aca="false">IF(ISERROR(ROUND(MEDIAN(BT281),0)),0,ROUND(MEDIAN(BT281),0))</f>
        <v>0</v>
      </c>
      <c r="CC281" s="12" t="n">
        <f aca="false">IF(ISERROR(ROUND(MEDIAN(D281:BT281),0)),0,ROUND(MEDIAN(D281:BT281),0))</f>
        <v>90</v>
      </c>
      <c r="CD281" s="12" t="n">
        <f aca="false">MAX(D281:BT281)</f>
        <v>300</v>
      </c>
      <c r="CE281" s="7" t="n">
        <f aca="false">COUNTA(BQ281:BT281)</f>
        <v>2</v>
      </c>
      <c r="CF281" s="7" t="n">
        <f aca="false">COUNTA(BM281:BT281)</f>
        <v>3</v>
      </c>
      <c r="CG281" s="7" t="n">
        <f aca="false">COUNTA(BI281:BT281)</f>
        <v>4</v>
      </c>
      <c r="CH281" s="7" t="n">
        <f aca="false">COUNTA(BE281:BT281)</f>
        <v>6</v>
      </c>
      <c r="CI281" s="7" t="n">
        <f aca="false">COUNTA(AU281:BT281)</f>
        <v>12</v>
      </c>
      <c r="CJ281" s="7" t="n">
        <f aca="false">COUNTA(U281:BT281)</f>
        <v>26</v>
      </c>
      <c r="CK281" s="7" t="n">
        <f aca="false">COUNTA(BT281)</f>
        <v>0</v>
      </c>
      <c r="CL281" s="7" t="n">
        <f aca="false">COUNTA(D281:BT281)</f>
        <v>37</v>
      </c>
      <c r="CM281" s="13" t="str">
        <f aca="false">IF(AND(CE281=1,CJ281=1,BT281&lt;&gt;""),"5.ENTRANTES",IF(AND(CE281&lt;&gt;0,CE281/RIGHT($CE$1,1)&gt;=0.5,CJ281=CE281),"4.RECENTES",IF(AND(CF281&lt;&gt;0,CF281/RIGHT($CF$1,1)&gt;=0.5,CJ281=CF281),"4.RECENTES",IF(AND(CG281&lt;&gt;0,CG281/RIGHT($CG$1,2)&gt;=0.5,CJ281=CG281),"4.RECENTES",IF(AND(CH281&lt;&gt;0,CH281/RIGHT($CH$1,2)&gt;=0.5,CJ281=CH281),"4.RECENTES",IF(AND(CI281&lt;&gt;0,CI281/RIGHT($CI$1,2)&gt;=0.5,CJ281=CI281),"4.RECENTES",IF(AND(CE281=0,CF281=0,CG281=0,CH281=0),"3.INATIVOS",IF(CJ281/RIGHT($CJ$1,2)&lt;0.5,"2.INTERMITENTES","1.ORDINÁRIOS"))))))))</f>
        <v>1.ORDINÁRIOS</v>
      </c>
      <c r="CN281" s="14" t="n">
        <f aca="false">IF(AND(CE281=1,CJ281=1,BT281&lt;&gt;""),BT281,IF(AND(CE281&lt;&gt;0,CE281/RIGHT($CE$1,1)&gt;=0.5,CJ281=CE281),MAX(BV281:CC281),IF(AND(CF281&lt;&gt;0,CF281/RIGHT($CF$1,1)&gt;=0.5,CJ281=CF281),MAX(BV281:CC281),IF(AND(CG281&lt;&gt;0,CG281/RIGHT($CG$1,2)&gt;=0.5,CJ281=CG281),MAX(BV281:CC281),IF(AND(CH281&lt;&gt;0,CH281/RIGHT($CH$1,2)&gt;=0.5,CJ281=CH281),MAX(BV281:CC281),IF(AND(CI281&lt;&gt;0,CI281/RIGHT($CI$1,2)&gt;=0.5,CJ281=CI281),MAX(BV281:CC281),IF(AND(CE281=0,CF281=0,CG281=0,CH281=0),0,IF(CJ281/RIGHT($CJ$1,2)&lt;0.5,ROUND(BU281/RIGHT($CJ$1,2),0),MAX(BV281:CC281)))))))))</f>
        <v>120</v>
      </c>
      <c r="CO281" s="14" t="n">
        <f aca="false">CN281*3</f>
        <v>360</v>
      </c>
      <c r="CP281" s="15" t="n">
        <v>270</v>
      </c>
      <c r="CQ281" s="16" t="n">
        <f aca="false">IF((CO281-CP281)&lt;0,0,(CO281-CP281))</f>
        <v>90</v>
      </c>
      <c r="CR281" s="7"/>
    </row>
    <row r="282" customFormat="false" ht="12.75" hidden="false" customHeight="true" outlineLevel="0" collapsed="false">
      <c r="A282" s="7" t="s">
        <v>273</v>
      </c>
      <c r="B282" s="7" t="s">
        <v>379</v>
      </c>
      <c r="C282" s="8" t="n">
        <v>230001015</v>
      </c>
      <c r="D282" s="9"/>
      <c r="E282" s="9"/>
      <c r="F282" s="9"/>
      <c r="G282" s="9"/>
      <c r="H282" s="9"/>
      <c r="I282" s="9"/>
      <c r="J282" s="9"/>
      <c r="K282" s="9"/>
      <c r="L282" s="9"/>
      <c r="M282" s="9" t="n">
        <v>8</v>
      </c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  <c r="AZ282" s="9"/>
      <c r="BA282" s="9"/>
      <c r="BB282" s="9"/>
      <c r="BC282" s="9"/>
      <c r="BD282" s="9"/>
      <c r="BE282" s="9"/>
      <c r="BF282" s="9"/>
      <c r="BG282" s="9"/>
      <c r="BH282" s="9"/>
      <c r="BI282" s="9"/>
      <c r="BJ282" s="9"/>
      <c r="BK282" s="9"/>
      <c r="BL282" s="9"/>
      <c r="BM282" s="9"/>
      <c r="BN282" s="9"/>
      <c r="BO282" s="9"/>
      <c r="BP282" s="9"/>
      <c r="BQ282" s="9"/>
      <c r="BR282" s="9"/>
      <c r="BS282" s="9"/>
      <c r="BT282" s="9"/>
      <c r="BU282" s="10" t="n">
        <v>8</v>
      </c>
      <c r="BV282" s="11" t="n">
        <f aca="false">IF(ISERROR(ROUND(MEDIAN(BQ282:BT282),0)),0,ROUND(MEDIAN(BQ282:BT282),0))</f>
        <v>0</v>
      </c>
      <c r="BW282" s="11" t="n">
        <f aca="false">IF(ISERROR(ROUND(MEDIAN(BM282:BT282),0)),0,ROUND(MEDIAN(BM282:BT282),0))</f>
        <v>0</v>
      </c>
      <c r="BX282" s="11" t="n">
        <f aca="false">IF(ISERROR(ROUND(MEDIAN(BI282:BT282),0)),0,ROUND(MEDIAN(BI282:BT282),0))</f>
        <v>0</v>
      </c>
      <c r="BY282" s="11" t="n">
        <f aca="false">IF(ISERROR(ROUND(MEDIAN(BE282:BT282),0)),0,ROUND(MEDIAN(BE282:BT282),0))</f>
        <v>0</v>
      </c>
      <c r="BZ282" s="11" t="n">
        <f aca="false">IF(ISERROR(ROUND(MEDIAN(AU282:BT282),0)),0,ROUND(MEDIAN(AU282:BT282),0))</f>
        <v>0</v>
      </c>
      <c r="CA282" s="12" t="n">
        <f aca="false">IF(ISERROR(ROUND(MEDIAN(U282:BT282),0)),0,ROUND(MEDIAN(U282:BT282),0))</f>
        <v>0</v>
      </c>
      <c r="CB282" s="12" t="n">
        <f aca="false">IF(ISERROR(ROUND(MEDIAN(BT282),0)),0,ROUND(MEDIAN(BT282),0))</f>
        <v>0</v>
      </c>
      <c r="CC282" s="12" t="n">
        <f aca="false">IF(ISERROR(ROUND(MEDIAN(D282:BT282),0)),0,ROUND(MEDIAN(D282:BT282),0))</f>
        <v>8</v>
      </c>
      <c r="CD282" s="12" t="n">
        <f aca="false">MAX(D282:BT282)</f>
        <v>8</v>
      </c>
      <c r="CE282" s="7" t="n">
        <f aca="false">COUNTA(BQ282:BT282)</f>
        <v>0</v>
      </c>
      <c r="CF282" s="7" t="n">
        <f aca="false">COUNTA(BM282:BT282)</f>
        <v>0</v>
      </c>
      <c r="CG282" s="7" t="n">
        <f aca="false">COUNTA(BI282:BT282)</f>
        <v>0</v>
      </c>
      <c r="CH282" s="7" t="n">
        <f aca="false">COUNTA(BE282:BT282)</f>
        <v>0</v>
      </c>
      <c r="CI282" s="7" t="n">
        <f aca="false">COUNTA(AU282:BT282)</f>
        <v>0</v>
      </c>
      <c r="CJ282" s="7" t="n">
        <f aca="false">COUNTA(U282:BT282)</f>
        <v>0</v>
      </c>
      <c r="CK282" s="7" t="n">
        <f aca="false">COUNTA(BT282)</f>
        <v>0</v>
      </c>
      <c r="CL282" s="7" t="n">
        <f aca="false">COUNTA(D282:BT282)</f>
        <v>1</v>
      </c>
      <c r="CM282" s="19" t="str">
        <f aca="false">IF(AND(CE282=1,CJ282=1,BT282&lt;&gt;""),"5.ENTRANTES",IF(AND(CE282&lt;&gt;0,CE282/RIGHT($CE$1,1)&gt;=0.5,CJ282=CE282),"4.RECENTES",IF(AND(CF282&lt;&gt;0,CF282/RIGHT($CF$1,1)&gt;=0.5,CJ282=CF282),"4.RECENTES",IF(AND(CG282&lt;&gt;0,CG282/RIGHT($CG$1,2)&gt;=0.5,CJ282=CG282),"4.RECENTES",IF(AND(CH282&lt;&gt;0,CH282/RIGHT($CH$1,2)&gt;=0.5,CJ282=CH282),"4.RECENTES",IF(AND(CI282&lt;&gt;0,CI282/RIGHT($CI$1,2)&gt;=0.5,CJ282=CI282),"4.RECENTES",IF(AND(CE282=0,CF282=0,CG282=0,CH282=0),"3.INATIVOS",IF(CJ282/RIGHT($CJ$1,2)&lt;0.5,"2.INTERMITENTES","1.ORDINÁRIOS"))))))))</f>
        <v>3.INATIVOS</v>
      </c>
      <c r="CN282" s="20" t="n">
        <f aca="false">IF(AND(CE282=1,CJ282=1,BT282&lt;&gt;""),BT282,IF(AND(CE282&lt;&gt;0,CE282/RIGHT($CE$1,1)&gt;=0.5,CJ282=CE282),MAX(BV282:CC282),IF(AND(CF282&lt;&gt;0,CF282/RIGHT($CF$1,1)&gt;=0.5,CJ282=CF282),MAX(BV282:CC282),IF(AND(CG282&lt;&gt;0,CG282/RIGHT($CG$1,2)&gt;=0.5,CJ282=CG282),MAX(BV282:CC282),IF(AND(CH282&lt;&gt;0,CH282/RIGHT($CH$1,2)&gt;=0.5,CJ282=CH282),MAX(BV282:CC282),IF(AND(CI282&lt;&gt;0,CI282/RIGHT($CI$1,2)&gt;=0.5,CJ282=CI282),MAX(BV282:CC282),IF(AND(CE282=0,CF282=0,CG282=0,CH282=0),0,IF(CJ282/RIGHT($CJ$1,2)&lt;0.5,ROUND(BU282/RIGHT($CJ$1,2),0),MAX(BV282:CC282)))))))))</f>
        <v>0</v>
      </c>
      <c r="CO282" s="20" t="n">
        <f aca="false">CN282*3</f>
        <v>0</v>
      </c>
      <c r="CP282" s="15" t="n">
        <v>0</v>
      </c>
      <c r="CQ282" s="16" t="n">
        <f aca="false">IF((CO282-CP282)&lt;0,0,(CO282-CP282))</f>
        <v>0</v>
      </c>
      <c r="CR282" s="7"/>
    </row>
    <row r="283" customFormat="false" ht="12.75" hidden="false" customHeight="true" outlineLevel="0" collapsed="false">
      <c r="A283" s="7" t="s">
        <v>273</v>
      </c>
      <c r="B283" s="7" t="s">
        <v>380</v>
      </c>
      <c r="C283" s="8" t="n">
        <v>311001002</v>
      </c>
      <c r="D283" s="9"/>
      <c r="E283" s="9"/>
      <c r="F283" s="9"/>
      <c r="G283" s="9" t="n">
        <v>1</v>
      </c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  <c r="AZ283" s="9"/>
      <c r="BA283" s="9"/>
      <c r="BB283" s="9"/>
      <c r="BC283" s="9"/>
      <c r="BD283" s="9"/>
      <c r="BE283" s="9"/>
      <c r="BF283" s="9"/>
      <c r="BG283" s="9"/>
      <c r="BH283" s="9"/>
      <c r="BI283" s="9"/>
      <c r="BJ283" s="9"/>
      <c r="BK283" s="9"/>
      <c r="BL283" s="9"/>
      <c r="BM283" s="9"/>
      <c r="BN283" s="9"/>
      <c r="BO283" s="9"/>
      <c r="BP283" s="9"/>
      <c r="BQ283" s="9"/>
      <c r="BR283" s="9"/>
      <c r="BS283" s="9"/>
      <c r="BT283" s="9"/>
      <c r="BU283" s="10" t="n">
        <v>1</v>
      </c>
      <c r="BV283" s="11" t="n">
        <f aca="false">IF(ISERROR(ROUND(MEDIAN(BQ283:BT283),0)),0,ROUND(MEDIAN(BQ283:BT283),0))</f>
        <v>0</v>
      </c>
      <c r="BW283" s="11" t="n">
        <f aca="false">IF(ISERROR(ROUND(MEDIAN(BM283:BT283),0)),0,ROUND(MEDIAN(BM283:BT283),0))</f>
        <v>0</v>
      </c>
      <c r="BX283" s="11" t="n">
        <f aca="false">IF(ISERROR(ROUND(MEDIAN(BI283:BT283),0)),0,ROUND(MEDIAN(BI283:BT283),0))</f>
        <v>0</v>
      </c>
      <c r="BY283" s="11" t="n">
        <f aca="false">IF(ISERROR(ROUND(MEDIAN(BE283:BT283),0)),0,ROUND(MEDIAN(BE283:BT283),0))</f>
        <v>0</v>
      </c>
      <c r="BZ283" s="11" t="n">
        <f aca="false">IF(ISERROR(ROUND(MEDIAN(AU283:BT283),0)),0,ROUND(MEDIAN(AU283:BT283),0))</f>
        <v>0</v>
      </c>
      <c r="CA283" s="12" t="n">
        <f aca="false">IF(ISERROR(ROUND(MEDIAN(U283:BT283),0)),0,ROUND(MEDIAN(U283:BT283),0))</f>
        <v>0</v>
      </c>
      <c r="CB283" s="12" t="n">
        <f aca="false">IF(ISERROR(ROUND(MEDIAN(BT283),0)),0,ROUND(MEDIAN(BT283),0))</f>
        <v>0</v>
      </c>
      <c r="CC283" s="12" t="n">
        <f aca="false">IF(ISERROR(ROUND(MEDIAN(D283:BT283),0)),0,ROUND(MEDIAN(D283:BT283),0))</f>
        <v>1</v>
      </c>
      <c r="CD283" s="12" t="n">
        <f aca="false">MAX(D283:BT283)</f>
        <v>1</v>
      </c>
      <c r="CE283" s="7" t="n">
        <f aca="false">COUNTA(BQ283:BT283)</f>
        <v>0</v>
      </c>
      <c r="CF283" s="7" t="n">
        <f aca="false">COUNTA(BM283:BT283)</f>
        <v>0</v>
      </c>
      <c r="CG283" s="7" t="n">
        <f aca="false">COUNTA(BI283:BT283)</f>
        <v>0</v>
      </c>
      <c r="CH283" s="7" t="n">
        <f aca="false">COUNTA(BE283:BT283)</f>
        <v>0</v>
      </c>
      <c r="CI283" s="7" t="n">
        <f aca="false">COUNTA(AU283:BT283)</f>
        <v>0</v>
      </c>
      <c r="CJ283" s="7" t="n">
        <f aca="false">COUNTA(U283:BT283)</f>
        <v>0</v>
      </c>
      <c r="CK283" s="7" t="n">
        <f aca="false">COUNTA(BT283)</f>
        <v>0</v>
      </c>
      <c r="CL283" s="7" t="n">
        <f aca="false">COUNTA(D283:BT283)</f>
        <v>1</v>
      </c>
      <c r="CM283" s="19" t="str">
        <f aca="false">IF(AND(CE283=1,CJ283=1,BT283&lt;&gt;""),"5.ENTRANTES",IF(AND(CE283&lt;&gt;0,CE283/RIGHT($CE$1,1)&gt;=0.5,CJ283=CE283),"4.RECENTES",IF(AND(CF283&lt;&gt;0,CF283/RIGHT($CF$1,1)&gt;=0.5,CJ283=CF283),"4.RECENTES",IF(AND(CG283&lt;&gt;0,CG283/RIGHT($CG$1,2)&gt;=0.5,CJ283=CG283),"4.RECENTES",IF(AND(CH283&lt;&gt;0,CH283/RIGHT($CH$1,2)&gt;=0.5,CJ283=CH283),"4.RECENTES",IF(AND(CI283&lt;&gt;0,CI283/RIGHT($CI$1,2)&gt;=0.5,CJ283=CI283),"4.RECENTES",IF(AND(CE283=0,CF283=0,CG283=0,CH283=0),"3.INATIVOS",IF(CJ283/RIGHT($CJ$1,2)&lt;0.5,"2.INTERMITENTES","1.ORDINÁRIOS"))))))))</f>
        <v>3.INATIVOS</v>
      </c>
      <c r="CN283" s="20" t="n">
        <f aca="false">IF(AND(CE283=1,CJ283=1,BT283&lt;&gt;""),BT283,IF(AND(CE283&lt;&gt;0,CE283/RIGHT($CE$1,1)&gt;=0.5,CJ283=CE283),MAX(BV283:CC283),IF(AND(CF283&lt;&gt;0,CF283/RIGHT($CF$1,1)&gt;=0.5,CJ283=CF283),MAX(BV283:CC283),IF(AND(CG283&lt;&gt;0,CG283/RIGHT($CG$1,2)&gt;=0.5,CJ283=CG283),MAX(BV283:CC283),IF(AND(CH283&lt;&gt;0,CH283/RIGHT($CH$1,2)&gt;=0.5,CJ283=CH283),MAX(BV283:CC283),IF(AND(CI283&lt;&gt;0,CI283/RIGHT($CI$1,2)&gt;=0.5,CJ283=CI283),MAX(BV283:CC283),IF(AND(CE283=0,CF283=0,CG283=0,CH283=0),0,IF(CJ283/RIGHT($CJ$1,2)&lt;0.5,ROUND(BU283/RIGHT($CJ$1,2),0),MAX(BV283:CC283)))))))))</f>
        <v>0</v>
      </c>
      <c r="CO283" s="20" t="n">
        <f aca="false">CN283*3</f>
        <v>0</v>
      </c>
      <c r="CP283" s="15" t="n">
        <v>0</v>
      </c>
      <c r="CQ283" s="16" t="n">
        <f aca="false">IF((CO283-CP283)&lt;0,0,(CO283-CP283))</f>
        <v>0</v>
      </c>
      <c r="CR283" s="7"/>
    </row>
    <row r="284" customFormat="false" ht="12.75" hidden="false" customHeight="true" outlineLevel="0" collapsed="false">
      <c r="A284" s="7" t="s">
        <v>273</v>
      </c>
      <c r="B284" s="7" t="s">
        <v>381</v>
      </c>
      <c r="C284" s="8" t="n">
        <v>230001017</v>
      </c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 t="n">
        <v>30</v>
      </c>
      <c r="V284" s="9"/>
      <c r="W284" s="9"/>
      <c r="X284" s="9"/>
      <c r="Y284" s="9"/>
      <c r="Z284" s="9"/>
      <c r="AA284" s="9"/>
      <c r="AB284" s="9" t="n">
        <v>30</v>
      </c>
      <c r="AC284" s="9"/>
      <c r="AD284" s="9"/>
      <c r="AE284" s="9"/>
      <c r="AF284" s="9" t="n">
        <v>30</v>
      </c>
      <c r="AG284" s="9"/>
      <c r="AH284" s="9"/>
      <c r="AI284" s="9" t="n">
        <v>30</v>
      </c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  <c r="AZ284" s="9"/>
      <c r="BA284" s="9"/>
      <c r="BB284" s="9"/>
      <c r="BC284" s="9"/>
      <c r="BD284" s="9"/>
      <c r="BE284" s="9" t="n">
        <v>30</v>
      </c>
      <c r="BF284" s="9"/>
      <c r="BG284" s="9"/>
      <c r="BH284" s="9"/>
      <c r="BI284" s="9"/>
      <c r="BJ284" s="9"/>
      <c r="BK284" s="9"/>
      <c r="BL284" s="9" t="n">
        <v>30</v>
      </c>
      <c r="BM284" s="9"/>
      <c r="BN284" s="9"/>
      <c r="BO284" s="9"/>
      <c r="BP284" s="9"/>
      <c r="BQ284" s="9"/>
      <c r="BR284" s="9"/>
      <c r="BS284" s="9" t="n">
        <v>60</v>
      </c>
      <c r="BT284" s="9"/>
      <c r="BU284" s="10" t="n">
        <v>240</v>
      </c>
      <c r="BV284" s="11" t="n">
        <f aca="false">IF(ISERROR(ROUND(MEDIAN(BQ284:BT284),0)),0,ROUND(MEDIAN(BQ284:BT284),0))</f>
        <v>60</v>
      </c>
      <c r="BW284" s="11" t="n">
        <f aca="false">IF(ISERROR(ROUND(MEDIAN(BM284:BT284),0)),0,ROUND(MEDIAN(BM284:BT284),0))</f>
        <v>60</v>
      </c>
      <c r="BX284" s="11" t="n">
        <f aca="false">IF(ISERROR(ROUND(MEDIAN(BI284:BT284),0)),0,ROUND(MEDIAN(BI284:BT284),0))</f>
        <v>45</v>
      </c>
      <c r="BY284" s="11" t="n">
        <f aca="false">IF(ISERROR(ROUND(MEDIAN(BE284:BT284),0)),0,ROUND(MEDIAN(BE284:BT284),0))</f>
        <v>30</v>
      </c>
      <c r="BZ284" s="11" t="n">
        <f aca="false">IF(ISERROR(ROUND(MEDIAN(AU284:BT284),0)),0,ROUND(MEDIAN(AU284:BT284),0))</f>
        <v>30</v>
      </c>
      <c r="CA284" s="12" t="n">
        <f aca="false">IF(ISERROR(ROUND(MEDIAN(U284:BT284),0)),0,ROUND(MEDIAN(U284:BT284),0))</f>
        <v>30</v>
      </c>
      <c r="CB284" s="12" t="n">
        <f aca="false">IF(ISERROR(ROUND(MEDIAN(BT284),0)),0,ROUND(MEDIAN(BT284),0))</f>
        <v>0</v>
      </c>
      <c r="CC284" s="12" t="n">
        <f aca="false">IF(ISERROR(ROUND(MEDIAN(D284:BT284),0)),0,ROUND(MEDIAN(D284:BT284),0))</f>
        <v>30</v>
      </c>
      <c r="CD284" s="12" t="n">
        <f aca="false">MAX(D284:BT284)</f>
        <v>60</v>
      </c>
      <c r="CE284" s="7" t="n">
        <f aca="false">COUNTA(BQ284:BT284)</f>
        <v>1</v>
      </c>
      <c r="CF284" s="7" t="n">
        <f aca="false">COUNTA(BM284:BT284)</f>
        <v>1</v>
      </c>
      <c r="CG284" s="7" t="n">
        <f aca="false">COUNTA(BI284:BT284)</f>
        <v>2</v>
      </c>
      <c r="CH284" s="7" t="n">
        <f aca="false">COUNTA(BE284:BT284)</f>
        <v>3</v>
      </c>
      <c r="CI284" s="7" t="n">
        <f aca="false">COUNTA(AU284:BT284)</f>
        <v>3</v>
      </c>
      <c r="CJ284" s="7" t="n">
        <f aca="false">COUNTA(U284:BT284)</f>
        <v>7</v>
      </c>
      <c r="CK284" s="7" t="n">
        <f aca="false">COUNTA(BT284)</f>
        <v>0</v>
      </c>
      <c r="CL284" s="7" t="n">
        <f aca="false">COUNTA(D284:BT284)</f>
        <v>7</v>
      </c>
      <c r="CM284" s="17" t="str">
        <f aca="false">IF(AND(CE284=1,CJ284=1,BT284&lt;&gt;""),"5.ENTRANTES",IF(AND(CE284&lt;&gt;0,CE284/RIGHT($CE$1,1)&gt;=0.5,CJ284=CE284),"4.RECENTES",IF(AND(CF284&lt;&gt;0,CF284/RIGHT($CF$1,1)&gt;=0.5,CJ284=CF284),"4.RECENTES",IF(AND(CG284&lt;&gt;0,CG284/RIGHT($CG$1,2)&gt;=0.5,CJ284=CG284),"4.RECENTES",IF(AND(CH284&lt;&gt;0,CH284/RIGHT($CH$1,2)&gt;=0.5,CJ284=CH284),"4.RECENTES",IF(AND(CI284&lt;&gt;0,CI284/RIGHT($CI$1,2)&gt;=0.5,CJ284=CI284),"4.RECENTES",IF(AND(CE284=0,CF284=0,CG284=0,CH284=0),"3.INATIVOS",IF(CJ284/RIGHT($CJ$1,2)&lt;0.5,"2.INTERMITENTES","1.ORDINÁRIOS"))))))))</f>
        <v>2.INTERMITENTES</v>
      </c>
      <c r="CN284" s="18" t="n">
        <f aca="false">IF(AND(CE284=1,CJ284=1,BT284&lt;&gt;""),BT284,IF(AND(CE284&lt;&gt;0,CE284/RIGHT($CE$1,1)&gt;=0.5,CJ284=CE284),MAX(BV284:CC284),IF(AND(CF284&lt;&gt;0,CF284/RIGHT($CF$1,1)&gt;=0.5,CJ284=CF284),MAX(BV284:CC284),IF(AND(CG284&lt;&gt;0,CG284/RIGHT($CG$1,2)&gt;=0.5,CJ284=CG284),MAX(BV284:CC284),IF(AND(CH284&lt;&gt;0,CH284/RIGHT($CH$1,2)&gt;=0.5,CJ284=CH284),MAX(BV284:CC284),IF(AND(CI284&lt;&gt;0,CI284/RIGHT($CI$1,2)&gt;=0.5,CJ284=CI284),MAX(BV284:CC284),IF(AND(CE284=0,CF284=0,CG284=0,CH284=0),0,IF(CJ284/RIGHT($CJ$1,2)&lt;0.5,ROUND(BU284/RIGHT($CJ$1,2),0),MAX(BV284:CC284)))))))))</f>
        <v>5</v>
      </c>
      <c r="CO284" s="18" t="n">
        <f aca="false">CD284</f>
        <v>60</v>
      </c>
      <c r="CP284" s="15" t="n">
        <v>0</v>
      </c>
      <c r="CQ284" s="16" t="n">
        <f aca="false">IF((CO284-CP284)&lt;0,0,(CO284-CP284))</f>
        <v>60</v>
      </c>
      <c r="CR284" s="7"/>
    </row>
    <row r="285" customFormat="false" ht="12.75" hidden="false" customHeight="true" outlineLevel="0" collapsed="false">
      <c r="A285" s="7" t="s">
        <v>273</v>
      </c>
      <c r="B285" s="7" t="s">
        <v>382</v>
      </c>
      <c r="C285" s="8" t="n">
        <v>325004003</v>
      </c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 t="n">
        <v>30</v>
      </c>
      <c r="S285" s="9"/>
      <c r="T285" s="9"/>
      <c r="U285" s="9" t="n">
        <v>30</v>
      </c>
      <c r="V285" s="9"/>
      <c r="W285" s="9"/>
      <c r="X285" s="9"/>
      <c r="Y285" s="9"/>
      <c r="Z285" s="9" t="n">
        <v>30</v>
      </c>
      <c r="AA285" s="9"/>
      <c r="AB285" s="9"/>
      <c r="AC285" s="9"/>
      <c r="AD285" s="9"/>
      <c r="AE285" s="9"/>
      <c r="AF285" s="9"/>
      <c r="AG285" s="9"/>
      <c r="AH285" s="9"/>
      <c r="AI285" s="9" t="n">
        <v>30</v>
      </c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 t="n">
        <v>30</v>
      </c>
      <c r="AV285" s="9"/>
      <c r="AW285" s="9"/>
      <c r="AX285" s="9"/>
      <c r="AY285" s="9"/>
      <c r="AZ285" s="9"/>
      <c r="BA285" s="9" t="n">
        <v>30</v>
      </c>
      <c r="BB285" s="9"/>
      <c r="BC285" s="9"/>
      <c r="BD285" s="9"/>
      <c r="BE285" s="9"/>
      <c r="BF285" s="9"/>
      <c r="BG285" s="9"/>
      <c r="BH285" s="9"/>
      <c r="BI285" s="9"/>
      <c r="BJ285" s="9"/>
      <c r="BK285" s="9"/>
      <c r="BL285" s="9"/>
      <c r="BM285" s="9"/>
      <c r="BN285" s="9"/>
      <c r="BO285" s="9"/>
      <c r="BP285" s="9"/>
      <c r="BQ285" s="9"/>
      <c r="BR285" s="9"/>
      <c r="BS285" s="9"/>
      <c r="BT285" s="9"/>
      <c r="BU285" s="10" t="n">
        <v>180</v>
      </c>
      <c r="BV285" s="11" t="n">
        <f aca="false">IF(ISERROR(ROUND(MEDIAN(BQ285:BT285),0)),0,ROUND(MEDIAN(BQ285:BT285),0))</f>
        <v>0</v>
      </c>
      <c r="BW285" s="11" t="n">
        <f aca="false">IF(ISERROR(ROUND(MEDIAN(BM285:BT285),0)),0,ROUND(MEDIAN(BM285:BT285),0))</f>
        <v>0</v>
      </c>
      <c r="BX285" s="11" t="n">
        <f aca="false">IF(ISERROR(ROUND(MEDIAN(BI285:BT285),0)),0,ROUND(MEDIAN(BI285:BT285),0))</f>
        <v>0</v>
      </c>
      <c r="BY285" s="11" t="n">
        <f aca="false">IF(ISERROR(ROUND(MEDIAN(BE285:BT285),0)),0,ROUND(MEDIAN(BE285:BT285),0))</f>
        <v>0</v>
      </c>
      <c r="BZ285" s="11" t="n">
        <f aca="false">IF(ISERROR(ROUND(MEDIAN(AU285:BT285),0)),0,ROUND(MEDIAN(AU285:BT285),0))</f>
        <v>30</v>
      </c>
      <c r="CA285" s="12" t="n">
        <f aca="false">IF(ISERROR(ROUND(MEDIAN(U285:BT285),0)),0,ROUND(MEDIAN(U285:BT285),0))</f>
        <v>30</v>
      </c>
      <c r="CB285" s="12" t="n">
        <f aca="false">IF(ISERROR(ROUND(MEDIAN(BT285),0)),0,ROUND(MEDIAN(BT285),0))</f>
        <v>0</v>
      </c>
      <c r="CC285" s="12" t="n">
        <f aca="false">IF(ISERROR(ROUND(MEDIAN(D285:BT285),0)),0,ROUND(MEDIAN(D285:BT285),0))</f>
        <v>30</v>
      </c>
      <c r="CD285" s="12" t="n">
        <f aca="false">MAX(D285:BT285)</f>
        <v>30</v>
      </c>
      <c r="CE285" s="7" t="n">
        <f aca="false">COUNTA(BQ285:BT285)</f>
        <v>0</v>
      </c>
      <c r="CF285" s="7" t="n">
        <f aca="false">COUNTA(BM285:BT285)</f>
        <v>0</v>
      </c>
      <c r="CG285" s="7" t="n">
        <f aca="false">COUNTA(BI285:BT285)</f>
        <v>0</v>
      </c>
      <c r="CH285" s="7" t="n">
        <f aca="false">COUNTA(BE285:BT285)</f>
        <v>0</v>
      </c>
      <c r="CI285" s="7" t="n">
        <f aca="false">COUNTA(AU285:BT285)</f>
        <v>2</v>
      </c>
      <c r="CJ285" s="7" t="n">
        <f aca="false">COUNTA(U285:BT285)</f>
        <v>5</v>
      </c>
      <c r="CK285" s="7" t="n">
        <f aca="false">COUNTA(BT285)</f>
        <v>0</v>
      </c>
      <c r="CL285" s="7" t="n">
        <f aca="false">COUNTA(D285:BT285)</f>
        <v>6</v>
      </c>
      <c r="CM285" s="19" t="str">
        <f aca="false">IF(AND(CE285=1,CJ285=1,BT285&lt;&gt;""),"5.ENTRANTES",IF(AND(CE285&lt;&gt;0,CE285/RIGHT($CE$1,1)&gt;=0.5,CJ285=CE285),"4.RECENTES",IF(AND(CF285&lt;&gt;0,CF285/RIGHT($CF$1,1)&gt;=0.5,CJ285=CF285),"4.RECENTES",IF(AND(CG285&lt;&gt;0,CG285/RIGHT($CG$1,2)&gt;=0.5,CJ285=CG285),"4.RECENTES",IF(AND(CH285&lt;&gt;0,CH285/RIGHT($CH$1,2)&gt;=0.5,CJ285=CH285),"4.RECENTES",IF(AND(CI285&lt;&gt;0,CI285/RIGHT($CI$1,2)&gt;=0.5,CJ285=CI285),"4.RECENTES",IF(AND(CE285=0,CF285=0,CG285=0,CH285=0),"3.INATIVOS",IF(CJ285/RIGHT($CJ$1,2)&lt;0.5,"2.INTERMITENTES","1.ORDINÁRIOS"))))))))</f>
        <v>3.INATIVOS</v>
      </c>
      <c r="CN285" s="20" t="n">
        <f aca="false">IF(AND(CE285=1,CJ285=1,BT285&lt;&gt;""),BT285,IF(AND(CE285&lt;&gt;0,CE285/RIGHT($CE$1,1)&gt;=0.5,CJ285=CE285),MAX(BV285:CC285),IF(AND(CF285&lt;&gt;0,CF285/RIGHT($CF$1,1)&gt;=0.5,CJ285=CF285),MAX(BV285:CC285),IF(AND(CG285&lt;&gt;0,CG285/RIGHT($CG$1,2)&gt;=0.5,CJ285=CG285),MAX(BV285:CC285),IF(AND(CH285&lt;&gt;0,CH285/RIGHT($CH$1,2)&gt;=0.5,CJ285=CH285),MAX(BV285:CC285),IF(AND(CI285&lt;&gt;0,CI285/RIGHT($CI$1,2)&gt;=0.5,CJ285=CI285),MAX(BV285:CC285),IF(AND(CE285=0,CF285=0,CG285=0,CH285=0),0,IF(CJ285/RIGHT($CJ$1,2)&lt;0.5,ROUND(BU285/RIGHT($CJ$1,2),0),MAX(BV285:CC285)))))))))</f>
        <v>0</v>
      </c>
      <c r="CO285" s="20" t="n">
        <f aca="false">CN285*3</f>
        <v>0</v>
      </c>
      <c r="CP285" s="15" t="n">
        <v>0</v>
      </c>
      <c r="CQ285" s="16" t="n">
        <f aca="false">IF((CO285-CP285)&lt;0,0,(CO285-CP285))</f>
        <v>0</v>
      </c>
      <c r="CR285" s="7"/>
    </row>
    <row r="286" customFormat="false" ht="12.75" hidden="false" customHeight="true" outlineLevel="0" collapsed="false">
      <c r="A286" s="7" t="s">
        <v>273</v>
      </c>
      <c r="B286" s="7" t="s">
        <v>383</v>
      </c>
      <c r="C286" s="8" t="n">
        <v>325002002</v>
      </c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 t="n">
        <v>30</v>
      </c>
      <c r="AZ286" s="9"/>
      <c r="BA286" s="9"/>
      <c r="BB286" s="9"/>
      <c r="BC286" s="9"/>
      <c r="BD286" s="9"/>
      <c r="BE286" s="9"/>
      <c r="BF286" s="9"/>
      <c r="BG286" s="9"/>
      <c r="BH286" s="9"/>
      <c r="BI286" s="9"/>
      <c r="BJ286" s="9"/>
      <c r="BK286" s="9"/>
      <c r="BL286" s="9"/>
      <c r="BM286" s="9"/>
      <c r="BN286" s="9"/>
      <c r="BO286" s="9"/>
      <c r="BP286" s="9"/>
      <c r="BQ286" s="9"/>
      <c r="BR286" s="9"/>
      <c r="BS286" s="9"/>
      <c r="BT286" s="9"/>
      <c r="BU286" s="10" t="n">
        <v>30</v>
      </c>
      <c r="BV286" s="11" t="n">
        <f aca="false">IF(ISERROR(ROUND(MEDIAN(BQ286:BT286),0)),0,ROUND(MEDIAN(BQ286:BT286),0))</f>
        <v>0</v>
      </c>
      <c r="BW286" s="11" t="n">
        <f aca="false">IF(ISERROR(ROUND(MEDIAN(BM286:BT286),0)),0,ROUND(MEDIAN(BM286:BT286),0))</f>
        <v>0</v>
      </c>
      <c r="BX286" s="11" t="n">
        <f aca="false">IF(ISERROR(ROUND(MEDIAN(BI286:BT286),0)),0,ROUND(MEDIAN(BI286:BT286),0))</f>
        <v>0</v>
      </c>
      <c r="BY286" s="11" t="n">
        <f aca="false">IF(ISERROR(ROUND(MEDIAN(BE286:BT286),0)),0,ROUND(MEDIAN(BE286:BT286),0))</f>
        <v>0</v>
      </c>
      <c r="BZ286" s="11" t="n">
        <f aca="false">IF(ISERROR(ROUND(MEDIAN(AU286:BT286),0)),0,ROUND(MEDIAN(AU286:BT286),0))</f>
        <v>30</v>
      </c>
      <c r="CA286" s="12" t="n">
        <f aca="false">IF(ISERROR(ROUND(MEDIAN(U286:BT286),0)),0,ROUND(MEDIAN(U286:BT286),0))</f>
        <v>30</v>
      </c>
      <c r="CB286" s="12" t="n">
        <f aca="false">IF(ISERROR(ROUND(MEDIAN(BT286),0)),0,ROUND(MEDIAN(BT286),0))</f>
        <v>0</v>
      </c>
      <c r="CC286" s="12" t="n">
        <f aca="false">IF(ISERROR(ROUND(MEDIAN(D286:BT286),0)),0,ROUND(MEDIAN(D286:BT286),0))</f>
        <v>30</v>
      </c>
      <c r="CD286" s="12" t="n">
        <f aca="false">MAX(D286:BT286)</f>
        <v>30</v>
      </c>
      <c r="CE286" s="7" t="n">
        <f aca="false">COUNTA(BQ286:BT286)</f>
        <v>0</v>
      </c>
      <c r="CF286" s="7" t="n">
        <f aca="false">COUNTA(BM286:BT286)</f>
        <v>0</v>
      </c>
      <c r="CG286" s="7" t="n">
        <f aca="false">COUNTA(BI286:BT286)</f>
        <v>0</v>
      </c>
      <c r="CH286" s="7" t="n">
        <f aca="false">COUNTA(BE286:BT286)</f>
        <v>0</v>
      </c>
      <c r="CI286" s="7" t="n">
        <f aca="false">COUNTA(AU286:BT286)</f>
        <v>1</v>
      </c>
      <c r="CJ286" s="7" t="n">
        <f aca="false">COUNTA(U286:BT286)</f>
        <v>1</v>
      </c>
      <c r="CK286" s="7" t="n">
        <f aca="false">COUNTA(BT286)</f>
        <v>0</v>
      </c>
      <c r="CL286" s="7" t="n">
        <f aca="false">COUNTA(D286:BT286)</f>
        <v>1</v>
      </c>
      <c r="CM286" s="19" t="str">
        <f aca="false">IF(AND(CE286=1,CJ286=1,BT286&lt;&gt;""),"5.ENTRANTES",IF(AND(CE286&lt;&gt;0,CE286/RIGHT($CE$1,1)&gt;=0.5,CJ286=CE286),"4.RECENTES",IF(AND(CF286&lt;&gt;0,CF286/RIGHT($CF$1,1)&gt;=0.5,CJ286=CF286),"4.RECENTES",IF(AND(CG286&lt;&gt;0,CG286/RIGHT($CG$1,2)&gt;=0.5,CJ286=CG286),"4.RECENTES",IF(AND(CH286&lt;&gt;0,CH286/RIGHT($CH$1,2)&gt;=0.5,CJ286=CH286),"4.RECENTES",IF(AND(CI286&lt;&gt;0,CI286/RIGHT($CI$1,2)&gt;=0.5,CJ286=CI286),"4.RECENTES",IF(AND(CE286=0,CF286=0,CG286=0,CH286=0),"3.INATIVOS",IF(CJ286/RIGHT($CJ$1,2)&lt;0.5,"2.INTERMITENTES","1.ORDINÁRIOS"))))))))</f>
        <v>3.INATIVOS</v>
      </c>
      <c r="CN286" s="20" t="n">
        <f aca="false">IF(AND(CE286=1,CJ286=1,BT286&lt;&gt;""),BT286,IF(AND(CE286&lt;&gt;0,CE286/RIGHT($CE$1,1)&gt;=0.5,CJ286=CE286),MAX(BV286:CC286),IF(AND(CF286&lt;&gt;0,CF286/RIGHT($CF$1,1)&gt;=0.5,CJ286=CF286),MAX(BV286:CC286),IF(AND(CG286&lt;&gt;0,CG286/RIGHT($CG$1,2)&gt;=0.5,CJ286=CG286),MAX(BV286:CC286),IF(AND(CH286&lt;&gt;0,CH286/RIGHT($CH$1,2)&gt;=0.5,CJ286=CH286),MAX(BV286:CC286),IF(AND(CI286&lt;&gt;0,CI286/RIGHT($CI$1,2)&gt;=0.5,CJ286=CI286),MAX(BV286:CC286),IF(AND(CE286=0,CF286=0,CG286=0,CH286=0),0,IF(CJ286/RIGHT($CJ$1,2)&lt;0.5,ROUND(BU286/RIGHT($CJ$1,2),0),MAX(BV286:CC286)))))))))</f>
        <v>0</v>
      </c>
      <c r="CO286" s="20" t="n">
        <f aca="false">CN286*3</f>
        <v>0</v>
      </c>
      <c r="CP286" s="15" t="n">
        <v>0</v>
      </c>
      <c r="CQ286" s="16" t="n">
        <f aca="false">IF((CO286-CP286)&lt;0,0,(CO286-CP286))</f>
        <v>0</v>
      </c>
      <c r="CR286" s="7"/>
    </row>
    <row r="287" customFormat="false" ht="12.75" hidden="false" customHeight="true" outlineLevel="0" collapsed="false">
      <c r="A287" s="7" t="s">
        <v>384</v>
      </c>
      <c r="B287" s="7" t="s">
        <v>385</v>
      </c>
      <c r="C287" s="8" t="n">
        <v>303002003</v>
      </c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 t="n">
        <v>2</v>
      </c>
      <c r="AE287" s="9"/>
      <c r="AF287" s="9"/>
      <c r="AG287" s="9"/>
      <c r="AH287" s="9"/>
      <c r="AI287" s="9" t="n">
        <v>2</v>
      </c>
      <c r="AJ287" s="9"/>
      <c r="AK287" s="9"/>
      <c r="AL287" s="9"/>
      <c r="AM287" s="9"/>
      <c r="AN287" s="9" t="n">
        <v>2</v>
      </c>
      <c r="AO287" s="9"/>
      <c r="AP287" s="9" t="n">
        <v>10</v>
      </c>
      <c r="AQ287" s="9"/>
      <c r="AR287" s="9"/>
      <c r="AS287" s="9"/>
      <c r="AT287" s="9" t="n">
        <v>9</v>
      </c>
      <c r="AU287" s="9"/>
      <c r="AV287" s="9" t="n">
        <v>1</v>
      </c>
      <c r="AW287" s="9" t="n">
        <v>2</v>
      </c>
      <c r="AX287" s="9"/>
      <c r="AY287" s="9"/>
      <c r="AZ287" s="9"/>
      <c r="BA287" s="9" t="n">
        <v>2</v>
      </c>
      <c r="BB287" s="9"/>
      <c r="BC287" s="9" t="n">
        <v>1</v>
      </c>
      <c r="BD287" s="9"/>
      <c r="BE287" s="9"/>
      <c r="BF287" s="9"/>
      <c r="BG287" s="9"/>
      <c r="BH287" s="9"/>
      <c r="BI287" s="9"/>
      <c r="BJ287" s="9"/>
      <c r="BK287" s="9"/>
      <c r="BL287" s="9"/>
      <c r="BM287" s="9"/>
      <c r="BN287" s="9" t="n">
        <v>2</v>
      </c>
      <c r="BO287" s="9" t="n">
        <v>3</v>
      </c>
      <c r="BP287" s="9"/>
      <c r="BQ287" s="9"/>
      <c r="BR287" s="9"/>
      <c r="BS287" s="9"/>
      <c r="BT287" s="9"/>
      <c r="BU287" s="10" t="n">
        <v>36</v>
      </c>
      <c r="BV287" s="11" t="n">
        <f aca="false">IF(ISERROR(ROUND(MEDIAN(BQ287:BT287),0)),0,ROUND(MEDIAN(BQ287:BT287),0))</f>
        <v>0</v>
      </c>
      <c r="BW287" s="11" t="n">
        <f aca="false">IF(ISERROR(ROUND(MEDIAN(BM287:BT287),0)),0,ROUND(MEDIAN(BM287:BT287),0))</f>
        <v>3</v>
      </c>
      <c r="BX287" s="11" t="n">
        <f aca="false">IF(ISERROR(ROUND(MEDIAN(BI287:BT287),0)),0,ROUND(MEDIAN(BI287:BT287),0))</f>
        <v>3</v>
      </c>
      <c r="BY287" s="11" t="n">
        <f aca="false">IF(ISERROR(ROUND(MEDIAN(BE287:BT287),0)),0,ROUND(MEDIAN(BE287:BT287),0))</f>
        <v>3</v>
      </c>
      <c r="BZ287" s="11" t="n">
        <f aca="false">IF(ISERROR(ROUND(MEDIAN(AU287:BT287),0)),0,ROUND(MEDIAN(AU287:BT287),0))</f>
        <v>2</v>
      </c>
      <c r="CA287" s="12" t="n">
        <f aca="false">IF(ISERROR(ROUND(MEDIAN(U287:BT287),0)),0,ROUND(MEDIAN(U287:BT287),0))</f>
        <v>2</v>
      </c>
      <c r="CB287" s="12" t="n">
        <f aca="false">IF(ISERROR(ROUND(MEDIAN(BT287),0)),0,ROUND(MEDIAN(BT287),0))</f>
        <v>0</v>
      </c>
      <c r="CC287" s="12" t="n">
        <f aca="false">IF(ISERROR(ROUND(MEDIAN(D287:BT287),0)),0,ROUND(MEDIAN(D287:BT287),0))</f>
        <v>2</v>
      </c>
      <c r="CD287" s="12" t="n">
        <f aca="false">MAX(D287:BT287)</f>
        <v>10</v>
      </c>
      <c r="CE287" s="7" t="n">
        <f aca="false">COUNTA(BQ287:BT287)</f>
        <v>0</v>
      </c>
      <c r="CF287" s="7" t="n">
        <f aca="false">COUNTA(BM287:BT287)</f>
        <v>2</v>
      </c>
      <c r="CG287" s="7" t="n">
        <f aca="false">COUNTA(BI287:BT287)</f>
        <v>2</v>
      </c>
      <c r="CH287" s="7" t="n">
        <f aca="false">COUNTA(BE287:BT287)</f>
        <v>2</v>
      </c>
      <c r="CI287" s="7" t="n">
        <f aca="false">COUNTA(AU287:BT287)</f>
        <v>6</v>
      </c>
      <c r="CJ287" s="7" t="n">
        <f aca="false">COUNTA(U287:BT287)</f>
        <v>11</v>
      </c>
      <c r="CK287" s="7" t="n">
        <f aca="false">COUNTA(BT287)</f>
        <v>0</v>
      </c>
      <c r="CL287" s="7" t="n">
        <f aca="false">COUNTA(D287:BT287)</f>
        <v>11</v>
      </c>
      <c r="CM287" s="17" t="str">
        <f aca="false">IF(AND(CE287=1,CJ287=1,BT287&lt;&gt;""),"5.ENTRANTES",IF(AND(CE287&lt;&gt;0,CE287/RIGHT($CE$1,1)&gt;=0.5,CJ287=CE287),"4.RECENTES",IF(AND(CF287&lt;&gt;0,CF287/RIGHT($CF$1,1)&gt;=0.5,CJ287=CF287),"4.RECENTES",IF(AND(CG287&lt;&gt;0,CG287/RIGHT($CG$1,2)&gt;=0.5,CJ287=CG287),"4.RECENTES",IF(AND(CH287&lt;&gt;0,CH287/RIGHT($CH$1,2)&gt;=0.5,CJ287=CH287),"4.RECENTES",IF(AND(CI287&lt;&gt;0,CI287/RIGHT($CI$1,2)&gt;=0.5,CJ287=CI287),"4.RECENTES",IF(AND(CE287=0,CF287=0,CG287=0,CH287=0),"3.INATIVOS",IF(CJ287/RIGHT($CJ$1,2)&lt;0.5,"2.INTERMITENTES","1.ORDINÁRIOS"))))))))</f>
        <v>2.INTERMITENTES</v>
      </c>
      <c r="CN287" s="18" t="n">
        <f aca="false">IF(AND(CE287=1,CJ287=1,BT287&lt;&gt;""),BT287,IF(AND(CE287&lt;&gt;0,CE287/RIGHT($CE$1,1)&gt;=0.5,CJ287=CE287),MAX(BV287:CC287),IF(AND(CF287&lt;&gt;0,CF287/RIGHT($CF$1,1)&gt;=0.5,CJ287=CF287),MAX(BV287:CC287),IF(AND(CG287&lt;&gt;0,CG287/RIGHT($CG$1,2)&gt;=0.5,CJ287=CG287),MAX(BV287:CC287),IF(AND(CH287&lt;&gt;0,CH287/RIGHT($CH$1,2)&gt;=0.5,CJ287=CH287),MAX(BV287:CC287),IF(AND(CI287&lt;&gt;0,CI287/RIGHT($CI$1,2)&gt;=0.5,CJ287=CI287),MAX(BV287:CC287),IF(AND(CE287=0,CF287=0,CG287=0,CH287=0),0,IF(CJ287/RIGHT($CJ$1,2)&lt;0.5,ROUND(BU287/RIGHT($CJ$1,2),0),MAX(BV287:CC287)))))))))</f>
        <v>1</v>
      </c>
      <c r="CO287" s="18" t="n">
        <f aca="false">CD287</f>
        <v>10</v>
      </c>
      <c r="CP287" s="15" t="n">
        <v>31</v>
      </c>
      <c r="CQ287" s="16" t="n">
        <f aca="false">IF((CO287-CP287)&lt;0,0,(CO287-CP287))</f>
        <v>0</v>
      </c>
      <c r="CR287" s="7"/>
    </row>
    <row r="288" customFormat="false" ht="12.75" hidden="false" customHeight="true" outlineLevel="0" collapsed="false">
      <c r="A288" s="7" t="s">
        <v>384</v>
      </c>
      <c r="B288" s="7" t="s">
        <v>386</v>
      </c>
      <c r="C288" s="8" t="n">
        <v>2000122</v>
      </c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  <c r="AZ288" s="9"/>
      <c r="BA288" s="9"/>
      <c r="BB288" s="9"/>
      <c r="BC288" s="9"/>
      <c r="BD288" s="9"/>
      <c r="BE288" s="9"/>
      <c r="BF288" s="9"/>
      <c r="BG288" s="9"/>
      <c r="BH288" s="9"/>
      <c r="BI288" s="9"/>
      <c r="BJ288" s="9"/>
      <c r="BK288" s="9" t="n">
        <v>5</v>
      </c>
      <c r="BL288" s="9" t="n">
        <v>20</v>
      </c>
      <c r="BM288" s="9" t="n">
        <v>4</v>
      </c>
      <c r="BN288" s="9" t="n">
        <v>7</v>
      </c>
      <c r="BO288" s="9" t="n">
        <v>12</v>
      </c>
      <c r="BP288" s="9" t="n">
        <v>19</v>
      </c>
      <c r="BQ288" s="9" t="n">
        <v>11</v>
      </c>
      <c r="BR288" s="9" t="n">
        <v>7</v>
      </c>
      <c r="BS288" s="9" t="n">
        <v>7</v>
      </c>
      <c r="BT288" s="9" t="n">
        <v>11</v>
      </c>
      <c r="BU288" s="10" t="n">
        <v>103</v>
      </c>
      <c r="BV288" s="11" t="n">
        <f aca="false">IF(ISERROR(ROUND(MEDIAN(BQ288:BT288),0)),0,ROUND(MEDIAN(BQ288:BT288),0))</f>
        <v>9</v>
      </c>
      <c r="BW288" s="11" t="n">
        <f aca="false">IF(ISERROR(ROUND(MEDIAN(BM288:BT288),0)),0,ROUND(MEDIAN(BM288:BT288),0))</f>
        <v>9</v>
      </c>
      <c r="BX288" s="11" t="n">
        <f aca="false">IF(ISERROR(ROUND(MEDIAN(BI288:BT288),0)),0,ROUND(MEDIAN(BI288:BT288),0))</f>
        <v>9</v>
      </c>
      <c r="BY288" s="11" t="n">
        <f aca="false">IF(ISERROR(ROUND(MEDIAN(BE288:BT288),0)),0,ROUND(MEDIAN(BE288:BT288),0))</f>
        <v>9</v>
      </c>
      <c r="BZ288" s="11" t="n">
        <f aca="false">IF(ISERROR(ROUND(MEDIAN(AU288:BT288),0)),0,ROUND(MEDIAN(AU288:BT288),0))</f>
        <v>9</v>
      </c>
      <c r="CA288" s="12" t="n">
        <f aca="false">IF(ISERROR(ROUND(MEDIAN(U288:BT288),0)),0,ROUND(MEDIAN(U288:BT288),0))</f>
        <v>9</v>
      </c>
      <c r="CB288" s="12" t="n">
        <f aca="false">IF(ISERROR(ROUND(MEDIAN(BT288),0)),0,ROUND(MEDIAN(BT288),0))</f>
        <v>11</v>
      </c>
      <c r="CC288" s="12" t="n">
        <f aca="false">IF(ISERROR(ROUND(MEDIAN(D288:BT288),0)),0,ROUND(MEDIAN(D288:BT288),0))</f>
        <v>9</v>
      </c>
      <c r="CD288" s="12" t="n">
        <f aca="false">MAX(D288:BT288)</f>
        <v>20</v>
      </c>
      <c r="CE288" s="7" t="n">
        <f aca="false">COUNTA(BQ288:BT288)</f>
        <v>4</v>
      </c>
      <c r="CF288" s="7" t="n">
        <f aca="false">COUNTA(BM288:BT288)</f>
        <v>8</v>
      </c>
      <c r="CG288" s="7" t="n">
        <f aca="false">COUNTA(BI288:BT288)</f>
        <v>10</v>
      </c>
      <c r="CH288" s="7" t="n">
        <f aca="false">COUNTA(BE288:BT288)</f>
        <v>10</v>
      </c>
      <c r="CI288" s="7" t="n">
        <f aca="false">COUNTA(AU288:BT288)</f>
        <v>10</v>
      </c>
      <c r="CJ288" s="7" t="n">
        <f aca="false">COUNTA(U288:BT288)</f>
        <v>10</v>
      </c>
      <c r="CK288" s="7" t="n">
        <f aca="false">COUNTA(BT288)</f>
        <v>1</v>
      </c>
      <c r="CL288" s="7" t="n">
        <f aca="false">COUNTA(D288:BT288)</f>
        <v>10</v>
      </c>
      <c r="CM288" s="21" t="str">
        <f aca="false">IF(AND(CE288=1,CJ288=1,BT288&lt;&gt;""),"5.ENTRANTES",IF(AND(CE288&lt;&gt;0,CE288/RIGHT($CE$1,1)&gt;=0.5,CJ288=CE288),"4.RECENTES",IF(AND(CF288&lt;&gt;0,CF288/RIGHT($CF$1,1)&gt;=0.5,CJ288=CF288),"4.RECENTES",IF(AND(CG288&lt;&gt;0,CG288/RIGHT($CG$1,2)&gt;=0.5,CJ288=CG288),"4.RECENTES",IF(AND(CH288&lt;&gt;0,CH288/RIGHT($CH$1,2)&gt;=0.5,CJ288=CH288),"4.RECENTES",IF(AND(CI288&lt;&gt;0,CI288/RIGHT($CI$1,2)&gt;=0.5,CJ288=CI288),"4.RECENTES",IF(AND(CE288=0,CF288=0,CG288=0,CH288=0),"3.INATIVOS",IF(CJ288/RIGHT($CJ$1,2)&lt;0.5,"2.INTERMITENTES","1.ORDINÁRIOS"))))))))</f>
        <v>4.RECENTES</v>
      </c>
      <c r="CN288" s="22" t="n">
        <f aca="false">IF(AND(CE288=1,CJ288=1,BT288&lt;&gt;""),BT288,IF(AND(CE288&lt;&gt;0,CE288/RIGHT($CE$1,1)&gt;=0.5,CJ288=CE288),MAX(BV288:CC288),IF(AND(CF288&lt;&gt;0,CF288/RIGHT($CF$1,1)&gt;=0.5,CJ288=CF288),MAX(BV288:CC288),IF(AND(CG288&lt;&gt;0,CG288/RIGHT($CG$1,2)&gt;=0.5,CJ288=CG288),MAX(BV288:CC288),IF(AND(CH288&lt;&gt;0,CH288/RIGHT($CH$1,2)&gt;=0.5,CJ288=CH288),MAX(BV288:CC288),IF(AND(CI288&lt;&gt;0,CI288/RIGHT($CI$1,2)&gt;=0.5,CJ288=CI288),MAX(BV288:CC288),IF(AND(CE288=0,CF288=0,CG288=0,CH288=0),0,IF(CJ288/RIGHT($CJ$1,2)&lt;0.5,ROUND(BU288/RIGHT($CJ$1,2),0),MAX(BV288:CC288)))))))))</f>
        <v>11</v>
      </c>
      <c r="CO288" s="22" t="n">
        <f aca="false">CN288*3</f>
        <v>33</v>
      </c>
      <c r="CP288" s="15" t="n">
        <v>41</v>
      </c>
      <c r="CQ288" s="16" t="n">
        <f aca="false">IF((CO288-CP288)&lt;0,0,(CO288-CP288))</f>
        <v>0</v>
      </c>
      <c r="CR288" s="7"/>
    </row>
    <row r="289" customFormat="false" ht="12.75" hidden="false" customHeight="true" outlineLevel="0" collapsed="false">
      <c r="A289" s="7" t="s">
        <v>384</v>
      </c>
      <c r="B289" s="7" t="s">
        <v>387</v>
      </c>
      <c r="C289" s="8" t="n">
        <v>302008002</v>
      </c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 t="n">
        <v>2</v>
      </c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  <c r="AZ289" s="9"/>
      <c r="BA289" s="9"/>
      <c r="BB289" s="9"/>
      <c r="BC289" s="9"/>
      <c r="BD289" s="9"/>
      <c r="BE289" s="9"/>
      <c r="BF289" s="9"/>
      <c r="BG289" s="9"/>
      <c r="BH289" s="9"/>
      <c r="BI289" s="9"/>
      <c r="BJ289" s="9"/>
      <c r="BK289" s="9"/>
      <c r="BL289" s="9"/>
      <c r="BM289" s="9"/>
      <c r="BN289" s="9"/>
      <c r="BO289" s="9"/>
      <c r="BP289" s="9"/>
      <c r="BQ289" s="9"/>
      <c r="BR289" s="9"/>
      <c r="BS289" s="9"/>
      <c r="BT289" s="9"/>
      <c r="BU289" s="10" t="n">
        <v>2</v>
      </c>
      <c r="BV289" s="11" t="n">
        <f aca="false">IF(ISERROR(ROUND(MEDIAN(BQ289:BT289),0)),0,ROUND(MEDIAN(BQ289:BT289),0))</f>
        <v>0</v>
      </c>
      <c r="BW289" s="11" t="n">
        <f aca="false">IF(ISERROR(ROUND(MEDIAN(BM289:BT289),0)),0,ROUND(MEDIAN(BM289:BT289),0))</f>
        <v>0</v>
      </c>
      <c r="BX289" s="11" t="n">
        <f aca="false">IF(ISERROR(ROUND(MEDIAN(BI289:BT289),0)),0,ROUND(MEDIAN(BI289:BT289),0))</f>
        <v>0</v>
      </c>
      <c r="BY289" s="11" t="n">
        <f aca="false">IF(ISERROR(ROUND(MEDIAN(BE289:BT289),0)),0,ROUND(MEDIAN(BE289:BT289),0))</f>
        <v>0</v>
      </c>
      <c r="BZ289" s="11" t="n">
        <f aca="false">IF(ISERROR(ROUND(MEDIAN(AU289:BT289),0)),0,ROUND(MEDIAN(AU289:BT289),0))</f>
        <v>0</v>
      </c>
      <c r="CA289" s="12" t="n">
        <f aca="false">IF(ISERROR(ROUND(MEDIAN(U289:BT289),0)),0,ROUND(MEDIAN(U289:BT289),0))</f>
        <v>2</v>
      </c>
      <c r="CB289" s="12" t="n">
        <f aca="false">IF(ISERROR(ROUND(MEDIAN(BT289),0)),0,ROUND(MEDIAN(BT289),0))</f>
        <v>0</v>
      </c>
      <c r="CC289" s="12" t="n">
        <f aca="false">IF(ISERROR(ROUND(MEDIAN(D289:BT289),0)),0,ROUND(MEDIAN(D289:BT289),0))</f>
        <v>2</v>
      </c>
      <c r="CD289" s="12" t="n">
        <f aca="false">MAX(D289:BT289)</f>
        <v>2</v>
      </c>
      <c r="CE289" s="7" t="n">
        <f aca="false">COUNTA(BQ289:BT289)</f>
        <v>0</v>
      </c>
      <c r="CF289" s="7" t="n">
        <f aca="false">COUNTA(BM289:BT289)</f>
        <v>0</v>
      </c>
      <c r="CG289" s="7" t="n">
        <f aca="false">COUNTA(BI289:BT289)</f>
        <v>0</v>
      </c>
      <c r="CH289" s="7" t="n">
        <f aca="false">COUNTA(BE289:BT289)</f>
        <v>0</v>
      </c>
      <c r="CI289" s="7" t="n">
        <f aca="false">COUNTA(AU289:BT289)</f>
        <v>0</v>
      </c>
      <c r="CJ289" s="7" t="n">
        <f aca="false">COUNTA(U289:BT289)</f>
        <v>1</v>
      </c>
      <c r="CK289" s="7" t="n">
        <f aca="false">COUNTA(BT289)</f>
        <v>0</v>
      </c>
      <c r="CL289" s="7" t="n">
        <f aca="false">COUNTA(D289:BT289)</f>
        <v>1</v>
      </c>
      <c r="CM289" s="19" t="str">
        <f aca="false">IF(AND(CE289=1,CJ289=1,BT289&lt;&gt;""),"5.ENTRANTES",IF(AND(CE289&lt;&gt;0,CE289/RIGHT($CE$1,1)&gt;=0.5,CJ289=CE289),"4.RECENTES",IF(AND(CF289&lt;&gt;0,CF289/RIGHT($CF$1,1)&gt;=0.5,CJ289=CF289),"4.RECENTES",IF(AND(CG289&lt;&gt;0,CG289/RIGHT($CG$1,2)&gt;=0.5,CJ289=CG289),"4.RECENTES",IF(AND(CH289&lt;&gt;0,CH289/RIGHT($CH$1,2)&gt;=0.5,CJ289=CH289),"4.RECENTES",IF(AND(CI289&lt;&gt;0,CI289/RIGHT($CI$1,2)&gt;=0.5,CJ289=CI289),"4.RECENTES",IF(AND(CE289=0,CF289=0,CG289=0,CH289=0),"3.INATIVOS",IF(CJ289/RIGHT($CJ$1,2)&lt;0.5,"2.INTERMITENTES","1.ORDINÁRIOS"))))))))</f>
        <v>3.INATIVOS</v>
      </c>
      <c r="CN289" s="20" t="n">
        <f aca="false">IF(AND(CE289=1,CJ289=1,BT289&lt;&gt;""),BT289,IF(AND(CE289&lt;&gt;0,CE289/RIGHT($CE$1,1)&gt;=0.5,CJ289=CE289),MAX(BV289:CC289),IF(AND(CF289&lt;&gt;0,CF289/RIGHT($CF$1,1)&gt;=0.5,CJ289=CF289),MAX(BV289:CC289),IF(AND(CG289&lt;&gt;0,CG289/RIGHT($CG$1,2)&gt;=0.5,CJ289=CG289),MAX(BV289:CC289),IF(AND(CH289&lt;&gt;0,CH289/RIGHT($CH$1,2)&gt;=0.5,CJ289=CH289),MAX(BV289:CC289),IF(AND(CI289&lt;&gt;0,CI289/RIGHT($CI$1,2)&gt;=0.5,CJ289=CI289),MAX(BV289:CC289),IF(AND(CE289=0,CF289=0,CG289=0,CH289=0),0,IF(CJ289/RIGHT($CJ$1,2)&lt;0.5,ROUND(BU289/RIGHT($CJ$1,2),0),MAX(BV289:CC289)))))))))</f>
        <v>0</v>
      </c>
      <c r="CO289" s="20" t="n">
        <f aca="false">CN289*3</f>
        <v>0</v>
      </c>
      <c r="CP289" s="15" t="n">
        <v>24</v>
      </c>
      <c r="CQ289" s="16" t="n">
        <f aca="false">IF((CO289-CP289)&lt;0,0,(CO289-CP289))</f>
        <v>0</v>
      </c>
      <c r="CR289" s="7"/>
    </row>
    <row r="290" customFormat="false" ht="12.75" hidden="false" customHeight="true" outlineLevel="0" collapsed="false">
      <c r="A290" s="7" t="s">
        <v>388</v>
      </c>
      <c r="B290" s="7" t="s">
        <v>389</v>
      </c>
      <c r="C290" s="8" t="n">
        <v>303002001</v>
      </c>
      <c r="D290" s="9"/>
      <c r="E290" s="9" t="n">
        <v>3</v>
      </c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 t="n">
        <v>2</v>
      </c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 t="n">
        <v>5</v>
      </c>
      <c r="AW290" s="9"/>
      <c r="AX290" s="9"/>
      <c r="AY290" s="9"/>
      <c r="AZ290" s="9"/>
      <c r="BA290" s="9"/>
      <c r="BB290" s="9"/>
      <c r="BC290" s="9"/>
      <c r="BD290" s="9"/>
      <c r="BE290" s="9"/>
      <c r="BF290" s="9"/>
      <c r="BG290" s="9"/>
      <c r="BH290" s="9"/>
      <c r="BI290" s="9"/>
      <c r="BJ290" s="9"/>
      <c r="BK290" s="9" t="n">
        <v>3</v>
      </c>
      <c r="BL290" s="9"/>
      <c r="BM290" s="9" t="n">
        <v>6</v>
      </c>
      <c r="BN290" s="9"/>
      <c r="BO290" s="9"/>
      <c r="BP290" s="9"/>
      <c r="BQ290" s="9"/>
      <c r="BR290" s="9"/>
      <c r="BS290" s="9"/>
      <c r="BT290" s="9"/>
      <c r="BU290" s="10" t="n">
        <v>19</v>
      </c>
      <c r="BV290" s="11" t="n">
        <f aca="false">IF(ISERROR(ROUND(MEDIAN(BQ290:BT290),0)),0,ROUND(MEDIAN(BQ290:BT290),0))</f>
        <v>0</v>
      </c>
      <c r="BW290" s="11" t="n">
        <f aca="false">IF(ISERROR(ROUND(MEDIAN(BM290:BT290),0)),0,ROUND(MEDIAN(BM290:BT290),0))</f>
        <v>6</v>
      </c>
      <c r="BX290" s="11" t="n">
        <f aca="false">IF(ISERROR(ROUND(MEDIAN(BI290:BT290),0)),0,ROUND(MEDIAN(BI290:BT290),0))</f>
        <v>5</v>
      </c>
      <c r="BY290" s="11" t="n">
        <f aca="false">IF(ISERROR(ROUND(MEDIAN(BE290:BT290),0)),0,ROUND(MEDIAN(BE290:BT290),0))</f>
        <v>5</v>
      </c>
      <c r="BZ290" s="11" t="n">
        <f aca="false">IF(ISERROR(ROUND(MEDIAN(AU290:BT290),0)),0,ROUND(MEDIAN(AU290:BT290),0))</f>
        <v>5</v>
      </c>
      <c r="CA290" s="12" t="n">
        <f aca="false">IF(ISERROR(ROUND(MEDIAN(U290:BT290),0)),0,ROUND(MEDIAN(U290:BT290),0))</f>
        <v>4</v>
      </c>
      <c r="CB290" s="12" t="n">
        <f aca="false">IF(ISERROR(ROUND(MEDIAN(BT290),0)),0,ROUND(MEDIAN(BT290),0))</f>
        <v>0</v>
      </c>
      <c r="CC290" s="12" t="n">
        <f aca="false">IF(ISERROR(ROUND(MEDIAN(D290:BT290),0)),0,ROUND(MEDIAN(D290:BT290),0))</f>
        <v>3</v>
      </c>
      <c r="CD290" s="12" t="n">
        <f aca="false">MAX(D290:BT290)</f>
        <v>6</v>
      </c>
      <c r="CE290" s="7" t="n">
        <f aca="false">COUNTA(BQ290:BT290)</f>
        <v>0</v>
      </c>
      <c r="CF290" s="7" t="n">
        <f aca="false">COUNTA(BM290:BT290)</f>
        <v>1</v>
      </c>
      <c r="CG290" s="7" t="n">
        <f aca="false">COUNTA(BI290:BT290)</f>
        <v>2</v>
      </c>
      <c r="CH290" s="7" t="n">
        <f aca="false">COUNTA(BE290:BT290)</f>
        <v>2</v>
      </c>
      <c r="CI290" s="7" t="n">
        <f aca="false">COUNTA(AU290:BT290)</f>
        <v>3</v>
      </c>
      <c r="CJ290" s="7" t="n">
        <f aca="false">COUNTA(U290:BT290)</f>
        <v>4</v>
      </c>
      <c r="CK290" s="7" t="n">
        <f aca="false">COUNTA(BT290)</f>
        <v>0</v>
      </c>
      <c r="CL290" s="7" t="n">
        <f aca="false">COUNTA(D290:BT290)</f>
        <v>5</v>
      </c>
      <c r="CM290" s="17" t="str">
        <f aca="false">IF(AND(CE290=1,CJ290=1,BT290&lt;&gt;""),"5.ENTRANTES",IF(AND(CE290&lt;&gt;0,CE290/RIGHT($CE$1,1)&gt;=0.5,CJ290=CE290),"4.RECENTES",IF(AND(CF290&lt;&gt;0,CF290/RIGHT($CF$1,1)&gt;=0.5,CJ290=CF290),"4.RECENTES",IF(AND(CG290&lt;&gt;0,CG290/RIGHT($CG$1,2)&gt;=0.5,CJ290=CG290),"4.RECENTES",IF(AND(CH290&lt;&gt;0,CH290/RIGHT($CH$1,2)&gt;=0.5,CJ290=CH290),"4.RECENTES",IF(AND(CI290&lt;&gt;0,CI290/RIGHT($CI$1,2)&gt;=0.5,CJ290=CI290),"4.RECENTES",IF(AND(CE290=0,CF290=0,CG290=0,CH290=0),"3.INATIVOS",IF(CJ290/RIGHT($CJ$1,2)&lt;0.5,"2.INTERMITENTES","1.ORDINÁRIOS"))))))))</f>
        <v>2.INTERMITENTES</v>
      </c>
      <c r="CN290" s="18" t="n">
        <f aca="false">IF(AND(CE290=1,CJ290=1,BT290&lt;&gt;""),BT290,IF(AND(CE290&lt;&gt;0,CE290/RIGHT($CE$1,1)&gt;=0.5,CJ290=CE290),MAX(BV290:CC290),IF(AND(CF290&lt;&gt;0,CF290/RIGHT($CF$1,1)&gt;=0.5,CJ290=CF290),MAX(BV290:CC290),IF(AND(CG290&lt;&gt;0,CG290/RIGHT($CG$1,2)&gt;=0.5,CJ290=CG290),MAX(BV290:CC290),IF(AND(CH290&lt;&gt;0,CH290/RIGHT($CH$1,2)&gt;=0.5,CJ290=CH290),MAX(BV290:CC290),IF(AND(CI290&lt;&gt;0,CI290/RIGHT($CI$1,2)&gt;=0.5,CJ290=CI290),MAX(BV290:CC290),IF(AND(CE290=0,CF290=0,CG290=0,CH290=0),0,IF(CJ290/RIGHT($CJ$1,2)&lt;0.5,ROUND(BU290/RIGHT($CJ$1,2),0),MAX(BV290:CC290)))))))))</f>
        <v>0</v>
      </c>
      <c r="CO290" s="18" t="n">
        <f aca="false">CD290</f>
        <v>6</v>
      </c>
      <c r="CP290" s="15" t="n">
        <v>35</v>
      </c>
      <c r="CQ290" s="16" t="n">
        <f aca="false">IF((CO290-CP290)&lt;0,0,(CO290-CP290))</f>
        <v>0</v>
      </c>
      <c r="CR290" s="7"/>
    </row>
    <row r="291" customFormat="false" ht="12.75" hidden="false" customHeight="true" outlineLevel="0" collapsed="false">
      <c r="A291" s="7" t="s">
        <v>388</v>
      </c>
      <c r="B291" s="7" t="s">
        <v>390</v>
      </c>
      <c r="C291" s="8" t="n">
        <v>305002002</v>
      </c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 t="n">
        <v>1</v>
      </c>
      <c r="AI291" s="9"/>
      <c r="AJ291" s="9" t="n">
        <v>1</v>
      </c>
      <c r="AK291" s="9"/>
      <c r="AL291" s="9"/>
      <c r="AM291" s="9"/>
      <c r="AN291" s="9"/>
      <c r="AO291" s="9"/>
      <c r="AP291" s="9"/>
      <c r="AQ291" s="9"/>
      <c r="AR291" s="9"/>
      <c r="AS291" s="9" t="n">
        <v>2</v>
      </c>
      <c r="AT291" s="9"/>
      <c r="AU291" s="9"/>
      <c r="AV291" s="9"/>
      <c r="AW291" s="9"/>
      <c r="AX291" s="9"/>
      <c r="AY291" s="9" t="n">
        <v>10</v>
      </c>
      <c r="AZ291" s="9"/>
      <c r="BA291" s="9"/>
      <c r="BB291" s="9"/>
      <c r="BC291" s="9" t="n">
        <v>1</v>
      </c>
      <c r="BD291" s="9"/>
      <c r="BE291" s="9" t="n">
        <v>10</v>
      </c>
      <c r="BF291" s="9"/>
      <c r="BG291" s="9"/>
      <c r="BH291" s="9"/>
      <c r="BI291" s="9"/>
      <c r="BJ291" s="9"/>
      <c r="BK291" s="9"/>
      <c r="BL291" s="9"/>
      <c r="BM291" s="9"/>
      <c r="BN291" s="9"/>
      <c r="BO291" s="9"/>
      <c r="BP291" s="9"/>
      <c r="BQ291" s="9" t="n">
        <v>4</v>
      </c>
      <c r="BR291" s="9"/>
      <c r="BS291" s="9"/>
      <c r="BT291" s="9"/>
      <c r="BU291" s="10" t="n">
        <v>29</v>
      </c>
      <c r="BV291" s="11" t="n">
        <f aca="false">IF(ISERROR(ROUND(MEDIAN(BQ291:BT291),0)),0,ROUND(MEDIAN(BQ291:BT291),0))</f>
        <v>4</v>
      </c>
      <c r="BW291" s="11" t="n">
        <f aca="false">IF(ISERROR(ROUND(MEDIAN(BM291:BT291),0)),0,ROUND(MEDIAN(BM291:BT291),0))</f>
        <v>4</v>
      </c>
      <c r="BX291" s="11" t="n">
        <f aca="false">IF(ISERROR(ROUND(MEDIAN(BI291:BT291),0)),0,ROUND(MEDIAN(BI291:BT291),0))</f>
        <v>4</v>
      </c>
      <c r="BY291" s="11" t="n">
        <f aca="false">IF(ISERROR(ROUND(MEDIAN(BE291:BT291),0)),0,ROUND(MEDIAN(BE291:BT291),0))</f>
        <v>7</v>
      </c>
      <c r="BZ291" s="11" t="n">
        <f aca="false">IF(ISERROR(ROUND(MEDIAN(AU291:BT291),0)),0,ROUND(MEDIAN(AU291:BT291),0))</f>
        <v>7</v>
      </c>
      <c r="CA291" s="12" t="n">
        <f aca="false">IF(ISERROR(ROUND(MEDIAN(U291:BT291),0)),0,ROUND(MEDIAN(U291:BT291),0))</f>
        <v>2</v>
      </c>
      <c r="CB291" s="12" t="n">
        <f aca="false">IF(ISERROR(ROUND(MEDIAN(BT291),0)),0,ROUND(MEDIAN(BT291),0))</f>
        <v>0</v>
      </c>
      <c r="CC291" s="12" t="n">
        <f aca="false">IF(ISERROR(ROUND(MEDIAN(D291:BT291),0)),0,ROUND(MEDIAN(D291:BT291),0))</f>
        <v>2</v>
      </c>
      <c r="CD291" s="12" t="n">
        <f aca="false">MAX(D291:BT291)</f>
        <v>10</v>
      </c>
      <c r="CE291" s="7" t="n">
        <f aca="false">COUNTA(BQ291:BT291)</f>
        <v>1</v>
      </c>
      <c r="CF291" s="7" t="n">
        <f aca="false">COUNTA(BM291:BT291)</f>
        <v>1</v>
      </c>
      <c r="CG291" s="7" t="n">
        <f aca="false">COUNTA(BI291:BT291)</f>
        <v>1</v>
      </c>
      <c r="CH291" s="7" t="n">
        <f aca="false">COUNTA(BE291:BT291)</f>
        <v>2</v>
      </c>
      <c r="CI291" s="7" t="n">
        <f aca="false">COUNTA(AU291:BT291)</f>
        <v>4</v>
      </c>
      <c r="CJ291" s="7" t="n">
        <f aca="false">COUNTA(U291:BT291)</f>
        <v>7</v>
      </c>
      <c r="CK291" s="7" t="n">
        <f aca="false">COUNTA(BT291)</f>
        <v>0</v>
      </c>
      <c r="CL291" s="7" t="n">
        <f aca="false">COUNTA(D291:BT291)</f>
        <v>7</v>
      </c>
      <c r="CM291" s="17" t="str">
        <f aca="false">IF(AND(CE291=1,CJ291=1,BT291&lt;&gt;""),"5.ENTRANTES",IF(AND(CE291&lt;&gt;0,CE291/RIGHT($CE$1,1)&gt;=0.5,CJ291=CE291),"4.RECENTES",IF(AND(CF291&lt;&gt;0,CF291/RIGHT($CF$1,1)&gt;=0.5,CJ291=CF291),"4.RECENTES",IF(AND(CG291&lt;&gt;0,CG291/RIGHT($CG$1,2)&gt;=0.5,CJ291=CG291),"4.RECENTES",IF(AND(CH291&lt;&gt;0,CH291/RIGHT($CH$1,2)&gt;=0.5,CJ291=CH291),"4.RECENTES",IF(AND(CI291&lt;&gt;0,CI291/RIGHT($CI$1,2)&gt;=0.5,CJ291=CI291),"4.RECENTES",IF(AND(CE291=0,CF291=0,CG291=0,CH291=0),"3.INATIVOS",IF(CJ291/RIGHT($CJ$1,2)&lt;0.5,"2.INTERMITENTES","1.ORDINÁRIOS"))))))))</f>
        <v>2.INTERMITENTES</v>
      </c>
      <c r="CN291" s="18" t="n">
        <f aca="false">IF(AND(CE291=1,CJ291=1,BT291&lt;&gt;""),BT291,IF(AND(CE291&lt;&gt;0,CE291/RIGHT($CE$1,1)&gt;=0.5,CJ291=CE291),MAX(BV291:CC291),IF(AND(CF291&lt;&gt;0,CF291/RIGHT($CF$1,1)&gt;=0.5,CJ291=CF291),MAX(BV291:CC291),IF(AND(CG291&lt;&gt;0,CG291/RIGHT($CG$1,2)&gt;=0.5,CJ291=CG291),MAX(BV291:CC291),IF(AND(CH291&lt;&gt;0,CH291/RIGHT($CH$1,2)&gt;=0.5,CJ291=CH291),MAX(BV291:CC291),IF(AND(CI291&lt;&gt;0,CI291/RIGHT($CI$1,2)&gt;=0.5,CJ291=CI291),MAX(BV291:CC291),IF(AND(CE291=0,CF291=0,CG291=0,CH291=0),0,IF(CJ291/RIGHT($CJ$1,2)&lt;0.5,ROUND(BU291/RIGHT($CJ$1,2),0),MAX(BV291:CC291)))))))))</f>
        <v>1</v>
      </c>
      <c r="CO291" s="18" t="n">
        <f aca="false">CD291</f>
        <v>10</v>
      </c>
      <c r="CP291" s="15" t="n">
        <v>20</v>
      </c>
      <c r="CQ291" s="16" t="n">
        <f aca="false">IF((CO291-CP291)&lt;0,0,(CO291-CP291))</f>
        <v>0</v>
      </c>
      <c r="CR291" s="7"/>
    </row>
    <row r="292" customFormat="false" ht="12.75" hidden="false" customHeight="true" outlineLevel="0" collapsed="false">
      <c r="A292" s="7" t="s">
        <v>388</v>
      </c>
      <c r="B292" s="7" t="s">
        <v>391</v>
      </c>
      <c r="C292" s="8" t="n">
        <v>1001008</v>
      </c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 t="n">
        <v>3</v>
      </c>
      <c r="O292" s="9"/>
      <c r="P292" s="9"/>
      <c r="Q292" s="9"/>
      <c r="R292" s="9" t="n">
        <v>1</v>
      </c>
      <c r="S292" s="9"/>
      <c r="T292" s="9"/>
      <c r="U292" s="9"/>
      <c r="V292" s="9"/>
      <c r="W292" s="9"/>
      <c r="X292" s="9"/>
      <c r="Y292" s="9" t="n">
        <v>3</v>
      </c>
      <c r="Z292" s="9"/>
      <c r="AA292" s="9" t="n">
        <v>3</v>
      </c>
      <c r="AB292" s="9"/>
      <c r="AC292" s="9"/>
      <c r="AD292" s="9"/>
      <c r="AE292" s="9"/>
      <c r="AF292" s="9"/>
      <c r="AG292" s="9"/>
      <c r="AH292" s="9"/>
      <c r="AI292" s="9" t="n">
        <v>6</v>
      </c>
      <c r="AJ292" s="9"/>
      <c r="AK292" s="9"/>
      <c r="AL292" s="9" t="n">
        <v>2</v>
      </c>
      <c r="AM292" s="9"/>
      <c r="AN292" s="9"/>
      <c r="AO292" s="9"/>
      <c r="AP292" s="9"/>
      <c r="AQ292" s="9"/>
      <c r="AR292" s="9"/>
      <c r="AS292" s="9"/>
      <c r="AT292" s="9"/>
      <c r="AU292" s="9" t="n">
        <v>2</v>
      </c>
      <c r="AV292" s="9"/>
      <c r="AW292" s="9"/>
      <c r="AX292" s="9"/>
      <c r="AY292" s="9"/>
      <c r="AZ292" s="9"/>
      <c r="BA292" s="9"/>
      <c r="BB292" s="9"/>
      <c r="BC292" s="9"/>
      <c r="BD292" s="9"/>
      <c r="BE292" s="9"/>
      <c r="BF292" s="9"/>
      <c r="BG292" s="9"/>
      <c r="BH292" s="9"/>
      <c r="BI292" s="9"/>
      <c r="BJ292" s="9"/>
      <c r="BK292" s="9"/>
      <c r="BL292" s="9"/>
      <c r="BM292" s="9"/>
      <c r="BN292" s="9"/>
      <c r="BO292" s="9" t="n">
        <v>1</v>
      </c>
      <c r="BP292" s="9"/>
      <c r="BQ292" s="9"/>
      <c r="BR292" s="9"/>
      <c r="BS292" s="9"/>
      <c r="BT292" s="9"/>
      <c r="BU292" s="10" t="n">
        <v>21</v>
      </c>
      <c r="BV292" s="11" t="n">
        <f aca="false">IF(ISERROR(ROUND(MEDIAN(BQ292:BT292),0)),0,ROUND(MEDIAN(BQ292:BT292),0))</f>
        <v>0</v>
      </c>
      <c r="BW292" s="11" t="n">
        <f aca="false">IF(ISERROR(ROUND(MEDIAN(BM292:BT292),0)),0,ROUND(MEDIAN(BM292:BT292),0))</f>
        <v>1</v>
      </c>
      <c r="BX292" s="11" t="n">
        <f aca="false">IF(ISERROR(ROUND(MEDIAN(BI292:BT292),0)),0,ROUND(MEDIAN(BI292:BT292),0))</f>
        <v>1</v>
      </c>
      <c r="BY292" s="11" t="n">
        <f aca="false">IF(ISERROR(ROUND(MEDIAN(BE292:BT292),0)),0,ROUND(MEDIAN(BE292:BT292),0))</f>
        <v>1</v>
      </c>
      <c r="BZ292" s="11" t="n">
        <f aca="false">IF(ISERROR(ROUND(MEDIAN(AU292:BT292),0)),0,ROUND(MEDIAN(AU292:BT292),0))</f>
        <v>2</v>
      </c>
      <c r="CA292" s="12" t="n">
        <f aca="false">IF(ISERROR(ROUND(MEDIAN(U292:BT292),0)),0,ROUND(MEDIAN(U292:BT292),0))</f>
        <v>3</v>
      </c>
      <c r="CB292" s="12" t="n">
        <f aca="false">IF(ISERROR(ROUND(MEDIAN(BT292),0)),0,ROUND(MEDIAN(BT292),0))</f>
        <v>0</v>
      </c>
      <c r="CC292" s="12" t="n">
        <f aca="false">IF(ISERROR(ROUND(MEDIAN(D292:BT292),0)),0,ROUND(MEDIAN(D292:BT292),0))</f>
        <v>3</v>
      </c>
      <c r="CD292" s="12" t="n">
        <f aca="false">MAX(D292:BT292)</f>
        <v>6</v>
      </c>
      <c r="CE292" s="7" t="n">
        <f aca="false">COUNTA(BQ292:BT292)</f>
        <v>0</v>
      </c>
      <c r="CF292" s="7" t="n">
        <f aca="false">COUNTA(BM292:BT292)</f>
        <v>1</v>
      </c>
      <c r="CG292" s="7" t="n">
        <f aca="false">COUNTA(BI292:BT292)</f>
        <v>1</v>
      </c>
      <c r="CH292" s="7" t="n">
        <f aca="false">COUNTA(BE292:BT292)</f>
        <v>1</v>
      </c>
      <c r="CI292" s="7" t="n">
        <f aca="false">COUNTA(AU292:BT292)</f>
        <v>2</v>
      </c>
      <c r="CJ292" s="7" t="n">
        <f aca="false">COUNTA(U292:BT292)</f>
        <v>6</v>
      </c>
      <c r="CK292" s="7" t="n">
        <f aca="false">COUNTA(BT292)</f>
        <v>0</v>
      </c>
      <c r="CL292" s="7" t="n">
        <f aca="false">COUNTA(D292:BT292)</f>
        <v>8</v>
      </c>
      <c r="CM292" s="17" t="str">
        <f aca="false">IF(AND(CE292=1,CJ292=1,BT292&lt;&gt;""),"5.ENTRANTES",IF(AND(CE292&lt;&gt;0,CE292/RIGHT($CE$1,1)&gt;=0.5,CJ292=CE292),"4.RECENTES",IF(AND(CF292&lt;&gt;0,CF292/RIGHT($CF$1,1)&gt;=0.5,CJ292=CF292),"4.RECENTES",IF(AND(CG292&lt;&gt;0,CG292/RIGHT($CG$1,2)&gt;=0.5,CJ292=CG292),"4.RECENTES",IF(AND(CH292&lt;&gt;0,CH292/RIGHT($CH$1,2)&gt;=0.5,CJ292=CH292),"4.RECENTES",IF(AND(CI292&lt;&gt;0,CI292/RIGHT($CI$1,2)&gt;=0.5,CJ292=CI292),"4.RECENTES",IF(AND(CE292=0,CF292=0,CG292=0,CH292=0),"3.INATIVOS",IF(CJ292/RIGHT($CJ$1,2)&lt;0.5,"2.INTERMITENTES","1.ORDINÁRIOS"))))))))</f>
        <v>2.INTERMITENTES</v>
      </c>
      <c r="CN292" s="18" t="n">
        <f aca="false">IF(AND(CE292=1,CJ292=1,BT292&lt;&gt;""),BT292,IF(AND(CE292&lt;&gt;0,CE292/RIGHT($CE$1,1)&gt;=0.5,CJ292=CE292),MAX(BV292:CC292),IF(AND(CF292&lt;&gt;0,CF292/RIGHT($CF$1,1)&gt;=0.5,CJ292=CF292),MAX(BV292:CC292),IF(AND(CG292&lt;&gt;0,CG292/RIGHT($CG$1,2)&gt;=0.5,CJ292=CG292),MAX(BV292:CC292),IF(AND(CH292&lt;&gt;0,CH292/RIGHT($CH$1,2)&gt;=0.5,CJ292=CH292),MAX(BV292:CC292),IF(AND(CI292&lt;&gt;0,CI292/RIGHT($CI$1,2)&gt;=0.5,CJ292=CI292),MAX(BV292:CC292),IF(AND(CE292=0,CF292=0,CG292=0,CH292=0),0,IF(CJ292/RIGHT($CJ$1,2)&lt;0.5,ROUND(BU292/RIGHT($CJ$1,2),0),MAX(BV292:CC292)))))))))</f>
        <v>0</v>
      </c>
      <c r="CO292" s="18" t="n">
        <f aca="false">CD292</f>
        <v>6</v>
      </c>
      <c r="CP292" s="15" t="n">
        <v>20</v>
      </c>
      <c r="CQ292" s="16" t="n">
        <f aca="false">IF((CO292-CP292)&lt;0,0,(CO292-CP292))</f>
        <v>0</v>
      </c>
      <c r="CR292" s="7"/>
    </row>
    <row r="293" customFormat="false" ht="12.75" hidden="false" customHeight="true" outlineLevel="0" collapsed="false">
      <c r="A293" s="7" t="s">
        <v>388</v>
      </c>
      <c r="B293" s="7" t="s">
        <v>392</v>
      </c>
      <c r="C293" s="8" t="n">
        <v>5000093</v>
      </c>
      <c r="D293" s="9"/>
      <c r="E293" s="9"/>
      <c r="F293" s="9"/>
      <c r="G293" s="9"/>
      <c r="H293" s="9"/>
      <c r="I293" s="9"/>
      <c r="J293" s="9"/>
      <c r="K293" s="9"/>
      <c r="L293" s="9" t="n">
        <v>3</v>
      </c>
      <c r="M293" s="9"/>
      <c r="N293" s="9"/>
      <c r="O293" s="9"/>
      <c r="P293" s="9"/>
      <c r="Q293" s="9"/>
      <c r="R293" s="9"/>
      <c r="S293" s="9"/>
      <c r="T293" s="9" t="n">
        <v>1</v>
      </c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 t="n">
        <v>2</v>
      </c>
      <c r="AO293" s="9" t="n">
        <v>1</v>
      </c>
      <c r="AP293" s="9"/>
      <c r="AQ293" s="9" t="n">
        <v>1</v>
      </c>
      <c r="AR293" s="9"/>
      <c r="AS293" s="9" t="n">
        <v>1</v>
      </c>
      <c r="AT293" s="9" t="n">
        <v>1</v>
      </c>
      <c r="AU293" s="9"/>
      <c r="AV293" s="9"/>
      <c r="AW293" s="9"/>
      <c r="AX293" s="9"/>
      <c r="AY293" s="9"/>
      <c r="AZ293" s="9"/>
      <c r="BA293" s="9"/>
      <c r="BB293" s="9"/>
      <c r="BC293" s="9"/>
      <c r="BD293" s="9"/>
      <c r="BE293" s="9" t="n">
        <v>1</v>
      </c>
      <c r="BF293" s="9"/>
      <c r="BG293" s="9" t="n">
        <v>1</v>
      </c>
      <c r="BH293" s="9" t="n">
        <v>1</v>
      </c>
      <c r="BI293" s="9"/>
      <c r="BJ293" s="9"/>
      <c r="BK293" s="9"/>
      <c r="BL293" s="9"/>
      <c r="BM293" s="9"/>
      <c r="BN293" s="9" t="n">
        <v>1</v>
      </c>
      <c r="BO293" s="9"/>
      <c r="BP293" s="9"/>
      <c r="BQ293" s="9"/>
      <c r="BR293" s="9"/>
      <c r="BS293" s="9"/>
      <c r="BT293" s="9"/>
      <c r="BU293" s="10" t="n">
        <v>14</v>
      </c>
      <c r="BV293" s="11" t="n">
        <f aca="false">IF(ISERROR(ROUND(MEDIAN(BQ293:BT293),0)),0,ROUND(MEDIAN(BQ293:BT293),0))</f>
        <v>0</v>
      </c>
      <c r="BW293" s="11" t="n">
        <f aca="false">IF(ISERROR(ROUND(MEDIAN(BM293:BT293),0)),0,ROUND(MEDIAN(BM293:BT293),0))</f>
        <v>1</v>
      </c>
      <c r="BX293" s="11" t="n">
        <f aca="false">IF(ISERROR(ROUND(MEDIAN(BI293:BT293),0)),0,ROUND(MEDIAN(BI293:BT293),0))</f>
        <v>1</v>
      </c>
      <c r="BY293" s="11" t="n">
        <f aca="false">IF(ISERROR(ROUND(MEDIAN(BE293:BT293),0)),0,ROUND(MEDIAN(BE293:BT293),0))</f>
        <v>1</v>
      </c>
      <c r="BZ293" s="11" t="n">
        <f aca="false">IF(ISERROR(ROUND(MEDIAN(AU293:BT293),0)),0,ROUND(MEDIAN(AU293:BT293),0))</f>
        <v>1</v>
      </c>
      <c r="CA293" s="12" t="n">
        <f aca="false">IF(ISERROR(ROUND(MEDIAN(U293:BT293),0)),0,ROUND(MEDIAN(U293:BT293),0))</f>
        <v>1</v>
      </c>
      <c r="CB293" s="12" t="n">
        <f aca="false">IF(ISERROR(ROUND(MEDIAN(BT293),0)),0,ROUND(MEDIAN(BT293),0))</f>
        <v>0</v>
      </c>
      <c r="CC293" s="12" t="n">
        <f aca="false">IF(ISERROR(ROUND(MEDIAN(D293:BT293),0)),0,ROUND(MEDIAN(D293:BT293),0))</f>
        <v>1</v>
      </c>
      <c r="CD293" s="12" t="n">
        <f aca="false">MAX(D293:BT293)</f>
        <v>3</v>
      </c>
      <c r="CE293" s="7" t="n">
        <f aca="false">COUNTA(BQ293:BT293)</f>
        <v>0</v>
      </c>
      <c r="CF293" s="7" t="n">
        <f aca="false">COUNTA(BM293:BT293)</f>
        <v>1</v>
      </c>
      <c r="CG293" s="7" t="n">
        <f aca="false">COUNTA(BI293:BT293)</f>
        <v>1</v>
      </c>
      <c r="CH293" s="7" t="n">
        <f aca="false">COUNTA(BE293:BT293)</f>
        <v>4</v>
      </c>
      <c r="CI293" s="7" t="n">
        <f aca="false">COUNTA(AU293:BT293)</f>
        <v>4</v>
      </c>
      <c r="CJ293" s="7" t="n">
        <f aca="false">COUNTA(U293:BT293)</f>
        <v>9</v>
      </c>
      <c r="CK293" s="7" t="n">
        <f aca="false">COUNTA(BT293)</f>
        <v>0</v>
      </c>
      <c r="CL293" s="7" t="n">
        <f aca="false">COUNTA(D293:BT293)</f>
        <v>11</v>
      </c>
      <c r="CM293" s="17" t="str">
        <f aca="false">IF(AND(CE293=1,CJ293=1,BT293&lt;&gt;""),"5.ENTRANTES",IF(AND(CE293&lt;&gt;0,CE293/RIGHT($CE$1,1)&gt;=0.5,CJ293=CE293),"4.RECENTES",IF(AND(CF293&lt;&gt;0,CF293/RIGHT($CF$1,1)&gt;=0.5,CJ293=CF293),"4.RECENTES",IF(AND(CG293&lt;&gt;0,CG293/RIGHT($CG$1,2)&gt;=0.5,CJ293=CG293),"4.RECENTES",IF(AND(CH293&lt;&gt;0,CH293/RIGHT($CH$1,2)&gt;=0.5,CJ293=CH293),"4.RECENTES",IF(AND(CI293&lt;&gt;0,CI293/RIGHT($CI$1,2)&gt;=0.5,CJ293=CI293),"4.RECENTES",IF(AND(CE293=0,CF293=0,CG293=0,CH293=0),"3.INATIVOS",IF(CJ293/RIGHT($CJ$1,2)&lt;0.5,"2.INTERMITENTES","1.ORDINÁRIOS"))))))))</f>
        <v>2.INTERMITENTES</v>
      </c>
      <c r="CN293" s="18" t="n">
        <f aca="false">IF(AND(CE293=1,CJ293=1,BT293&lt;&gt;""),BT293,IF(AND(CE293&lt;&gt;0,CE293/RIGHT($CE$1,1)&gt;=0.5,CJ293=CE293),MAX(BV293:CC293),IF(AND(CF293&lt;&gt;0,CF293/RIGHT($CF$1,1)&gt;=0.5,CJ293=CF293),MAX(BV293:CC293),IF(AND(CG293&lt;&gt;0,CG293/RIGHT($CG$1,2)&gt;=0.5,CJ293=CG293),MAX(BV293:CC293),IF(AND(CH293&lt;&gt;0,CH293/RIGHT($CH$1,2)&gt;=0.5,CJ293=CH293),MAX(BV293:CC293),IF(AND(CI293&lt;&gt;0,CI293/RIGHT($CI$1,2)&gt;=0.5,CJ293=CI293),MAX(BV293:CC293),IF(AND(CE293=0,CF293=0,CG293=0,CH293=0),0,IF(CJ293/RIGHT($CJ$1,2)&lt;0.5,ROUND(BU293/RIGHT($CJ$1,2),0),MAX(BV293:CC293)))))))))</f>
        <v>0</v>
      </c>
      <c r="CO293" s="18" t="n">
        <f aca="false">CD293</f>
        <v>3</v>
      </c>
      <c r="CP293" s="15" t="n">
        <v>20</v>
      </c>
      <c r="CQ293" s="16" t="n">
        <f aca="false">IF((CO293-CP293)&lt;0,0,(CO293-CP293))</f>
        <v>0</v>
      </c>
      <c r="CR293" s="7"/>
    </row>
    <row r="294" customFormat="false" ht="12.75" hidden="false" customHeight="true" outlineLevel="0" collapsed="false">
      <c r="A294" s="7" t="s">
        <v>388</v>
      </c>
      <c r="B294" s="7" t="s">
        <v>393</v>
      </c>
      <c r="C294" s="8" t="n">
        <v>2000109</v>
      </c>
      <c r="D294" s="9"/>
      <c r="E294" s="9"/>
      <c r="F294" s="9"/>
      <c r="G294" s="9"/>
      <c r="H294" s="9"/>
      <c r="I294" s="9"/>
      <c r="J294" s="9"/>
      <c r="K294" s="9"/>
      <c r="L294" s="9" t="n">
        <v>1</v>
      </c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  <c r="AY294" s="9"/>
      <c r="AZ294" s="9"/>
      <c r="BA294" s="9"/>
      <c r="BB294" s="9"/>
      <c r="BC294" s="9"/>
      <c r="BD294" s="9"/>
      <c r="BE294" s="9"/>
      <c r="BF294" s="9"/>
      <c r="BG294" s="9"/>
      <c r="BH294" s="9"/>
      <c r="BI294" s="9"/>
      <c r="BJ294" s="9"/>
      <c r="BK294" s="9"/>
      <c r="BL294" s="9"/>
      <c r="BM294" s="9"/>
      <c r="BN294" s="9"/>
      <c r="BO294" s="9"/>
      <c r="BP294" s="9"/>
      <c r="BQ294" s="9"/>
      <c r="BR294" s="9"/>
      <c r="BS294" s="9"/>
      <c r="BT294" s="9"/>
      <c r="BU294" s="10" t="n">
        <v>1</v>
      </c>
      <c r="BV294" s="11" t="n">
        <f aca="false">IF(ISERROR(ROUND(MEDIAN(BQ294:BT294),0)),0,ROUND(MEDIAN(BQ294:BT294),0))</f>
        <v>0</v>
      </c>
      <c r="BW294" s="11" t="n">
        <f aca="false">IF(ISERROR(ROUND(MEDIAN(BM294:BT294),0)),0,ROUND(MEDIAN(BM294:BT294),0))</f>
        <v>0</v>
      </c>
      <c r="BX294" s="11" t="n">
        <f aca="false">IF(ISERROR(ROUND(MEDIAN(BI294:BT294),0)),0,ROUND(MEDIAN(BI294:BT294),0))</f>
        <v>0</v>
      </c>
      <c r="BY294" s="11" t="n">
        <f aca="false">IF(ISERROR(ROUND(MEDIAN(BE294:BT294),0)),0,ROUND(MEDIAN(BE294:BT294),0))</f>
        <v>0</v>
      </c>
      <c r="BZ294" s="11" t="n">
        <f aca="false">IF(ISERROR(ROUND(MEDIAN(AU294:BT294),0)),0,ROUND(MEDIAN(AU294:BT294),0))</f>
        <v>0</v>
      </c>
      <c r="CA294" s="12" t="n">
        <f aca="false">IF(ISERROR(ROUND(MEDIAN(U294:BT294),0)),0,ROUND(MEDIAN(U294:BT294),0))</f>
        <v>0</v>
      </c>
      <c r="CB294" s="12" t="n">
        <f aca="false">IF(ISERROR(ROUND(MEDIAN(BT294),0)),0,ROUND(MEDIAN(BT294),0))</f>
        <v>0</v>
      </c>
      <c r="CC294" s="12" t="n">
        <f aca="false">IF(ISERROR(ROUND(MEDIAN(D294:BT294),0)),0,ROUND(MEDIAN(D294:BT294),0))</f>
        <v>1</v>
      </c>
      <c r="CD294" s="12" t="n">
        <f aca="false">MAX(D294:BT294)</f>
        <v>1</v>
      </c>
      <c r="CE294" s="7" t="n">
        <f aca="false">COUNTA(BQ294:BT294)</f>
        <v>0</v>
      </c>
      <c r="CF294" s="7" t="n">
        <f aca="false">COUNTA(BM294:BT294)</f>
        <v>0</v>
      </c>
      <c r="CG294" s="7" t="n">
        <f aca="false">COUNTA(BI294:BT294)</f>
        <v>0</v>
      </c>
      <c r="CH294" s="7" t="n">
        <f aca="false">COUNTA(BE294:BT294)</f>
        <v>0</v>
      </c>
      <c r="CI294" s="7" t="n">
        <f aca="false">COUNTA(AU294:BT294)</f>
        <v>0</v>
      </c>
      <c r="CJ294" s="7" t="n">
        <f aca="false">COUNTA(U294:BT294)</f>
        <v>0</v>
      </c>
      <c r="CK294" s="7" t="n">
        <f aca="false">COUNTA(BT294)</f>
        <v>0</v>
      </c>
      <c r="CL294" s="7" t="n">
        <f aca="false">COUNTA(D294:BT294)</f>
        <v>1</v>
      </c>
      <c r="CM294" s="19" t="str">
        <f aca="false">IF(AND(CE294=1,CJ294=1,BT294&lt;&gt;""),"5.ENTRANTES",IF(AND(CE294&lt;&gt;0,CE294/RIGHT($CE$1,1)&gt;=0.5,CJ294=CE294),"4.RECENTES",IF(AND(CF294&lt;&gt;0,CF294/RIGHT($CF$1,1)&gt;=0.5,CJ294=CF294),"4.RECENTES",IF(AND(CG294&lt;&gt;0,CG294/RIGHT($CG$1,2)&gt;=0.5,CJ294=CG294),"4.RECENTES",IF(AND(CH294&lt;&gt;0,CH294/RIGHT($CH$1,2)&gt;=0.5,CJ294=CH294),"4.RECENTES",IF(AND(CI294&lt;&gt;0,CI294/RIGHT($CI$1,2)&gt;=0.5,CJ294=CI294),"4.RECENTES",IF(AND(CE294=0,CF294=0,CG294=0,CH294=0),"3.INATIVOS",IF(CJ294/RIGHT($CJ$1,2)&lt;0.5,"2.INTERMITENTES","1.ORDINÁRIOS"))))))))</f>
        <v>3.INATIVOS</v>
      </c>
      <c r="CN294" s="20" t="n">
        <f aca="false">IF(AND(CE294=1,CJ294=1,BT294&lt;&gt;""),BT294,IF(AND(CE294&lt;&gt;0,CE294/RIGHT($CE$1,1)&gt;=0.5,CJ294=CE294),MAX(BV294:CC294),IF(AND(CF294&lt;&gt;0,CF294/RIGHT($CF$1,1)&gt;=0.5,CJ294=CF294),MAX(BV294:CC294),IF(AND(CG294&lt;&gt;0,CG294/RIGHT($CG$1,2)&gt;=0.5,CJ294=CG294),MAX(BV294:CC294),IF(AND(CH294&lt;&gt;0,CH294/RIGHT($CH$1,2)&gt;=0.5,CJ294=CH294),MAX(BV294:CC294),IF(AND(CI294&lt;&gt;0,CI294/RIGHT($CI$1,2)&gt;=0.5,CJ294=CI294),MAX(BV294:CC294),IF(AND(CE294=0,CF294=0,CG294=0,CH294=0),0,IF(CJ294/RIGHT($CJ$1,2)&lt;0.5,ROUND(BU294/RIGHT($CJ$1,2),0),MAX(BV294:CC294)))))))))</f>
        <v>0</v>
      </c>
      <c r="CO294" s="20" t="n">
        <f aca="false">CN294*3</f>
        <v>0</v>
      </c>
      <c r="CP294" s="15" t="n">
        <v>21</v>
      </c>
      <c r="CQ294" s="16" t="n">
        <f aca="false">IF((CO294-CP294)&lt;0,0,(CO294-CP294))</f>
        <v>0</v>
      </c>
      <c r="CR294" s="7"/>
    </row>
    <row r="295" customFormat="false" ht="12.75" hidden="false" customHeight="true" outlineLevel="0" collapsed="false">
      <c r="A295" s="7" t="s">
        <v>388</v>
      </c>
      <c r="B295" s="7" t="s">
        <v>394</v>
      </c>
      <c r="C295" s="8" t="n">
        <v>2000108</v>
      </c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 t="n">
        <v>1</v>
      </c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9"/>
      <c r="AZ295" s="9"/>
      <c r="BA295" s="9"/>
      <c r="BB295" s="9"/>
      <c r="BC295" s="9"/>
      <c r="BD295" s="9"/>
      <c r="BE295" s="9"/>
      <c r="BF295" s="9"/>
      <c r="BG295" s="9"/>
      <c r="BH295" s="9"/>
      <c r="BI295" s="9"/>
      <c r="BJ295" s="9"/>
      <c r="BK295" s="9"/>
      <c r="BL295" s="9"/>
      <c r="BM295" s="9"/>
      <c r="BN295" s="9"/>
      <c r="BO295" s="9"/>
      <c r="BP295" s="9"/>
      <c r="BQ295" s="9"/>
      <c r="BR295" s="9"/>
      <c r="BS295" s="9"/>
      <c r="BT295" s="9"/>
      <c r="BU295" s="10" t="n">
        <v>1</v>
      </c>
      <c r="BV295" s="11" t="n">
        <f aca="false">IF(ISERROR(ROUND(MEDIAN(BQ295:BT295),0)),0,ROUND(MEDIAN(BQ295:BT295),0))</f>
        <v>0</v>
      </c>
      <c r="BW295" s="11" t="n">
        <f aca="false">IF(ISERROR(ROUND(MEDIAN(BM295:BT295),0)),0,ROUND(MEDIAN(BM295:BT295),0))</f>
        <v>0</v>
      </c>
      <c r="BX295" s="11" t="n">
        <f aca="false">IF(ISERROR(ROUND(MEDIAN(BI295:BT295),0)),0,ROUND(MEDIAN(BI295:BT295),0))</f>
        <v>0</v>
      </c>
      <c r="BY295" s="11" t="n">
        <f aca="false">IF(ISERROR(ROUND(MEDIAN(BE295:BT295),0)),0,ROUND(MEDIAN(BE295:BT295),0))</f>
        <v>0</v>
      </c>
      <c r="BZ295" s="11" t="n">
        <f aca="false">IF(ISERROR(ROUND(MEDIAN(AU295:BT295),0)),0,ROUND(MEDIAN(AU295:BT295),0))</f>
        <v>0</v>
      </c>
      <c r="CA295" s="12" t="n">
        <f aca="false">IF(ISERROR(ROUND(MEDIAN(U295:BT295),0)),0,ROUND(MEDIAN(U295:BT295),0))</f>
        <v>1</v>
      </c>
      <c r="CB295" s="12" t="n">
        <f aca="false">IF(ISERROR(ROUND(MEDIAN(BT295),0)),0,ROUND(MEDIAN(BT295),0))</f>
        <v>0</v>
      </c>
      <c r="CC295" s="12" t="n">
        <f aca="false">IF(ISERROR(ROUND(MEDIAN(D295:BT295),0)),0,ROUND(MEDIAN(D295:BT295),0))</f>
        <v>1</v>
      </c>
      <c r="CD295" s="12" t="n">
        <f aca="false">MAX(D295:BT295)</f>
        <v>1</v>
      </c>
      <c r="CE295" s="7" t="n">
        <f aca="false">COUNTA(BQ295:BT295)</f>
        <v>0</v>
      </c>
      <c r="CF295" s="7" t="n">
        <f aca="false">COUNTA(BM295:BT295)</f>
        <v>0</v>
      </c>
      <c r="CG295" s="7" t="n">
        <f aca="false">COUNTA(BI295:BT295)</f>
        <v>0</v>
      </c>
      <c r="CH295" s="7" t="n">
        <f aca="false">COUNTA(BE295:BT295)</f>
        <v>0</v>
      </c>
      <c r="CI295" s="7" t="n">
        <f aca="false">COUNTA(AU295:BT295)</f>
        <v>0</v>
      </c>
      <c r="CJ295" s="7" t="n">
        <f aca="false">COUNTA(U295:BT295)</f>
        <v>1</v>
      </c>
      <c r="CK295" s="7" t="n">
        <f aca="false">COUNTA(BT295)</f>
        <v>0</v>
      </c>
      <c r="CL295" s="7" t="n">
        <f aca="false">COUNTA(D295:BT295)</f>
        <v>1</v>
      </c>
      <c r="CM295" s="19" t="str">
        <f aca="false">IF(AND(CE295=1,CJ295=1,BT295&lt;&gt;""),"5.ENTRANTES",IF(AND(CE295&lt;&gt;0,CE295/RIGHT($CE$1,1)&gt;=0.5,CJ295=CE295),"4.RECENTES",IF(AND(CF295&lt;&gt;0,CF295/RIGHT($CF$1,1)&gt;=0.5,CJ295=CF295),"4.RECENTES",IF(AND(CG295&lt;&gt;0,CG295/RIGHT($CG$1,2)&gt;=0.5,CJ295=CG295),"4.RECENTES",IF(AND(CH295&lt;&gt;0,CH295/RIGHT($CH$1,2)&gt;=0.5,CJ295=CH295),"4.RECENTES",IF(AND(CI295&lt;&gt;0,CI295/RIGHT($CI$1,2)&gt;=0.5,CJ295=CI295),"4.RECENTES",IF(AND(CE295=0,CF295=0,CG295=0,CH295=0),"3.INATIVOS",IF(CJ295/RIGHT($CJ$1,2)&lt;0.5,"2.INTERMITENTES","1.ORDINÁRIOS"))))))))</f>
        <v>3.INATIVOS</v>
      </c>
      <c r="CN295" s="20" t="n">
        <f aca="false">IF(AND(CE295=1,CJ295=1,BT295&lt;&gt;""),BT295,IF(AND(CE295&lt;&gt;0,CE295/RIGHT($CE$1,1)&gt;=0.5,CJ295=CE295),MAX(BV295:CC295),IF(AND(CF295&lt;&gt;0,CF295/RIGHT($CF$1,1)&gt;=0.5,CJ295=CF295),MAX(BV295:CC295),IF(AND(CG295&lt;&gt;0,CG295/RIGHT($CG$1,2)&gt;=0.5,CJ295=CG295),MAX(BV295:CC295),IF(AND(CH295&lt;&gt;0,CH295/RIGHT($CH$1,2)&gt;=0.5,CJ295=CH295),MAX(BV295:CC295),IF(AND(CI295&lt;&gt;0,CI295/RIGHT($CI$1,2)&gt;=0.5,CJ295=CI295),MAX(BV295:CC295),IF(AND(CE295=0,CF295=0,CG295=0,CH295=0),0,IF(CJ295/RIGHT($CJ$1,2)&lt;0.5,ROUND(BU295/RIGHT($CJ$1,2),0),MAX(BV295:CC295)))))))))</f>
        <v>0</v>
      </c>
      <c r="CO295" s="20" t="n">
        <f aca="false">CN295*3</f>
        <v>0</v>
      </c>
      <c r="CP295" s="15" t="n">
        <v>21</v>
      </c>
      <c r="CQ295" s="16" t="n">
        <f aca="false">IF((CO295-CP295)&lt;0,0,(CO295-CP295))</f>
        <v>0</v>
      </c>
      <c r="CR295" s="7"/>
    </row>
    <row r="296" customFormat="false" ht="12.75" hidden="false" customHeight="true" outlineLevel="0" collapsed="false">
      <c r="A296" s="7" t="s">
        <v>388</v>
      </c>
      <c r="B296" s="7" t="s">
        <v>395</v>
      </c>
      <c r="C296" s="8" t="n">
        <v>5000044</v>
      </c>
      <c r="D296" s="9"/>
      <c r="E296" s="9" t="n">
        <v>3</v>
      </c>
      <c r="F296" s="9" t="n">
        <v>2</v>
      </c>
      <c r="G296" s="9" t="n">
        <v>3</v>
      </c>
      <c r="H296" s="9"/>
      <c r="I296" s="9" t="n">
        <v>3</v>
      </c>
      <c r="J296" s="9"/>
      <c r="K296" s="9" t="n">
        <v>1</v>
      </c>
      <c r="L296" s="9" t="n">
        <v>9</v>
      </c>
      <c r="M296" s="9"/>
      <c r="N296" s="9" t="n">
        <v>2</v>
      </c>
      <c r="O296" s="9" t="n">
        <v>2</v>
      </c>
      <c r="P296" s="9" t="n">
        <v>1</v>
      </c>
      <c r="Q296" s="9" t="n">
        <v>1</v>
      </c>
      <c r="R296" s="9"/>
      <c r="S296" s="9" t="n">
        <v>5</v>
      </c>
      <c r="T296" s="9" t="n">
        <v>1</v>
      </c>
      <c r="U296" s="9" t="n">
        <v>1</v>
      </c>
      <c r="V296" s="9" t="n">
        <v>4</v>
      </c>
      <c r="W296" s="9" t="n">
        <v>2</v>
      </c>
      <c r="X296" s="9" t="n">
        <v>1</v>
      </c>
      <c r="Y296" s="9" t="n">
        <v>1</v>
      </c>
      <c r="Z296" s="9" t="n">
        <v>1</v>
      </c>
      <c r="AA296" s="9" t="n">
        <v>1</v>
      </c>
      <c r="AB296" s="9" t="n">
        <v>4</v>
      </c>
      <c r="AC296" s="9" t="n">
        <v>2</v>
      </c>
      <c r="AD296" s="9" t="n">
        <v>2</v>
      </c>
      <c r="AE296" s="9" t="n">
        <v>1</v>
      </c>
      <c r="AF296" s="9" t="n">
        <v>1</v>
      </c>
      <c r="AG296" s="9" t="n">
        <v>4</v>
      </c>
      <c r="AH296" s="9" t="n">
        <v>3</v>
      </c>
      <c r="AI296" s="9" t="n">
        <v>3</v>
      </c>
      <c r="AJ296" s="9"/>
      <c r="AK296" s="9"/>
      <c r="AL296" s="9" t="n">
        <v>2</v>
      </c>
      <c r="AM296" s="9"/>
      <c r="AN296" s="9" t="n">
        <v>1</v>
      </c>
      <c r="AO296" s="9" t="n">
        <v>2</v>
      </c>
      <c r="AP296" s="9"/>
      <c r="AQ296" s="9" t="n">
        <v>3</v>
      </c>
      <c r="AR296" s="9" t="n">
        <v>1</v>
      </c>
      <c r="AS296" s="9" t="n">
        <v>2</v>
      </c>
      <c r="AT296" s="9" t="n">
        <v>1</v>
      </c>
      <c r="AU296" s="9"/>
      <c r="AV296" s="9" t="n">
        <v>3</v>
      </c>
      <c r="AW296" s="9" t="n">
        <v>2</v>
      </c>
      <c r="AX296" s="9"/>
      <c r="AY296" s="9" t="n">
        <v>1</v>
      </c>
      <c r="AZ296" s="9" t="n">
        <v>2</v>
      </c>
      <c r="BA296" s="9"/>
      <c r="BB296" s="9"/>
      <c r="BC296" s="9"/>
      <c r="BD296" s="9" t="n">
        <v>2</v>
      </c>
      <c r="BE296" s="9" t="n">
        <v>2</v>
      </c>
      <c r="BF296" s="9" t="n">
        <v>1</v>
      </c>
      <c r="BG296" s="9"/>
      <c r="BH296" s="9" t="n">
        <v>1</v>
      </c>
      <c r="BI296" s="9" t="n">
        <v>1</v>
      </c>
      <c r="BJ296" s="9" t="n">
        <v>2</v>
      </c>
      <c r="BK296" s="9"/>
      <c r="BL296" s="9" t="n">
        <v>2</v>
      </c>
      <c r="BM296" s="9"/>
      <c r="BN296" s="9" t="n">
        <v>2</v>
      </c>
      <c r="BO296" s="9" t="n">
        <v>1</v>
      </c>
      <c r="BP296" s="9" t="n">
        <v>1</v>
      </c>
      <c r="BQ296" s="9" t="n">
        <v>2</v>
      </c>
      <c r="BR296" s="9" t="n">
        <v>1</v>
      </c>
      <c r="BS296" s="9" t="n">
        <v>1</v>
      </c>
      <c r="BT296" s="9" t="n">
        <v>2</v>
      </c>
      <c r="BU296" s="10" t="n">
        <v>105</v>
      </c>
      <c r="BV296" s="11" t="n">
        <f aca="false">IF(ISERROR(ROUND(MEDIAN(BQ296:BT296),0)),0,ROUND(MEDIAN(BQ296:BT296),0))</f>
        <v>2</v>
      </c>
      <c r="BW296" s="11" t="n">
        <f aca="false">IF(ISERROR(ROUND(MEDIAN(BM296:BT296),0)),0,ROUND(MEDIAN(BM296:BT296),0))</f>
        <v>1</v>
      </c>
      <c r="BX296" s="11" t="n">
        <f aca="false">IF(ISERROR(ROUND(MEDIAN(BI296:BT296),0)),0,ROUND(MEDIAN(BI296:BT296),0))</f>
        <v>2</v>
      </c>
      <c r="BY296" s="11" t="n">
        <f aca="false">IF(ISERROR(ROUND(MEDIAN(BE296:BT296),0)),0,ROUND(MEDIAN(BE296:BT296),0))</f>
        <v>1</v>
      </c>
      <c r="BZ296" s="11" t="n">
        <f aca="false">IF(ISERROR(ROUND(MEDIAN(AU296:BT296),0)),0,ROUND(MEDIAN(AU296:BT296),0))</f>
        <v>2</v>
      </c>
      <c r="CA296" s="12" t="n">
        <f aca="false">IF(ISERROR(ROUND(MEDIAN(U296:BT296),0)),0,ROUND(MEDIAN(U296:BT296),0))</f>
        <v>2</v>
      </c>
      <c r="CB296" s="12" t="n">
        <f aca="false">IF(ISERROR(ROUND(MEDIAN(BT296),0)),0,ROUND(MEDIAN(BT296),0))</f>
        <v>2</v>
      </c>
      <c r="CC296" s="12" t="n">
        <f aca="false">IF(ISERROR(ROUND(MEDIAN(D296:BT296),0)),0,ROUND(MEDIAN(D296:BT296),0))</f>
        <v>2</v>
      </c>
      <c r="CD296" s="12" t="n">
        <f aca="false">MAX(D296:BT296)</f>
        <v>9</v>
      </c>
      <c r="CE296" s="7" t="n">
        <f aca="false">COUNTA(BQ296:BT296)</f>
        <v>4</v>
      </c>
      <c r="CF296" s="7" t="n">
        <f aca="false">COUNTA(BM296:BT296)</f>
        <v>7</v>
      </c>
      <c r="CG296" s="7" t="n">
        <f aca="false">COUNTA(BI296:BT296)</f>
        <v>10</v>
      </c>
      <c r="CH296" s="7" t="n">
        <f aca="false">COUNTA(BE296:BT296)</f>
        <v>13</v>
      </c>
      <c r="CI296" s="7" t="n">
        <f aca="false">COUNTA(AU296:BT296)</f>
        <v>18</v>
      </c>
      <c r="CJ296" s="7" t="n">
        <f aca="false">COUNTA(U296:BT296)</f>
        <v>40</v>
      </c>
      <c r="CK296" s="7" t="n">
        <f aca="false">COUNTA(BT296)</f>
        <v>1</v>
      </c>
      <c r="CL296" s="7" t="n">
        <f aca="false">COUNTA(D296:BT296)</f>
        <v>52</v>
      </c>
      <c r="CM296" s="13" t="str">
        <f aca="false">IF(AND(CE296=1,CJ296=1,BT296&lt;&gt;""),"5.ENTRANTES",IF(AND(CE296&lt;&gt;0,CE296/RIGHT($CE$1,1)&gt;=0.5,CJ296=CE296),"4.RECENTES",IF(AND(CF296&lt;&gt;0,CF296/RIGHT($CF$1,1)&gt;=0.5,CJ296=CF296),"4.RECENTES",IF(AND(CG296&lt;&gt;0,CG296/RIGHT($CG$1,2)&gt;=0.5,CJ296=CG296),"4.RECENTES",IF(AND(CH296&lt;&gt;0,CH296/RIGHT($CH$1,2)&gt;=0.5,CJ296=CH296),"4.RECENTES",IF(AND(CI296&lt;&gt;0,CI296/RIGHT($CI$1,2)&gt;=0.5,CJ296=CI296),"4.RECENTES",IF(AND(CE296=0,CF296=0,CG296=0,CH296=0),"3.INATIVOS",IF(CJ296/RIGHT($CJ$1,2)&lt;0.5,"2.INTERMITENTES","1.ORDINÁRIOS"))))))))</f>
        <v>1.ORDINÁRIOS</v>
      </c>
      <c r="CN296" s="14" t="n">
        <f aca="false">IF(AND(CE296=1,CJ296=1,BT296&lt;&gt;""),BT296,IF(AND(CE296&lt;&gt;0,CE296/RIGHT($CE$1,1)&gt;=0.5,CJ296=CE296),MAX(BV296:CC296),IF(AND(CF296&lt;&gt;0,CF296/RIGHT($CF$1,1)&gt;=0.5,CJ296=CF296),MAX(BV296:CC296),IF(AND(CG296&lt;&gt;0,CG296/RIGHT($CG$1,2)&gt;=0.5,CJ296=CG296),MAX(BV296:CC296),IF(AND(CH296&lt;&gt;0,CH296/RIGHT($CH$1,2)&gt;=0.5,CJ296=CH296),MAX(BV296:CC296),IF(AND(CI296&lt;&gt;0,CI296/RIGHT($CI$1,2)&gt;=0.5,CJ296=CI296),MAX(BV296:CC296),IF(AND(CE296=0,CF296=0,CG296=0,CH296=0),0,IF(CJ296/RIGHT($CJ$1,2)&lt;0.5,ROUND(BU296/RIGHT($CJ$1,2),0),MAX(BV296:CC296)))))))))</f>
        <v>2</v>
      </c>
      <c r="CO296" s="14" t="n">
        <f aca="false">CN296*3</f>
        <v>6</v>
      </c>
      <c r="CP296" s="15" t="n">
        <v>29</v>
      </c>
      <c r="CQ296" s="16" t="n">
        <f aca="false">IF((CO296-CP296)&lt;0,0,(CO296-CP296))</f>
        <v>0</v>
      </c>
      <c r="CR296" s="7"/>
    </row>
    <row r="297" customFormat="false" ht="12.75" hidden="false" customHeight="true" outlineLevel="0" collapsed="false">
      <c r="A297" s="7" t="s">
        <v>388</v>
      </c>
      <c r="B297" s="7" t="s">
        <v>396</v>
      </c>
      <c r="C297" s="8" t="n">
        <v>5000045</v>
      </c>
      <c r="D297" s="9"/>
      <c r="E297" s="9" t="n">
        <v>2</v>
      </c>
      <c r="F297" s="9" t="n">
        <v>10</v>
      </c>
      <c r="G297" s="9" t="n">
        <v>8</v>
      </c>
      <c r="H297" s="9" t="n">
        <v>5</v>
      </c>
      <c r="I297" s="9" t="n">
        <v>9</v>
      </c>
      <c r="J297" s="9" t="n">
        <v>7</v>
      </c>
      <c r="K297" s="9" t="n">
        <v>5</v>
      </c>
      <c r="L297" s="9"/>
      <c r="M297" s="9" t="n">
        <v>5</v>
      </c>
      <c r="N297" s="9" t="n">
        <v>1</v>
      </c>
      <c r="O297" s="9" t="n">
        <v>2</v>
      </c>
      <c r="P297" s="9" t="n">
        <v>3</v>
      </c>
      <c r="Q297" s="9" t="n">
        <v>1</v>
      </c>
      <c r="R297" s="9" t="n">
        <v>4</v>
      </c>
      <c r="S297" s="9" t="n">
        <v>1</v>
      </c>
      <c r="T297" s="9" t="n">
        <v>2</v>
      </c>
      <c r="U297" s="9" t="n">
        <v>3</v>
      </c>
      <c r="V297" s="9" t="n">
        <v>6</v>
      </c>
      <c r="W297" s="9" t="n">
        <v>4</v>
      </c>
      <c r="X297" s="9" t="n">
        <v>7</v>
      </c>
      <c r="Y297" s="9" t="n">
        <v>1</v>
      </c>
      <c r="Z297" s="9" t="n">
        <v>2</v>
      </c>
      <c r="AA297" s="9" t="n">
        <v>2</v>
      </c>
      <c r="AB297" s="9" t="n">
        <v>5</v>
      </c>
      <c r="AC297" s="9" t="n">
        <v>9</v>
      </c>
      <c r="AD297" s="9" t="n">
        <v>3</v>
      </c>
      <c r="AE297" s="9"/>
      <c r="AF297" s="9" t="n">
        <v>5</v>
      </c>
      <c r="AG297" s="9" t="n">
        <v>5</v>
      </c>
      <c r="AH297" s="9" t="n">
        <v>5</v>
      </c>
      <c r="AI297" s="9" t="n">
        <v>2</v>
      </c>
      <c r="AJ297" s="9" t="n">
        <v>2</v>
      </c>
      <c r="AK297" s="9"/>
      <c r="AL297" s="9" t="n">
        <v>1</v>
      </c>
      <c r="AM297" s="9" t="n">
        <v>5</v>
      </c>
      <c r="AN297" s="9" t="n">
        <v>8</v>
      </c>
      <c r="AO297" s="9" t="n">
        <v>7</v>
      </c>
      <c r="AP297" s="9" t="n">
        <v>2</v>
      </c>
      <c r="AQ297" s="9" t="n">
        <v>11</v>
      </c>
      <c r="AR297" s="9" t="n">
        <v>5</v>
      </c>
      <c r="AS297" s="9" t="n">
        <v>13</v>
      </c>
      <c r="AT297" s="9" t="n">
        <v>3</v>
      </c>
      <c r="AU297" s="9" t="n">
        <v>3</v>
      </c>
      <c r="AV297" s="9" t="n">
        <v>8</v>
      </c>
      <c r="AW297" s="9" t="n">
        <v>15</v>
      </c>
      <c r="AX297" s="9" t="n">
        <v>2</v>
      </c>
      <c r="AY297" s="9" t="n">
        <v>6</v>
      </c>
      <c r="AZ297" s="9" t="n">
        <v>3</v>
      </c>
      <c r="BA297" s="9" t="n">
        <v>2</v>
      </c>
      <c r="BB297" s="9" t="n">
        <v>2</v>
      </c>
      <c r="BC297" s="9" t="n">
        <v>3</v>
      </c>
      <c r="BD297" s="9" t="n">
        <v>6</v>
      </c>
      <c r="BE297" s="9" t="n">
        <v>8</v>
      </c>
      <c r="BF297" s="9" t="n">
        <v>7</v>
      </c>
      <c r="BG297" s="9" t="n">
        <v>3</v>
      </c>
      <c r="BH297" s="9" t="n">
        <v>4</v>
      </c>
      <c r="BI297" s="9"/>
      <c r="BJ297" s="9" t="n">
        <v>1</v>
      </c>
      <c r="BK297" s="9" t="n">
        <v>2</v>
      </c>
      <c r="BL297" s="9" t="n">
        <v>3</v>
      </c>
      <c r="BM297" s="9" t="n">
        <v>5</v>
      </c>
      <c r="BN297" s="9" t="n">
        <v>3</v>
      </c>
      <c r="BO297" s="9" t="n">
        <v>3</v>
      </c>
      <c r="BP297" s="9" t="n">
        <v>4</v>
      </c>
      <c r="BQ297" s="9"/>
      <c r="BR297" s="9" t="n">
        <v>6</v>
      </c>
      <c r="BS297" s="9" t="n">
        <v>4</v>
      </c>
      <c r="BT297" s="9" t="n">
        <v>7</v>
      </c>
      <c r="BU297" s="10" t="n">
        <v>291</v>
      </c>
      <c r="BV297" s="11" t="n">
        <f aca="false">IF(ISERROR(ROUND(MEDIAN(BQ297:BT297),0)),0,ROUND(MEDIAN(BQ297:BT297),0))</f>
        <v>6</v>
      </c>
      <c r="BW297" s="11" t="n">
        <f aca="false">IF(ISERROR(ROUND(MEDIAN(BM297:BT297),0)),0,ROUND(MEDIAN(BM297:BT297),0))</f>
        <v>4</v>
      </c>
      <c r="BX297" s="11" t="n">
        <f aca="false">IF(ISERROR(ROUND(MEDIAN(BI297:BT297),0)),0,ROUND(MEDIAN(BI297:BT297),0))</f>
        <v>4</v>
      </c>
      <c r="BY297" s="11" t="n">
        <f aca="false">IF(ISERROR(ROUND(MEDIAN(BE297:BT297),0)),0,ROUND(MEDIAN(BE297:BT297),0))</f>
        <v>4</v>
      </c>
      <c r="BZ297" s="11" t="n">
        <f aca="false">IF(ISERROR(ROUND(MEDIAN(AU297:BT297),0)),0,ROUND(MEDIAN(AU297:BT297),0))</f>
        <v>4</v>
      </c>
      <c r="CA297" s="12" t="n">
        <f aca="false">IF(ISERROR(ROUND(MEDIAN(U297:BT297),0)),0,ROUND(MEDIAN(U297:BT297),0))</f>
        <v>4</v>
      </c>
      <c r="CB297" s="12" t="n">
        <f aca="false">IF(ISERROR(ROUND(MEDIAN(BT297),0)),0,ROUND(MEDIAN(BT297),0))</f>
        <v>7</v>
      </c>
      <c r="CC297" s="12" t="n">
        <f aca="false">IF(ISERROR(ROUND(MEDIAN(D297:BT297),0)),0,ROUND(MEDIAN(D297:BT297),0))</f>
        <v>4</v>
      </c>
      <c r="CD297" s="12" t="n">
        <f aca="false">MAX(D297:BT297)</f>
        <v>15</v>
      </c>
      <c r="CE297" s="7" t="n">
        <f aca="false">COUNTA(BQ297:BT297)</f>
        <v>3</v>
      </c>
      <c r="CF297" s="7" t="n">
        <f aca="false">COUNTA(BM297:BT297)</f>
        <v>7</v>
      </c>
      <c r="CG297" s="7" t="n">
        <f aca="false">COUNTA(BI297:BT297)</f>
        <v>10</v>
      </c>
      <c r="CH297" s="7" t="n">
        <f aca="false">COUNTA(BE297:BT297)</f>
        <v>14</v>
      </c>
      <c r="CI297" s="7" t="n">
        <f aca="false">COUNTA(AU297:BT297)</f>
        <v>24</v>
      </c>
      <c r="CJ297" s="7" t="n">
        <f aca="false">COUNTA(U297:BT297)</f>
        <v>48</v>
      </c>
      <c r="CK297" s="7" t="n">
        <f aca="false">COUNTA(BT297)</f>
        <v>1</v>
      </c>
      <c r="CL297" s="7" t="n">
        <f aca="false">COUNTA(D297:BT297)</f>
        <v>63</v>
      </c>
      <c r="CM297" s="13" t="str">
        <f aca="false">IF(AND(CE297=1,CJ297=1,BT297&lt;&gt;""),"5.ENTRANTES",IF(AND(CE297&lt;&gt;0,CE297/RIGHT($CE$1,1)&gt;=0.5,CJ297=CE297),"4.RECENTES",IF(AND(CF297&lt;&gt;0,CF297/RIGHT($CF$1,1)&gt;=0.5,CJ297=CF297),"4.RECENTES",IF(AND(CG297&lt;&gt;0,CG297/RIGHT($CG$1,2)&gt;=0.5,CJ297=CG297),"4.RECENTES",IF(AND(CH297&lt;&gt;0,CH297/RIGHT($CH$1,2)&gt;=0.5,CJ297=CH297),"4.RECENTES",IF(AND(CI297&lt;&gt;0,CI297/RIGHT($CI$1,2)&gt;=0.5,CJ297=CI297),"4.RECENTES",IF(AND(CE297=0,CF297=0,CG297=0,CH297=0),"3.INATIVOS",IF(CJ297/RIGHT($CJ$1,2)&lt;0.5,"2.INTERMITENTES","1.ORDINÁRIOS"))))))))</f>
        <v>1.ORDINÁRIOS</v>
      </c>
      <c r="CN297" s="14" t="n">
        <f aca="false">IF(AND(CE297=1,CJ297=1,BT297&lt;&gt;""),BT297,IF(AND(CE297&lt;&gt;0,CE297/RIGHT($CE$1,1)&gt;=0.5,CJ297=CE297),MAX(BV297:CC297),IF(AND(CF297&lt;&gt;0,CF297/RIGHT($CF$1,1)&gt;=0.5,CJ297=CF297),MAX(BV297:CC297),IF(AND(CG297&lt;&gt;0,CG297/RIGHT($CG$1,2)&gt;=0.5,CJ297=CG297),MAX(BV297:CC297),IF(AND(CH297&lt;&gt;0,CH297/RIGHT($CH$1,2)&gt;=0.5,CJ297=CH297),MAX(BV297:CC297),IF(AND(CI297&lt;&gt;0,CI297/RIGHT($CI$1,2)&gt;=0.5,CJ297=CI297),MAX(BV297:CC297),IF(AND(CE297=0,CF297=0,CG297=0,CH297=0),0,IF(CJ297/RIGHT($CJ$1,2)&lt;0.5,ROUND(BU297/RIGHT($CJ$1,2),0),MAX(BV297:CC297)))))))))</f>
        <v>7</v>
      </c>
      <c r="CO297" s="14" t="n">
        <f aca="false">CN297*3</f>
        <v>21</v>
      </c>
      <c r="CP297" s="15" t="n">
        <v>48</v>
      </c>
      <c r="CQ297" s="16" t="n">
        <f aca="false">IF((CO297-CP297)&lt;0,0,(CO297-CP297))</f>
        <v>0</v>
      </c>
      <c r="CR297" s="7"/>
    </row>
    <row r="298" customFormat="false" ht="12.75" hidden="false" customHeight="true" outlineLevel="0" collapsed="false">
      <c r="A298" s="7" t="s">
        <v>388</v>
      </c>
      <c r="B298" s="7" t="s">
        <v>397</v>
      </c>
      <c r="C298" s="8" t="n">
        <v>5000091</v>
      </c>
      <c r="D298" s="9"/>
      <c r="E298" s="9" t="n">
        <v>1</v>
      </c>
      <c r="F298" s="9"/>
      <c r="G298" s="9"/>
      <c r="H298" s="9"/>
      <c r="I298" s="9"/>
      <c r="J298" s="9" t="n">
        <v>1</v>
      </c>
      <c r="K298" s="9"/>
      <c r="L298" s="9" t="n">
        <v>1</v>
      </c>
      <c r="M298" s="9"/>
      <c r="N298" s="9"/>
      <c r="O298" s="9"/>
      <c r="P298" s="9"/>
      <c r="Q298" s="9"/>
      <c r="R298" s="9"/>
      <c r="S298" s="9"/>
      <c r="T298" s="9"/>
      <c r="U298" s="9"/>
      <c r="V298" s="9" t="n">
        <v>1</v>
      </c>
      <c r="W298" s="9"/>
      <c r="X298" s="9"/>
      <c r="Y298" s="9"/>
      <c r="Z298" s="9"/>
      <c r="AA298" s="9"/>
      <c r="AB298" s="9"/>
      <c r="AC298" s="9"/>
      <c r="AD298" s="9" t="n">
        <v>1</v>
      </c>
      <c r="AE298" s="9"/>
      <c r="AF298" s="9"/>
      <c r="AG298" s="9" t="n">
        <v>1</v>
      </c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 t="n">
        <v>1</v>
      </c>
      <c r="AV298" s="9"/>
      <c r="AW298" s="9"/>
      <c r="AX298" s="9"/>
      <c r="AY298" s="9"/>
      <c r="AZ298" s="9"/>
      <c r="BA298" s="9"/>
      <c r="BB298" s="9"/>
      <c r="BC298" s="9"/>
      <c r="BD298" s="9"/>
      <c r="BE298" s="9"/>
      <c r="BF298" s="9"/>
      <c r="BG298" s="9"/>
      <c r="BH298" s="9"/>
      <c r="BI298" s="9"/>
      <c r="BJ298" s="9" t="n">
        <v>1</v>
      </c>
      <c r="BK298" s="9"/>
      <c r="BL298" s="9"/>
      <c r="BM298" s="9"/>
      <c r="BN298" s="9"/>
      <c r="BO298" s="9"/>
      <c r="BP298" s="9"/>
      <c r="BQ298" s="9"/>
      <c r="BR298" s="9"/>
      <c r="BS298" s="9"/>
      <c r="BT298" s="9"/>
      <c r="BU298" s="10" t="n">
        <v>8</v>
      </c>
      <c r="BV298" s="11" t="n">
        <f aca="false">IF(ISERROR(ROUND(MEDIAN(BQ298:BT298),0)),0,ROUND(MEDIAN(BQ298:BT298),0))</f>
        <v>0</v>
      </c>
      <c r="BW298" s="11" t="n">
        <f aca="false">IF(ISERROR(ROUND(MEDIAN(BM298:BT298),0)),0,ROUND(MEDIAN(BM298:BT298),0))</f>
        <v>0</v>
      </c>
      <c r="BX298" s="11" t="n">
        <f aca="false">IF(ISERROR(ROUND(MEDIAN(BI298:BT298),0)),0,ROUND(MEDIAN(BI298:BT298),0))</f>
        <v>1</v>
      </c>
      <c r="BY298" s="11" t="n">
        <f aca="false">IF(ISERROR(ROUND(MEDIAN(BE298:BT298),0)),0,ROUND(MEDIAN(BE298:BT298),0))</f>
        <v>1</v>
      </c>
      <c r="BZ298" s="11" t="n">
        <f aca="false">IF(ISERROR(ROUND(MEDIAN(AU298:BT298),0)),0,ROUND(MEDIAN(AU298:BT298),0))</f>
        <v>1</v>
      </c>
      <c r="CA298" s="12" t="n">
        <f aca="false">IF(ISERROR(ROUND(MEDIAN(U298:BT298),0)),0,ROUND(MEDIAN(U298:BT298),0))</f>
        <v>1</v>
      </c>
      <c r="CB298" s="12" t="n">
        <f aca="false">IF(ISERROR(ROUND(MEDIAN(BT298),0)),0,ROUND(MEDIAN(BT298),0))</f>
        <v>0</v>
      </c>
      <c r="CC298" s="12" t="n">
        <f aca="false">IF(ISERROR(ROUND(MEDIAN(D298:BT298),0)),0,ROUND(MEDIAN(D298:BT298),0))</f>
        <v>1</v>
      </c>
      <c r="CD298" s="12" t="n">
        <f aca="false">MAX(D298:BT298)</f>
        <v>1</v>
      </c>
      <c r="CE298" s="7" t="n">
        <f aca="false">COUNTA(BQ298:BT298)</f>
        <v>0</v>
      </c>
      <c r="CF298" s="7" t="n">
        <f aca="false">COUNTA(BM298:BT298)</f>
        <v>0</v>
      </c>
      <c r="CG298" s="7" t="n">
        <f aca="false">COUNTA(BI298:BT298)</f>
        <v>1</v>
      </c>
      <c r="CH298" s="7" t="n">
        <f aca="false">COUNTA(BE298:BT298)</f>
        <v>1</v>
      </c>
      <c r="CI298" s="7" t="n">
        <f aca="false">COUNTA(AU298:BT298)</f>
        <v>2</v>
      </c>
      <c r="CJ298" s="7" t="n">
        <f aca="false">COUNTA(U298:BT298)</f>
        <v>5</v>
      </c>
      <c r="CK298" s="7" t="n">
        <f aca="false">COUNTA(BT298)</f>
        <v>0</v>
      </c>
      <c r="CL298" s="7" t="n">
        <f aca="false">COUNTA(D298:BT298)</f>
        <v>8</v>
      </c>
      <c r="CM298" s="17" t="str">
        <f aca="false">IF(AND(CE298=1,CJ298=1,BT298&lt;&gt;""),"5.ENTRANTES",IF(AND(CE298&lt;&gt;0,CE298/RIGHT($CE$1,1)&gt;=0.5,CJ298=CE298),"4.RECENTES",IF(AND(CF298&lt;&gt;0,CF298/RIGHT($CF$1,1)&gt;=0.5,CJ298=CF298),"4.RECENTES",IF(AND(CG298&lt;&gt;0,CG298/RIGHT($CG$1,2)&gt;=0.5,CJ298=CG298),"4.RECENTES",IF(AND(CH298&lt;&gt;0,CH298/RIGHT($CH$1,2)&gt;=0.5,CJ298=CH298),"4.RECENTES",IF(AND(CI298&lt;&gt;0,CI298/RIGHT($CI$1,2)&gt;=0.5,CJ298=CI298),"4.RECENTES",IF(AND(CE298=0,CF298=0,CG298=0,CH298=0),"3.INATIVOS",IF(CJ298/RIGHT($CJ$1,2)&lt;0.5,"2.INTERMITENTES","1.ORDINÁRIOS"))))))))</f>
        <v>2.INTERMITENTES</v>
      </c>
      <c r="CN298" s="18" t="n">
        <f aca="false">IF(AND(CE298=1,CJ298=1,BT298&lt;&gt;""),BT298,IF(AND(CE298&lt;&gt;0,CE298/RIGHT($CE$1,1)&gt;=0.5,CJ298=CE298),MAX(BV298:CC298),IF(AND(CF298&lt;&gt;0,CF298/RIGHT($CF$1,1)&gt;=0.5,CJ298=CF298),MAX(BV298:CC298),IF(AND(CG298&lt;&gt;0,CG298/RIGHT($CG$1,2)&gt;=0.5,CJ298=CG298),MAX(BV298:CC298),IF(AND(CH298&lt;&gt;0,CH298/RIGHT($CH$1,2)&gt;=0.5,CJ298=CH298),MAX(BV298:CC298),IF(AND(CI298&lt;&gt;0,CI298/RIGHT($CI$1,2)&gt;=0.5,CJ298=CI298),MAX(BV298:CC298),IF(AND(CE298=0,CF298=0,CG298=0,CH298=0),0,IF(CJ298/RIGHT($CJ$1,2)&lt;0.5,ROUND(BU298/RIGHT($CJ$1,2),0),MAX(BV298:CC298)))))))))</f>
        <v>0</v>
      </c>
      <c r="CO298" s="18" t="n">
        <f aca="false">CD298</f>
        <v>1</v>
      </c>
      <c r="CP298" s="15" t="n">
        <v>20</v>
      </c>
      <c r="CQ298" s="16" t="n">
        <f aca="false">IF((CO298-CP298)&lt;0,0,(CO298-CP298))</f>
        <v>0</v>
      </c>
      <c r="CR298" s="7"/>
    </row>
    <row r="299" customFormat="false" ht="12.75" hidden="false" customHeight="true" outlineLevel="0" collapsed="false">
      <c r="A299" s="7" t="s">
        <v>388</v>
      </c>
      <c r="B299" s="7" t="s">
        <v>398</v>
      </c>
      <c r="C299" s="8" t="n">
        <v>8001009</v>
      </c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  <c r="AY299" s="9"/>
      <c r="AZ299" s="9"/>
      <c r="BA299" s="9"/>
      <c r="BB299" s="9"/>
      <c r="BC299" s="9"/>
      <c r="BD299" s="9"/>
      <c r="BE299" s="9"/>
      <c r="BF299" s="9"/>
      <c r="BG299" s="9"/>
      <c r="BH299" s="9" t="n">
        <v>5</v>
      </c>
      <c r="BI299" s="9"/>
      <c r="BJ299" s="9"/>
      <c r="BK299" s="9"/>
      <c r="BL299" s="9"/>
      <c r="BM299" s="9"/>
      <c r="BN299" s="9"/>
      <c r="BO299" s="9"/>
      <c r="BP299" s="9"/>
      <c r="BQ299" s="9"/>
      <c r="BR299" s="9"/>
      <c r="BS299" s="9"/>
      <c r="BT299" s="9"/>
      <c r="BU299" s="10" t="n">
        <v>5</v>
      </c>
      <c r="BV299" s="11" t="n">
        <f aca="false">IF(ISERROR(ROUND(MEDIAN(BQ299:BT299),0)),0,ROUND(MEDIAN(BQ299:BT299),0))</f>
        <v>0</v>
      </c>
      <c r="BW299" s="11" t="n">
        <f aca="false">IF(ISERROR(ROUND(MEDIAN(BM299:BT299),0)),0,ROUND(MEDIAN(BM299:BT299),0))</f>
        <v>0</v>
      </c>
      <c r="BX299" s="11" t="n">
        <f aca="false">IF(ISERROR(ROUND(MEDIAN(BI299:BT299),0)),0,ROUND(MEDIAN(BI299:BT299),0))</f>
        <v>0</v>
      </c>
      <c r="BY299" s="11" t="n">
        <f aca="false">IF(ISERROR(ROUND(MEDIAN(BE299:BT299),0)),0,ROUND(MEDIAN(BE299:BT299),0))</f>
        <v>5</v>
      </c>
      <c r="BZ299" s="11" t="n">
        <f aca="false">IF(ISERROR(ROUND(MEDIAN(AU299:BT299),0)),0,ROUND(MEDIAN(AU299:BT299),0))</f>
        <v>5</v>
      </c>
      <c r="CA299" s="12" t="n">
        <f aca="false">IF(ISERROR(ROUND(MEDIAN(U299:BT299),0)),0,ROUND(MEDIAN(U299:BT299),0))</f>
        <v>5</v>
      </c>
      <c r="CB299" s="12" t="n">
        <f aca="false">IF(ISERROR(ROUND(MEDIAN(BT299),0)),0,ROUND(MEDIAN(BT299),0))</f>
        <v>0</v>
      </c>
      <c r="CC299" s="12" t="n">
        <f aca="false">IF(ISERROR(ROUND(MEDIAN(D299:BT299),0)),0,ROUND(MEDIAN(D299:BT299),0))</f>
        <v>5</v>
      </c>
      <c r="CD299" s="12" t="n">
        <f aca="false">MAX(D299:BT299)</f>
        <v>5</v>
      </c>
      <c r="CE299" s="7" t="n">
        <f aca="false">COUNTA(BQ299:BT299)</f>
        <v>0</v>
      </c>
      <c r="CF299" s="7" t="n">
        <f aca="false">COUNTA(BM299:BT299)</f>
        <v>0</v>
      </c>
      <c r="CG299" s="7" t="n">
        <f aca="false">COUNTA(BI299:BT299)</f>
        <v>0</v>
      </c>
      <c r="CH299" s="7" t="n">
        <f aca="false">COUNTA(BE299:BT299)</f>
        <v>1</v>
      </c>
      <c r="CI299" s="7" t="n">
        <f aca="false">COUNTA(AU299:BT299)</f>
        <v>1</v>
      </c>
      <c r="CJ299" s="7" t="n">
        <f aca="false">COUNTA(U299:BT299)</f>
        <v>1</v>
      </c>
      <c r="CK299" s="7" t="n">
        <f aca="false">COUNTA(BT299)</f>
        <v>0</v>
      </c>
      <c r="CL299" s="7" t="n">
        <f aca="false">COUNTA(D299:BT299)</f>
        <v>1</v>
      </c>
      <c r="CM299" s="17" t="str">
        <f aca="false">IF(AND(CE299=1,CJ299=1,BT299&lt;&gt;""),"5.ENTRANTES",IF(AND(CE299&lt;&gt;0,CE299/RIGHT($CE$1,1)&gt;=0.5,CJ299=CE299),"4.RECENTES",IF(AND(CF299&lt;&gt;0,CF299/RIGHT($CF$1,1)&gt;=0.5,CJ299=CF299),"4.RECENTES",IF(AND(CG299&lt;&gt;0,CG299/RIGHT($CG$1,2)&gt;=0.5,CJ299=CG299),"4.RECENTES",IF(AND(CH299&lt;&gt;0,CH299/RIGHT($CH$1,2)&gt;=0.5,CJ299=CH299),"4.RECENTES",IF(AND(CI299&lt;&gt;0,CI299/RIGHT($CI$1,2)&gt;=0.5,CJ299=CI299),"4.RECENTES",IF(AND(CE299=0,CF299=0,CG299=0,CH299=0),"3.INATIVOS",IF(CJ299/RIGHT($CJ$1,2)&lt;0.5,"2.INTERMITENTES","1.ORDINÁRIOS"))))))))</f>
        <v>2.INTERMITENTES</v>
      </c>
      <c r="CN299" s="18" t="n">
        <f aca="false">IF(AND(CE299=1,CJ299=1,BT299&lt;&gt;""),BT299,IF(AND(CE299&lt;&gt;0,CE299/RIGHT($CE$1,1)&gt;=0.5,CJ299=CE299),MAX(BV299:CC299),IF(AND(CF299&lt;&gt;0,CF299/RIGHT($CF$1,1)&gt;=0.5,CJ299=CF299),MAX(BV299:CC299),IF(AND(CG299&lt;&gt;0,CG299/RIGHT($CG$1,2)&gt;=0.5,CJ299=CG299),MAX(BV299:CC299),IF(AND(CH299&lt;&gt;0,CH299/RIGHT($CH$1,2)&gt;=0.5,CJ299=CH299),MAX(BV299:CC299),IF(AND(CI299&lt;&gt;0,CI299/RIGHT($CI$1,2)&gt;=0.5,CJ299=CI299),MAX(BV299:CC299),IF(AND(CE299=0,CF299=0,CG299=0,CH299=0),0,IF(CJ299/RIGHT($CJ$1,2)&lt;0.5,ROUND(BU299/RIGHT($CJ$1,2),0),MAX(BV299:CC299)))))))))</f>
        <v>0</v>
      </c>
      <c r="CO299" s="18" t="n">
        <f aca="false">CD299</f>
        <v>5</v>
      </c>
      <c r="CP299" s="15" t="n">
        <v>5</v>
      </c>
      <c r="CQ299" s="16" t="n">
        <f aca="false">IF((CO299-CP299)&lt;0,0,(CO299-CP299))</f>
        <v>0</v>
      </c>
      <c r="CR299" s="7"/>
    </row>
    <row r="300" customFormat="false" ht="12.75" hidden="false" customHeight="true" outlineLevel="0" collapsed="false">
      <c r="A300" s="7" t="s">
        <v>388</v>
      </c>
      <c r="B300" s="7" t="s">
        <v>399</v>
      </c>
      <c r="C300" s="8" t="n">
        <v>2000084</v>
      </c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  <c r="AY300" s="9"/>
      <c r="AZ300" s="9"/>
      <c r="BA300" s="9"/>
      <c r="BB300" s="9"/>
      <c r="BC300" s="9"/>
      <c r="BD300" s="9"/>
      <c r="BE300" s="9"/>
      <c r="BF300" s="9"/>
      <c r="BG300" s="9"/>
      <c r="BH300" s="9" t="n">
        <v>7</v>
      </c>
      <c r="BI300" s="9"/>
      <c r="BJ300" s="9"/>
      <c r="BK300" s="9"/>
      <c r="BL300" s="9"/>
      <c r="BM300" s="9"/>
      <c r="BN300" s="9"/>
      <c r="BO300" s="9"/>
      <c r="BP300" s="9"/>
      <c r="BQ300" s="9"/>
      <c r="BR300" s="9"/>
      <c r="BS300" s="9"/>
      <c r="BT300" s="9"/>
      <c r="BU300" s="10" t="n">
        <v>7</v>
      </c>
      <c r="BV300" s="11" t="n">
        <f aca="false">IF(ISERROR(ROUND(MEDIAN(BQ300:BT300),0)),0,ROUND(MEDIAN(BQ300:BT300),0))</f>
        <v>0</v>
      </c>
      <c r="BW300" s="11" t="n">
        <f aca="false">IF(ISERROR(ROUND(MEDIAN(BM300:BT300),0)),0,ROUND(MEDIAN(BM300:BT300),0))</f>
        <v>0</v>
      </c>
      <c r="BX300" s="11" t="n">
        <f aca="false">IF(ISERROR(ROUND(MEDIAN(BI300:BT300),0)),0,ROUND(MEDIAN(BI300:BT300),0))</f>
        <v>0</v>
      </c>
      <c r="BY300" s="11" t="n">
        <f aca="false">IF(ISERROR(ROUND(MEDIAN(BE300:BT300),0)),0,ROUND(MEDIAN(BE300:BT300),0))</f>
        <v>7</v>
      </c>
      <c r="BZ300" s="11" t="n">
        <f aca="false">IF(ISERROR(ROUND(MEDIAN(AU300:BT300),0)),0,ROUND(MEDIAN(AU300:BT300),0))</f>
        <v>7</v>
      </c>
      <c r="CA300" s="12" t="n">
        <f aca="false">IF(ISERROR(ROUND(MEDIAN(U300:BT300),0)),0,ROUND(MEDIAN(U300:BT300),0))</f>
        <v>7</v>
      </c>
      <c r="CB300" s="12" t="n">
        <f aca="false">IF(ISERROR(ROUND(MEDIAN(BT300),0)),0,ROUND(MEDIAN(BT300),0))</f>
        <v>0</v>
      </c>
      <c r="CC300" s="12" t="n">
        <f aca="false">IF(ISERROR(ROUND(MEDIAN(D300:BT300),0)),0,ROUND(MEDIAN(D300:BT300),0))</f>
        <v>7</v>
      </c>
      <c r="CD300" s="12" t="n">
        <f aca="false">MAX(D300:BT300)</f>
        <v>7</v>
      </c>
      <c r="CE300" s="7" t="n">
        <f aca="false">COUNTA(BQ300:BT300)</f>
        <v>0</v>
      </c>
      <c r="CF300" s="7" t="n">
        <f aca="false">COUNTA(BM300:BT300)</f>
        <v>0</v>
      </c>
      <c r="CG300" s="7" t="n">
        <f aca="false">COUNTA(BI300:BT300)</f>
        <v>0</v>
      </c>
      <c r="CH300" s="7" t="n">
        <f aca="false">COUNTA(BE300:BT300)</f>
        <v>1</v>
      </c>
      <c r="CI300" s="7" t="n">
        <f aca="false">COUNTA(AU300:BT300)</f>
        <v>1</v>
      </c>
      <c r="CJ300" s="7" t="n">
        <f aca="false">COUNTA(U300:BT300)</f>
        <v>1</v>
      </c>
      <c r="CK300" s="7" t="n">
        <f aca="false">COUNTA(BT300)</f>
        <v>0</v>
      </c>
      <c r="CL300" s="7" t="n">
        <f aca="false">COUNTA(D300:BT300)</f>
        <v>1</v>
      </c>
      <c r="CM300" s="17" t="str">
        <f aca="false">IF(AND(CE300=1,CJ300=1,BT300&lt;&gt;""),"5.ENTRANTES",IF(AND(CE300&lt;&gt;0,CE300/RIGHT($CE$1,1)&gt;=0.5,CJ300=CE300),"4.RECENTES",IF(AND(CF300&lt;&gt;0,CF300/RIGHT($CF$1,1)&gt;=0.5,CJ300=CF300),"4.RECENTES",IF(AND(CG300&lt;&gt;0,CG300/RIGHT($CG$1,2)&gt;=0.5,CJ300=CG300),"4.RECENTES",IF(AND(CH300&lt;&gt;0,CH300/RIGHT($CH$1,2)&gt;=0.5,CJ300=CH300),"4.RECENTES",IF(AND(CI300&lt;&gt;0,CI300/RIGHT($CI$1,2)&gt;=0.5,CJ300=CI300),"4.RECENTES",IF(AND(CE300=0,CF300=0,CG300=0,CH300=0),"3.INATIVOS",IF(CJ300/RIGHT($CJ$1,2)&lt;0.5,"2.INTERMITENTES","1.ORDINÁRIOS"))))))))</f>
        <v>2.INTERMITENTES</v>
      </c>
      <c r="CN300" s="18" t="n">
        <f aca="false">IF(AND(CE300=1,CJ300=1,BT300&lt;&gt;""),BT300,IF(AND(CE300&lt;&gt;0,CE300/RIGHT($CE$1,1)&gt;=0.5,CJ300=CE300),MAX(BV300:CC300),IF(AND(CF300&lt;&gt;0,CF300/RIGHT($CF$1,1)&gt;=0.5,CJ300=CF300),MAX(BV300:CC300),IF(AND(CG300&lt;&gt;0,CG300/RIGHT($CG$1,2)&gt;=0.5,CJ300=CG300),MAX(BV300:CC300),IF(AND(CH300&lt;&gt;0,CH300/RIGHT($CH$1,2)&gt;=0.5,CJ300=CH300),MAX(BV300:CC300),IF(AND(CI300&lt;&gt;0,CI300/RIGHT($CI$1,2)&gt;=0.5,CJ300=CI300),MAX(BV300:CC300),IF(AND(CE300=0,CF300=0,CG300=0,CH300=0),0,IF(CJ300/RIGHT($CJ$1,2)&lt;0.5,ROUND(BU300/RIGHT($CJ$1,2),0),MAX(BV300:CC300)))))))))</f>
        <v>0</v>
      </c>
      <c r="CO300" s="18" t="n">
        <f aca="false">CD300</f>
        <v>7</v>
      </c>
      <c r="CP300" s="15" t="n">
        <v>30</v>
      </c>
      <c r="CQ300" s="16" t="n">
        <f aca="false">IF((CO300-CP300)&lt;0,0,(CO300-CP300))</f>
        <v>0</v>
      </c>
      <c r="CR300" s="7"/>
    </row>
    <row r="301" customFormat="false" ht="12.75" hidden="false" customHeight="true" outlineLevel="0" collapsed="false">
      <c r="A301" s="7" t="s">
        <v>388</v>
      </c>
      <c r="B301" s="7" t="s">
        <v>400</v>
      </c>
      <c r="C301" s="8" t="n">
        <v>2000087</v>
      </c>
      <c r="D301" s="9"/>
      <c r="E301" s="9" t="n">
        <v>1</v>
      </c>
      <c r="F301" s="9"/>
      <c r="G301" s="9"/>
      <c r="H301" s="9"/>
      <c r="I301" s="9" t="n">
        <v>3</v>
      </c>
      <c r="J301" s="9" t="n">
        <v>1</v>
      </c>
      <c r="K301" s="9" t="n">
        <v>1</v>
      </c>
      <c r="L301" s="9" t="n">
        <v>4</v>
      </c>
      <c r="M301" s="9"/>
      <c r="N301" s="9" t="n">
        <v>1</v>
      </c>
      <c r="O301" s="9"/>
      <c r="P301" s="9" t="n">
        <v>2</v>
      </c>
      <c r="Q301" s="9"/>
      <c r="R301" s="9" t="n">
        <v>1</v>
      </c>
      <c r="S301" s="9"/>
      <c r="T301" s="9"/>
      <c r="U301" s="9"/>
      <c r="V301" s="9"/>
      <c r="W301" s="9"/>
      <c r="X301" s="9" t="n">
        <v>10</v>
      </c>
      <c r="Y301" s="9"/>
      <c r="Z301" s="9"/>
      <c r="AA301" s="9"/>
      <c r="AB301" s="9"/>
      <c r="AC301" s="9"/>
      <c r="AD301" s="9" t="n">
        <v>1</v>
      </c>
      <c r="AE301" s="9" t="n">
        <v>1</v>
      </c>
      <c r="AF301" s="9"/>
      <c r="AG301" s="9"/>
      <c r="AH301" s="9" t="n">
        <v>6</v>
      </c>
      <c r="AI301" s="9" t="n">
        <v>8</v>
      </c>
      <c r="AJ301" s="9"/>
      <c r="AK301" s="9"/>
      <c r="AL301" s="9"/>
      <c r="AM301" s="9"/>
      <c r="AN301" s="9" t="n">
        <v>8</v>
      </c>
      <c r="AO301" s="9"/>
      <c r="AP301" s="9"/>
      <c r="AQ301" s="9" t="n">
        <v>1</v>
      </c>
      <c r="AR301" s="9" t="n">
        <v>2</v>
      </c>
      <c r="AS301" s="9" t="n">
        <v>1</v>
      </c>
      <c r="AT301" s="9" t="n">
        <v>10</v>
      </c>
      <c r="AU301" s="9"/>
      <c r="AV301" s="9" t="n">
        <v>12</v>
      </c>
      <c r="AW301" s="9"/>
      <c r="AX301" s="9" t="n">
        <v>6</v>
      </c>
      <c r="AY301" s="9"/>
      <c r="AZ301" s="9" t="n">
        <v>2</v>
      </c>
      <c r="BA301" s="9" t="n">
        <v>7</v>
      </c>
      <c r="BB301" s="9"/>
      <c r="BC301" s="9"/>
      <c r="BD301" s="9"/>
      <c r="BE301" s="9" t="n">
        <v>1</v>
      </c>
      <c r="BF301" s="9" t="n">
        <v>5</v>
      </c>
      <c r="BG301" s="9"/>
      <c r="BH301" s="9"/>
      <c r="BI301" s="9" t="n">
        <v>3</v>
      </c>
      <c r="BJ301" s="9" t="n">
        <v>2</v>
      </c>
      <c r="BK301" s="9"/>
      <c r="BL301" s="9"/>
      <c r="BM301" s="9"/>
      <c r="BN301" s="9" t="n">
        <v>4</v>
      </c>
      <c r="BO301" s="9" t="n">
        <v>9</v>
      </c>
      <c r="BP301" s="9"/>
      <c r="BQ301" s="9"/>
      <c r="BR301" s="9" t="n">
        <v>1</v>
      </c>
      <c r="BS301" s="9"/>
      <c r="BT301" s="9" t="n">
        <v>2</v>
      </c>
      <c r="BU301" s="10" t="n">
        <v>116</v>
      </c>
      <c r="BV301" s="11" t="n">
        <f aca="false">IF(ISERROR(ROUND(MEDIAN(BQ301:BT301),0)),0,ROUND(MEDIAN(BQ301:BT301),0))</f>
        <v>2</v>
      </c>
      <c r="BW301" s="11" t="n">
        <f aca="false">IF(ISERROR(ROUND(MEDIAN(BM301:BT301),0)),0,ROUND(MEDIAN(BM301:BT301),0))</f>
        <v>3</v>
      </c>
      <c r="BX301" s="11" t="n">
        <f aca="false">IF(ISERROR(ROUND(MEDIAN(BI301:BT301),0)),0,ROUND(MEDIAN(BI301:BT301),0))</f>
        <v>3</v>
      </c>
      <c r="BY301" s="11" t="n">
        <f aca="false">IF(ISERROR(ROUND(MEDIAN(BE301:BT301),0)),0,ROUND(MEDIAN(BE301:BT301),0))</f>
        <v>3</v>
      </c>
      <c r="BZ301" s="11" t="n">
        <f aca="false">IF(ISERROR(ROUND(MEDIAN(AU301:BT301),0)),0,ROUND(MEDIAN(AU301:BT301),0))</f>
        <v>4</v>
      </c>
      <c r="CA301" s="12" t="n">
        <f aca="false">IF(ISERROR(ROUND(MEDIAN(U301:BT301),0)),0,ROUND(MEDIAN(U301:BT301),0))</f>
        <v>4</v>
      </c>
      <c r="CB301" s="12" t="n">
        <f aca="false">IF(ISERROR(ROUND(MEDIAN(BT301),0)),0,ROUND(MEDIAN(BT301),0))</f>
        <v>2</v>
      </c>
      <c r="CC301" s="12" t="n">
        <f aca="false">IF(ISERROR(ROUND(MEDIAN(D301:BT301),0)),0,ROUND(MEDIAN(D301:BT301),0))</f>
        <v>2</v>
      </c>
      <c r="CD301" s="12" t="n">
        <f aca="false">MAX(D301:BT301)</f>
        <v>12</v>
      </c>
      <c r="CE301" s="7" t="n">
        <f aca="false">COUNTA(BQ301:BT301)</f>
        <v>2</v>
      </c>
      <c r="CF301" s="7" t="n">
        <f aca="false">COUNTA(BM301:BT301)</f>
        <v>4</v>
      </c>
      <c r="CG301" s="7" t="n">
        <f aca="false">COUNTA(BI301:BT301)</f>
        <v>6</v>
      </c>
      <c r="CH301" s="7" t="n">
        <f aca="false">COUNTA(BE301:BT301)</f>
        <v>8</v>
      </c>
      <c r="CI301" s="7" t="n">
        <f aca="false">COUNTA(AU301:BT301)</f>
        <v>12</v>
      </c>
      <c r="CJ301" s="7" t="n">
        <f aca="false">COUNTA(U301:BT301)</f>
        <v>22</v>
      </c>
      <c r="CK301" s="7" t="n">
        <f aca="false">COUNTA(BT301)</f>
        <v>1</v>
      </c>
      <c r="CL301" s="7" t="n">
        <f aca="false">COUNTA(D301:BT301)</f>
        <v>30</v>
      </c>
      <c r="CM301" s="17" t="str">
        <f aca="false">IF(AND(CE301=1,CJ301=1,BT301&lt;&gt;""),"5.ENTRANTES",IF(AND(CE301&lt;&gt;0,CE301/RIGHT($CE$1,1)&gt;=0.5,CJ301=CE301),"4.RECENTES",IF(AND(CF301&lt;&gt;0,CF301/RIGHT($CF$1,1)&gt;=0.5,CJ301=CF301),"4.RECENTES",IF(AND(CG301&lt;&gt;0,CG301/RIGHT($CG$1,2)&gt;=0.5,CJ301=CG301),"4.RECENTES",IF(AND(CH301&lt;&gt;0,CH301/RIGHT($CH$1,2)&gt;=0.5,CJ301=CH301),"4.RECENTES",IF(AND(CI301&lt;&gt;0,CI301/RIGHT($CI$1,2)&gt;=0.5,CJ301=CI301),"4.RECENTES",IF(AND(CE301=0,CF301=0,CG301=0,CH301=0),"3.INATIVOS",IF(CJ301/RIGHT($CJ$1,2)&lt;0.5,"2.INTERMITENTES","1.ORDINÁRIOS"))))))))</f>
        <v>2.INTERMITENTES</v>
      </c>
      <c r="CN301" s="18" t="n">
        <f aca="false">IF(AND(CE301=1,CJ301=1,BT301&lt;&gt;""),BT301,IF(AND(CE301&lt;&gt;0,CE301/RIGHT($CE$1,1)&gt;=0.5,CJ301=CE301),MAX(BV301:CC301),IF(AND(CF301&lt;&gt;0,CF301/RIGHT($CF$1,1)&gt;=0.5,CJ301=CF301),MAX(BV301:CC301),IF(AND(CG301&lt;&gt;0,CG301/RIGHT($CG$1,2)&gt;=0.5,CJ301=CG301),MAX(BV301:CC301),IF(AND(CH301&lt;&gt;0,CH301/RIGHT($CH$1,2)&gt;=0.5,CJ301=CH301),MAX(BV301:CC301),IF(AND(CI301&lt;&gt;0,CI301/RIGHT($CI$1,2)&gt;=0.5,CJ301=CI301),MAX(BV301:CC301),IF(AND(CE301=0,CF301=0,CG301=0,CH301=0),0,IF(CJ301/RIGHT($CJ$1,2)&lt;0.5,ROUND(BU301/RIGHT($CJ$1,2),0),MAX(BV301:CC301)))))))))</f>
        <v>2</v>
      </c>
      <c r="CO301" s="18" t="n">
        <f aca="false">CD301</f>
        <v>12</v>
      </c>
      <c r="CP301" s="15" t="n">
        <v>28</v>
      </c>
      <c r="CQ301" s="16" t="n">
        <f aca="false">IF((CO301-CP301)&lt;0,0,(CO301-CP301))</f>
        <v>0</v>
      </c>
      <c r="CR301" s="7"/>
    </row>
    <row r="302" customFormat="false" ht="12.75" hidden="false" customHeight="true" outlineLevel="0" collapsed="false">
      <c r="A302" s="7" t="s">
        <v>388</v>
      </c>
      <c r="B302" s="7" t="s">
        <v>401</v>
      </c>
      <c r="C302" s="8" t="n">
        <v>5000090</v>
      </c>
      <c r="D302" s="9"/>
      <c r="E302" s="9"/>
      <c r="F302" s="9"/>
      <c r="G302" s="9"/>
      <c r="H302" s="9"/>
      <c r="I302" s="9" t="n">
        <v>1</v>
      </c>
      <c r="J302" s="9" t="n">
        <v>1</v>
      </c>
      <c r="K302" s="9"/>
      <c r="L302" s="9"/>
      <c r="M302" s="9" t="n">
        <v>1</v>
      </c>
      <c r="N302" s="9"/>
      <c r="O302" s="9" t="n">
        <v>1</v>
      </c>
      <c r="P302" s="9"/>
      <c r="Q302" s="9"/>
      <c r="R302" s="9"/>
      <c r="S302" s="9"/>
      <c r="T302" s="9" t="n">
        <v>1</v>
      </c>
      <c r="U302" s="9" t="n">
        <v>1</v>
      </c>
      <c r="V302" s="9" t="n">
        <v>7</v>
      </c>
      <c r="W302" s="9"/>
      <c r="X302" s="9"/>
      <c r="Y302" s="9"/>
      <c r="Z302" s="9"/>
      <c r="AA302" s="9"/>
      <c r="AB302" s="9"/>
      <c r="AC302" s="9"/>
      <c r="AD302" s="9"/>
      <c r="AE302" s="9"/>
      <c r="AF302" s="9" t="n">
        <v>1</v>
      </c>
      <c r="AG302" s="9"/>
      <c r="AH302" s="9" t="n">
        <v>1</v>
      </c>
      <c r="AI302" s="9" t="n">
        <v>5</v>
      </c>
      <c r="AJ302" s="9"/>
      <c r="AK302" s="9"/>
      <c r="AL302" s="9" t="n">
        <v>2</v>
      </c>
      <c r="AM302" s="9"/>
      <c r="AN302" s="9"/>
      <c r="AO302" s="9"/>
      <c r="AP302" s="9"/>
      <c r="AQ302" s="9"/>
      <c r="AR302" s="9"/>
      <c r="AS302" s="9"/>
      <c r="AT302" s="9" t="n">
        <v>3</v>
      </c>
      <c r="AU302" s="9"/>
      <c r="AV302" s="9"/>
      <c r="AW302" s="9"/>
      <c r="AX302" s="9"/>
      <c r="AY302" s="9"/>
      <c r="AZ302" s="9"/>
      <c r="BA302" s="9" t="n">
        <v>1</v>
      </c>
      <c r="BB302" s="9"/>
      <c r="BC302" s="9"/>
      <c r="BD302" s="9"/>
      <c r="BE302" s="9"/>
      <c r="BF302" s="9" t="n">
        <v>2</v>
      </c>
      <c r="BG302" s="9"/>
      <c r="BH302" s="9"/>
      <c r="BI302" s="9"/>
      <c r="BJ302" s="9" t="n">
        <v>2</v>
      </c>
      <c r="BK302" s="9" t="n">
        <v>2</v>
      </c>
      <c r="BL302" s="9"/>
      <c r="BM302" s="9"/>
      <c r="BN302" s="9" t="n">
        <v>1</v>
      </c>
      <c r="BO302" s="9"/>
      <c r="BP302" s="9" t="n">
        <v>1</v>
      </c>
      <c r="BQ302" s="9"/>
      <c r="BR302" s="9"/>
      <c r="BS302" s="9" t="n">
        <v>1</v>
      </c>
      <c r="BT302" s="9"/>
      <c r="BU302" s="10" t="n">
        <v>35</v>
      </c>
      <c r="BV302" s="11" t="n">
        <f aca="false">IF(ISERROR(ROUND(MEDIAN(BQ302:BT302),0)),0,ROUND(MEDIAN(BQ302:BT302),0))</f>
        <v>1</v>
      </c>
      <c r="BW302" s="11" t="n">
        <f aca="false">IF(ISERROR(ROUND(MEDIAN(BM302:BT302),0)),0,ROUND(MEDIAN(BM302:BT302),0))</f>
        <v>1</v>
      </c>
      <c r="BX302" s="11" t="n">
        <f aca="false">IF(ISERROR(ROUND(MEDIAN(BI302:BT302),0)),0,ROUND(MEDIAN(BI302:BT302),0))</f>
        <v>1</v>
      </c>
      <c r="BY302" s="11" t="n">
        <f aca="false">IF(ISERROR(ROUND(MEDIAN(BE302:BT302),0)),0,ROUND(MEDIAN(BE302:BT302),0))</f>
        <v>2</v>
      </c>
      <c r="BZ302" s="11" t="n">
        <f aca="false">IF(ISERROR(ROUND(MEDIAN(AU302:BT302),0)),0,ROUND(MEDIAN(AU302:BT302),0))</f>
        <v>1</v>
      </c>
      <c r="CA302" s="12" t="n">
        <f aca="false">IF(ISERROR(ROUND(MEDIAN(U302:BT302),0)),0,ROUND(MEDIAN(U302:BT302),0))</f>
        <v>2</v>
      </c>
      <c r="CB302" s="12" t="n">
        <f aca="false">IF(ISERROR(ROUND(MEDIAN(BT302),0)),0,ROUND(MEDIAN(BT302),0))</f>
        <v>0</v>
      </c>
      <c r="CC302" s="12" t="n">
        <f aca="false">IF(ISERROR(ROUND(MEDIAN(D302:BT302),0)),0,ROUND(MEDIAN(D302:BT302),0))</f>
        <v>1</v>
      </c>
      <c r="CD302" s="12" t="n">
        <f aca="false">MAX(D302:BT302)</f>
        <v>7</v>
      </c>
      <c r="CE302" s="7" t="n">
        <f aca="false">COUNTA(BQ302:BT302)</f>
        <v>1</v>
      </c>
      <c r="CF302" s="7" t="n">
        <f aca="false">COUNTA(BM302:BT302)</f>
        <v>3</v>
      </c>
      <c r="CG302" s="7" t="n">
        <f aca="false">COUNTA(BI302:BT302)</f>
        <v>5</v>
      </c>
      <c r="CH302" s="7" t="n">
        <f aca="false">COUNTA(BE302:BT302)</f>
        <v>6</v>
      </c>
      <c r="CI302" s="7" t="n">
        <f aca="false">COUNTA(AU302:BT302)</f>
        <v>7</v>
      </c>
      <c r="CJ302" s="7" t="n">
        <f aca="false">COUNTA(U302:BT302)</f>
        <v>14</v>
      </c>
      <c r="CK302" s="7" t="n">
        <f aca="false">COUNTA(BT302)</f>
        <v>0</v>
      </c>
      <c r="CL302" s="7" t="n">
        <f aca="false">COUNTA(D302:BT302)</f>
        <v>19</v>
      </c>
      <c r="CM302" s="17" t="str">
        <f aca="false">IF(AND(CE302=1,CJ302=1,BT302&lt;&gt;""),"5.ENTRANTES",IF(AND(CE302&lt;&gt;0,CE302/RIGHT($CE$1,1)&gt;=0.5,CJ302=CE302),"4.RECENTES",IF(AND(CF302&lt;&gt;0,CF302/RIGHT($CF$1,1)&gt;=0.5,CJ302=CF302),"4.RECENTES",IF(AND(CG302&lt;&gt;0,CG302/RIGHT($CG$1,2)&gt;=0.5,CJ302=CG302),"4.RECENTES",IF(AND(CH302&lt;&gt;0,CH302/RIGHT($CH$1,2)&gt;=0.5,CJ302=CH302),"4.RECENTES",IF(AND(CI302&lt;&gt;0,CI302/RIGHT($CI$1,2)&gt;=0.5,CJ302=CI302),"4.RECENTES",IF(AND(CE302=0,CF302=0,CG302=0,CH302=0),"3.INATIVOS",IF(CJ302/RIGHT($CJ$1,2)&lt;0.5,"2.INTERMITENTES","1.ORDINÁRIOS"))))))))</f>
        <v>2.INTERMITENTES</v>
      </c>
      <c r="CN302" s="18" t="n">
        <f aca="false">IF(AND(CE302=1,CJ302=1,BT302&lt;&gt;""),BT302,IF(AND(CE302&lt;&gt;0,CE302/RIGHT($CE$1,1)&gt;=0.5,CJ302=CE302),MAX(BV302:CC302),IF(AND(CF302&lt;&gt;0,CF302/RIGHT($CF$1,1)&gt;=0.5,CJ302=CF302),MAX(BV302:CC302),IF(AND(CG302&lt;&gt;0,CG302/RIGHT($CG$1,2)&gt;=0.5,CJ302=CG302),MAX(BV302:CC302),IF(AND(CH302&lt;&gt;0,CH302/RIGHT($CH$1,2)&gt;=0.5,CJ302=CH302),MAX(BV302:CC302),IF(AND(CI302&lt;&gt;0,CI302/RIGHT($CI$1,2)&gt;=0.5,CJ302=CI302),MAX(BV302:CC302),IF(AND(CE302=0,CF302=0,CG302=0,CH302=0),0,IF(CJ302/RIGHT($CJ$1,2)&lt;0.5,ROUND(BU302/RIGHT($CJ$1,2),0),MAX(BV302:CC302)))))))))</f>
        <v>1</v>
      </c>
      <c r="CO302" s="18" t="n">
        <f aca="false">CD302</f>
        <v>7</v>
      </c>
      <c r="CP302" s="15" t="n">
        <v>14</v>
      </c>
      <c r="CQ302" s="16" t="n">
        <f aca="false">IF((CO302-CP302)&lt;0,0,(CO302-CP302))</f>
        <v>0</v>
      </c>
      <c r="CR302" s="7"/>
    </row>
    <row r="303" customFormat="false" ht="12.75" hidden="false" customHeight="true" outlineLevel="0" collapsed="false">
      <c r="A303" s="7" t="s">
        <v>388</v>
      </c>
      <c r="B303" s="7" t="s">
        <v>402</v>
      </c>
      <c r="C303" s="8" t="n">
        <v>5000047</v>
      </c>
      <c r="D303" s="9"/>
      <c r="E303" s="9" t="n">
        <v>4</v>
      </c>
      <c r="F303" s="9" t="n">
        <v>1</v>
      </c>
      <c r="G303" s="9" t="n">
        <v>1</v>
      </c>
      <c r="H303" s="9"/>
      <c r="I303" s="9"/>
      <c r="J303" s="9" t="n">
        <v>4</v>
      </c>
      <c r="K303" s="9" t="n">
        <v>6</v>
      </c>
      <c r="L303" s="9"/>
      <c r="M303" s="9" t="n">
        <v>5</v>
      </c>
      <c r="N303" s="9"/>
      <c r="O303" s="9"/>
      <c r="P303" s="9"/>
      <c r="Q303" s="9"/>
      <c r="R303" s="9" t="n">
        <v>4</v>
      </c>
      <c r="S303" s="9"/>
      <c r="T303" s="9" t="n">
        <v>1</v>
      </c>
      <c r="U303" s="9"/>
      <c r="V303" s="9" t="n">
        <v>3</v>
      </c>
      <c r="W303" s="9" t="n">
        <v>3</v>
      </c>
      <c r="X303" s="9"/>
      <c r="Y303" s="9" t="n">
        <v>7</v>
      </c>
      <c r="Z303" s="9" t="n">
        <v>4</v>
      </c>
      <c r="AA303" s="9"/>
      <c r="AB303" s="9" t="n">
        <v>3</v>
      </c>
      <c r="AC303" s="9" t="n">
        <v>6</v>
      </c>
      <c r="AD303" s="9" t="n">
        <v>4</v>
      </c>
      <c r="AE303" s="9"/>
      <c r="AF303" s="9" t="n">
        <v>8</v>
      </c>
      <c r="AG303" s="9"/>
      <c r="AH303" s="9" t="n">
        <v>5</v>
      </c>
      <c r="AI303" s="9" t="n">
        <v>7</v>
      </c>
      <c r="AJ303" s="9" t="n">
        <v>1</v>
      </c>
      <c r="AK303" s="9" t="n">
        <v>7</v>
      </c>
      <c r="AL303" s="9"/>
      <c r="AM303" s="9" t="n">
        <v>4</v>
      </c>
      <c r="AN303" s="9"/>
      <c r="AO303" s="9"/>
      <c r="AP303" s="9" t="n">
        <v>3</v>
      </c>
      <c r="AQ303" s="9" t="n">
        <v>3</v>
      </c>
      <c r="AR303" s="9" t="n">
        <v>2</v>
      </c>
      <c r="AS303" s="9" t="n">
        <v>6</v>
      </c>
      <c r="AT303" s="9" t="n">
        <v>7</v>
      </c>
      <c r="AU303" s="9"/>
      <c r="AV303" s="9" t="n">
        <v>3</v>
      </c>
      <c r="AW303" s="9" t="n">
        <v>4</v>
      </c>
      <c r="AX303" s="9" t="n">
        <v>2</v>
      </c>
      <c r="AY303" s="9" t="n">
        <v>8</v>
      </c>
      <c r="AZ303" s="9"/>
      <c r="BA303" s="9" t="n">
        <v>8</v>
      </c>
      <c r="BB303" s="9"/>
      <c r="BC303" s="9" t="n">
        <v>5</v>
      </c>
      <c r="BD303" s="9" t="n">
        <v>3</v>
      </c>
      <c r="BE303" s="9"/>
      <c r="BF303" s="9" t="n">
        <v>22</v>
      </c>
      <c r="BG303" s="9" t="n">
        <v>15</v>
      </c>
      <c r="BH303" s="9"/>
      <c r="BI303" s="9"/>
      <c r="BJ303" s="9"/>
      <c r="BK303" s="9" t="n">
        <v>13</v>
      </c>
      <c r="BL303" s="9" t="n">
        <v>3</v>
      </c>
      <c r="BM303" s="9" t="n">
        <v>1</v>
      </c>
      <c r="BN303" s="9"/>
      <c r="BO303" s="9" t="n">
        <v>1</v>
      </c>
      <c r="BP303" s="9" t="n">
        <v>3</v>
      </c>
      <c r="BQ303" s="9"/>
      <c r="BR303" s="9"/>
      <c r="BS303" s="9"/>
      <c r="BT303" s="9"/>
      <c r="BU303" s="10" t="n">
        <v>200</v>
      </c>
      <c r="BV303" s="11" t="n">
        <f aca="false">IF(ISERROR(ROUND(MEDIAN(BQ303:BT303),0)),0,ROUND(MEDIAN(BQ303:BT303),0))</f>
        <v>0</v>
      </c>
      <c r="BW303" s="11" t="n">
        <f aca="false">IF(ISERROR(ROUND(MEDIAN(BM303:BT303),0)),0,ROUND(MEDIAN(BM303:BT303),0))</f>
        <v>1</v>
      </c>
      <c r="BX303" s="11" t="n">
        <f aca="false">IF(ISERROR(ROUND(MEDIAN(BI303:BT303),0)),0,ROUND(MEDIAN(BI303:BT303),0))</f>
        <v>3</v>
      </c>
      <c r="BY303" s="11" t="n">
        <f aca="false">IF(ISERROR(ROUND(MEDIAN(BE303:BT303),0)),0,ROUND(MEDIAN(BE303:BT303),0))</f>
        <v>3</v>
      </c>
      <c r="BZ303" s="11" t="n">
        <f aca="false">IF(ISERROR(ROUND(MEDIAN(AU303:BT303),0)),0,ROUND(MEDIAN(AU303:BT303),0))</f>
        <v>4</v>
      </c>
      <c r="CA303" s="12" t="n">
        <f aca="false">IF(ISERROR(ROUND(MEDIAN(U303:BT303),0)),0,ROUND(MEDIAN(U303:BT303),0))</f>
        <v>4</v>
      </c>
      <c r="CB303" s="12" t="n">
        <f aca="false">IF(ISERROR(ROUND(MEDIAN(BT303),0)),0,ROUND(MEDIAN(BT303),0))</f>
        <v>0</v>
      </c>
      <c r="CC303" s="12" t="n">
        <f aca="false">IF(ISERROR(ROUND(MEDIAN(D303:BT303),0)),0,ROUND(MEDIAN(D303:BT303),0))</f>
        <v>4</v>
      </c>
      <c r="CD303" s="12" t="n">
        <f aca="false">MAX(D303:BT303)</f>
        <v>22</v>
      </c>
      <c r="CE303" s="7" t="n">
        <f aca="false">COUNTA(BQ303:BT303)</f>
        <v>0</v>
      </c>
      <c r="CF303" s="7" t="n">
        <f aca="false">COUNTA(BM303:BT303)</f>
        <v>3</v>
      </c>
      <c r="CG303" s="7" t="n">
        <f aca="false">COUNTA(BI303:BT303)</f>
        <v>5</v>
      </c>
      <c r="CH303" s="7" t="n">
        <f aca="false">COUNTA(BE303:BT303)</f>
        <v>7</v>
      </c>
      <c r="CI303" s="7" t="n">
        <f aca="false">COUNTA(AU303:BT303)</f>
        <v>14</v>
      </c>
      <c r="CJ303" s="7" t="n">
        <f aca="false">COUNTA(U303:BT303)</f>
        <v>32</v>
      </c>
      <c r="CK303" s="7" t="n">
        <f aca="false">COUNTA(BT303)</f>
        <v>0</v>
      </c>
      <c r="CL303" s="7" t="n">
        <f aca="false">COUNTA(D303:BT303)</f>
        <v>40</v>
      </c>
      <c r="CM303" s="13" t="str">
        <f aca="false">IF(AND(CE303=1,CJ303=1,BT303&lt;&gt;""),"5.ENTRANTES",IF(AND(CE303&lt;&gt;0,CE303/RIGHT($CE$1,1)&gt;=0.5,CJ303=CE303),"4.RECENTES",IF(AND(CF303&lt;&gt;0,CF303/RIGHT($CF$1,1)&gt;=0.5,CJ303=CF303),"4.RECENTES",IF(AND(CG303&lt;&gt;0,CG303/RIGHT($CG$1,2)&gt;=0.5,CJ303=CG303),"4.RECENTES",IF(AND(CH303&lt;&gt;0,CH303/RIGHT($CH$1,2)&gt;=0.5,CJ303=CH303),"4.RECENTES",IF(AND(CI303&lt;&gt;0,CI303/RIGHT($CI$1,2)&gt;=0.5,CJ303=CI303),"4.RECENTES",IF(AND(CE303=0,CF303=0,CG303=0,CH303=0),"3.INATIVOS",IF(CJ303/RIGHT($CJ$1,2)&lt;0.5,"2.INTERMITENTES","1.ORDINÁRIOS"))))))))</f>
        <v>1.ORDINÁRIOS</v>
      </c>
      <c r="CN303" s="14" t="n">
        <f aca="false">IF(AND(CE303=1,CJ303=1,BT303&lt;&gt;""),BT303,IF(AND(CE303&lt;&gt;0,CE303/RIGHT($CE$1,1)&gt;=0.5,CJ303=CE303),MAX(BV303:CC303),IF(AND(CF303&lt;&gt;0,CF303/RIGHT($CF$1,1)&gt;=0.5,CJ303=CF303),MAX(BV303:CC303),IF(AND(CG303&lt;&gt;0,CG303/RIGHT($CG$1,2)&gt;=0.5,CJ303=CG303),MAX(BV303:CC303),IF(AND(CH303&lt;&gt;0,CH303/RIGHT($CH$1,2)&gt;=0.5,CJ303=CH303),MAX(BV303:CC303),IF(AND(CI303&lt;&gt;0,CI303/RIGHT($CI$1,2)&gt;=0.5,CJ303=CI303),MAX(BV303:CC303),IF(AND(CE303=0,CF303=0,CG303=0,CH303=0),0,IF(CJ303/RIGHT($CJ$1,2)&lt;0.5,ROUND(BU303/RIGHT($CJ$1,2),0),MAX(BV303:CC303)))))))))</f>
        <v>4</v>
      </c>
      <c r="CO303" s="14" t="n">
        <f aca="false">CN303*3</f>
        <v>12</v>
      </c>
      <c r="CP303" s="15" t="n">
        <v>40</v>
      </c>
      <c r="CQ303" s="16" t="n">
        <f aca="false">IF((CO303-CP303)&lt;0,0,(CO303-CP303))</f>
        <v>0</v>
      </c>
      <c r="CR303" s="7"/>
    </row>
    <row r="304" customFormat="false" ht="12.75" hidden="false" customHeight="true" outlineLevel="0" collapsed="false">
      <c r="A304" s="7" t="s">
        <v>388</v>
      </c>
      <c r="B304" s="7" t="s">
        <v>403</v>
      </c>
      <c r="C304" s="8" t="n">
        <v>5000046</v>
      </c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 t="n">
        <v>1</v>
      </c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 t="n">
        <v>16</v>
      </c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 t="n">
        <v>2</v>
      </c>
      <c r="AS304" s="9"/>
      <c r="AT304" s="9"/>
      <c r="AU304" s="9"/>
      <c r="AV304" s="9"/>
      <c r="AW304" s="9"/>
      <c r="AX304" s="9"/>
      <c r="AY304" s="9"/>
      <c r="AZ304" s="9"/>
      <c r="BA304" s="9"/>
      <c r="BB304" s="9"/>
      <c r="BC304" s="9"/>
      <c r="BD304" s="9"/>
      <c r="BE304" s="9"/>
      <c r="BF304" s="9"/>
      <c r="BG304" s="9"/>
      <c r="BH304" s="9"/>
      <c r="BI304" s="9"/>
      <c r="BJ304" s="9"/>
      <c r="BK304" s="9"/>
      <c r="BL304" s="9"/>
      <c r="BM304" s="9"/>
      <c r="BN304" s="9"/>
      <c r="BO304" s="9"/>
      <c r="BP304" s="9" t="n">
        <v>1</v>
      </c>
      <c r="BQ304" s="9"/>
      <c r="BR304" s="9"/>
      <c r="BS304" s="9"/>
      <c r="BT304" s="9"/>
      <c r="BU304" s="10" t="n">
        <v>20</v>
      </c>
      <c r="BV304" s="11" t="n">
        <f aca="false">IF(ISERROR(ROUND(MEDIAN(BQ304:BT304),0)),0,ROUND(MEDIAN(BQ304:BT304),0))</f>
        <v>0</v>
      </c>
      <c r="BW304" s="11" t="n">
        <f aca="false">IF(ISERROR(ROUND(MEDIAN(BM304:BT304),0)),0,ROUND(MEDIAN(BM304:BT304),0))</f>
        <v>1</v>
      </c>
      <c r="BX304" s="11" t="n">
        <f aca="false">IF(ISERROR(ROUND(MEDIAN(BI304:BT304),0)),0,ROUND(MEDIAN(BI304:BT304),0))</f>
        <v>1</v>
      </c>
      <c r="BY304" s="11" t="n">
        <f aca="false">IF(ISERROR(ROUND(MEDIAN(BE304:BT304),0)),0,ROUND(MEDIAN(BE304:BT304),0))</f>
        <v>1</v>
      </c>
      <c r="BZ304" s="11" t="n">
        <f aca="false">IF(ISERROR(ROUND(MEDIAN(AU304:BT304),0)),0,ROUND(MEDIAN(AU304:BT304),0))</f>
        <v>1</v>
      </c>
      <c r="CA304" s="12" t="n">
        <f aca="false">IF(ISERROR(ROUND(MEDIAN(U304:BT304),0)),0,ROUND(MEDIAN(U304:BT304),0))</f>
        <v>2</v>
      </c>
      <c r="CB304" s="12" t="n">
        <f aca="false">IF(ISERROR(ROUND(MEDIAN(BT304),0)),0,ROUND(MEDIAN(BT304),0))</f>
        <v>0</v>
      </c>
      <c r="CC304" s="12" t="n">
        <f aca="false">IF(ISERROR(ROUND(MEDIAN(D304:BT304),0)),0,ROUND(MEDIAN(D304:BT304),0))</f>
        <v>2</v>
      </c>
      <c r="CD304" s="12" t="n">
        <f aca="false">MAX(D304:BT304)</f>
        <v>16</v>
      </c>
      <c r="CE304" s="7" t="n">
        <f aca="false">COUNTA(BQ304:BT304)</f>
        <v>0</v>
      </c>
      <c r="CF304" s="7" t="n">
        <f aca="false">COUNTA(BM304:BT304)</f>
        <v>1</v>
      </c>
      <c r="CG304" s="7" t="n">
        <f aca="false">COUNTA(BI304:BT304)</f>
        <v>1</v>
      </c>
      <c r="CH304" s="7" t="n">
        <f aca="false">COUNTA(BE304:BT304)</f>
        <v>1</v>
      </c>
      <c r="CI304" s="7" t="n">
        <f aca="false">COUNTA(AU304:BT304)</f>
        <v>1</v>
      </c>
      <c r="CJ304" s="7" t="n">
        <f aca="false">COUNTA(U304:BT304)</f>
        <v>3</v>
      </c>
      <c r="CK304" s="7" t="n">
        <f aca="false">COUNTA(BT304)</f>
        <v>0</v>
      </c>
      <c r="CL304" s="7" t="n">
        <f aca="false">COUNTA(D304:BT304)</f>
        <v>4</v>
      </c>
      <c r="CM304" s="17" t="str">
        <f aca="false">IF(AND(CE304=1,CJ304=1,BT304&lt;&gt;""),"5.ENTRANTES",IF(AND(CE304&lt;&gt;0,CE304/RIGHT($CE$1,1)&gt;=0.5,CJ304=CE304),"4.RECENTES",IF(AND(CF304&lt;&gt;0,CF304/RIGHT($CF$1,1)&gt;=0.5,CJ304=CF304),"4.RECENTES",IF(AND(CG304&lt;&gt;0,CG304/RIGHT($CG$1,2)&gt;=0.5,CJ304=CG304),"4.RECENTES",IF(AND(CH304&lt;&gt;0,CH304/RIGHT($CH$1,2)&gt;=0.5,CJ304=CH304),"4.RECENTES",IF(AND(CI304&lt;&gt;0,CI304/RIGHT($CI$1,2)&gt;=0.5,CJ304=CI304),"4.RECENTES",IF(AND(CE304=0,CF304=0,CG304=0,CH304=0),"3.INATIVOS",IF(CJ304/RIGHT($CJ$1,2)&lt;0.5,"2.INTERMITENTES","1.ORDINÁRIOS"))))))))</f>
        <v>2.INTERMITENTES</v>
      </c>
      <c r="CN304" s="18" t="n">
        <f aca="false">IF(AND(CE304=1,CJ304=1,BT304&lt;&gt;""),BT304,IF(AND(CE304&lt;&gt;0,CE304/RIGHT($CE$1,1)&gt;=0.5,CJ304=CE304),MAX(BV304:CC304),IF(AND(CF304&lt;&gt;0,CF304/RIGHT($CF$1,1)&gt;=0.5,CJ304=CF304),MAX(BV304:CC304),IF(AND(CG304&lt;&gt;0,CG304/RIGHT($CG$1,2)&gt;=0.5,CJ304=CG304),MAX(BV304:CC304),IF(AND(CH304&lt;&gt;0,CH304/RIGHT($CH$1,2)&gt;=0.5,CJ304=CH304),MAX(BV304:CC304),IF(AND(CI304&lt;&gt;0,CI304/RIGHT($CI$1,2)&gt;=0.5,CJ304=CI304),MAX(BV304:CC304),IF(AND(CE304=0,CF304=0,CG304=0,CH304=0),0,IF(CJ304/RIGHT($CJ$1,2)&lt;0.5,ROUND(BU304/RIGHT($CJ$1,2),0),MAX(BV304:CC304)))))))))</f>
        <v>0</v>
      </c>
      <c r="CO304" s="18" t="n">
        <f aca="false">CD304</f>
        <v>16</v>
      </c>
      <c r="CP304" s="15" t="n">
        <v>39</v>
      </c>
      <c r="CQ304" s="16" t="n">
        <f aca="false">IF((CO304-CP304)&lt;0,0,(CO304-CP304))</f>
        <v>0</v>
      </c>
      <c r="CR304" s="7"/>
    </row>
    <row r="305" customFormat="false" ht="12.75" hidden="false" customHeight="true" outlineLevel="0" collapsed="false">
      <c r="A305" s="7" t="s">
        <v>388</v>
      </c>
      <c r="B305" s="7" t="s">
        <v>404</v>
      </c>
      <c r="C305" s="8" t="n">
        <v>5000056</v>
      </c>
      <c r="D305" s="9"/>
      <c r="E305" s="9"/>
      <c r="F305" s="9"/>
      <c r="G305" s="9"/>
      <c r="H305" s="9"/>
      <c r="I305" s="9" t="n">
        <v>2</v>
      </c>
      <c r="J305" s="9" t="n">
        <v>2</v>
      </c>
      <c r="K305" s="9"/>
      <c r="L305" s="9" t="n">
        <v>2</v>
      </c>
      <c r="M305" s="9" t="n">
        <v>3</v>
      </c>
      <c r="N305" s="9"/>
      <c r="O305" s="9" t="n">
        <v>5</v>
      </c>
      <c r="P305" s="9" t="n">
        <v>2</v>
      </c>
      <c r="Q305" s="9"/>
      <c r="R305" s="9"/>
      <c r="S305" s="9"/>
      <c r="T305" s="9" t="n">
        <v>1</v>
      </c>
      <c r="U305" s="9" t="n">
        <v>2</v>
      </c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 t="n">
        <v>3</v>
      </c>
      <c r="AG305" s="9"/>
      <c r="AH305" s="9" t="n">
        <v>1</v>
      </c>
      <c r="AI305" s="9" t="n">
        <v>10</v>
      </c>
      <c r="AJ305" s="9"/>
      <c r="AK305" s="9"/>
      <c r="AL305" s="9" t="n">
        <v>6</v>
      </c>
      <c r="AM305" s="9"/>
      <c r="AN305" s="9"/>
      <c r="AO305" s="9"/>
      <c r="AP305" s="9"/>
      <c r="AQ305" s="9"/>
      <c r="AR305" s="9"/>
      <c r="AS305" s="9"/>
      <c r="AT305" s="9" t="n">
        <v>14</v>
      </c>
      <c r="AU305" s="9"/>
      <c r="AV305" s="9"/>
      <c r="AW305" s="9"/>
      <c r="AX305" s="9"/>
      <c r="AY305" s="9"/>
      <c r="AZ305" s="9" t="n">
        <v>3</v>
      </c>
      <c r="BA305" s="9" t="n">
        <v>3</v>
      </c>
      <c r="BB305" s="9"/>
      <c r="BC305" s="9"/>
      <c r="BD305" s="9"/>
      <c r="BE305" s="9"/>
      <c r="BF305" s="9" t="n">
        <v>1</v>
      </c>
      <c r="BG305" s="9"/>
      <c r="BH305" s="9"/>
      <c r="BI305" s="9"/>
      <c r="BJ305" s="9" t="n">
        <v>6</v>
      </c>
      <c r="BK305" s="9"/>
      <c r="BL305" s="9"/>
      <c r="BM305" s="9"/>
      <c r="BN305" s="9" t="n">
        <v>2</v>
      </c>
      <c r="BO305" s="9"/>
      <c r="BP305" s="9" t="n">
        <v>2</v>
      </c>
      <c r="BQ305" s="9"/>
      <c r="BR305" s="9"/>
      <c r="BS305" s="9" t="n">
        <v>1</v>
      </c>
      <c r="BT305" s="9"/>
      <c r="BU305" s="10" t="n">
        <v>71</v>
      </c>
      <c r="BV305" s="11" t="n">
        <f aca="false">IF(ISERROR(ROUND(MEDIAN(BQ305:BT305),0)),0,ROUND(MEDIAN(BQ305:BT305),0))</f>
        <v>1</v>
      </c>
      <c r="BW305" s="11" t="n">
        <f aca="false">IF(ISERROR(ROUND(MEDIAN(BM305:BT305),0)),0,ROUND(MEDIAN(BM305:BT305),0))</f>
        <v>2</v>
      </c>
      <c r="BX305" s="11" t="n">
        <f aca="false">IF(ISERROR(ROUND(MEDIAN(BI305:BT305),0)),0,ROUND(MEDIAN(BI305:BT305),0))</f>
        <v>2</v>
      </c>
      <c r="BY305" s="11" t="n">
        <f aca="false">IF(ISERROR(ROUND(MEDIAN(BE305:BT305),0)),0,ROUND(MEDIAN(BE305:BT305),0))</f>
        <v>2</v>
      </c>
      <c r="BZ305" s="11" t="n">
        <f aca="false">IF(ISERROR(ROUND(MEDIAN(AU305:BT305),0)),0,ROUND(MEDIAN(AU305:BT305),0))</f>
        <v>2</v>
      </c>
      <c r="CA305" s="12" t="n">
        <f aca="false">IF(ISERROR(ROUND(MEDIAN(U305:BT305),0)),0,ROUND(MEDIAN(U305:BT305),0))</f>
        <v>3</v>
      </c>
      <c r="CB305" s="12" t="n">
        <f aca="false">IF(ISERROR(ROUND(MEDIAN(BT305),0)),0,ROUND(MEDIAN(BT305),0))</f>
        <v>0</v>
      </c>
      <c r="CC305" s="12" t="n">
        <f aca="false">IF(ISERROR(ROUND(MEDIAN(D305:BT305),0)),0,ROUND(MEDIAN(D305:BT305),0))</f>
        <v>2</v>
      </c>
      <c r="CD305" s="12" t="n">
        <f aca="false">MAX(D305:BT305)</f>
        <v>14</v>
      </c>
      <c r="CE305" s="7" t="n">
        <f aca="false">COUNTA(BQ305:BT305)</f>
        <v>1</v>
      </c>
      <c r="CF305" s="7" t="n">
        <f aca="false">COUNTA(BM305:BT305)</f>
        <v>3</v>
      </c>
      <c r="CG305" s="7" t="n">
        <f aca="false">COUNTA(BI305:BT305)</f>
        <v>4</v>
      </c>
      <c r="CH305" s="7" t="n">
        <f aca="false">COUNTA(BE305:BT305)</f>
        <v>5</v>
      </c>
      <c r="CI305" s="7" t="n">
        <f aca="false">COUNTA(AU305:BT305)</f>
        <v>7</v>
      </c>
      <c r="CJ305" s="7" t="n">
        <f aca="false">COUNTA(U305:BT305)</f>
        <v>13</v>
      </c>
      <c r="CK305" s="7" t="n">
        <f aca="false">COUNTA(BT305)</f>
        <v>0</v>
      </c>
      <c r="CL305" s="7" t="n">
        <f aca="false">COUNTA(D305:BT305)</f>
        <v>20</v>
      </c>
      <c r="CM305" s="17" t="str">
        <f aca="false">IF(AND(CE305=1,CJ305=1,BT305&lt;&gt;""),"5.ENTRANTES",IF(AND(CE305&lt;&gt;0,CE305/RIGHT($CE$1,1)&gt;=0.5,CJ305=CE305),"4.RECENTES",IF(AND(CF305&lt;&gt;0,CF305/RIGHT($CF$1,1)&gt;=0.5,CJ305=CF305),"4.RECENTES",IF(AND(CG305&lt;&gt;0,CG305/RIGHT($CG$1,2)&gt;=0.5,CJ305=CG305),"4.RECENTES",IF(AND(CH305&lt;&gt;0,CH305/RIGHT($CH$1,2)&gt;=0.5,CJ305=CH305),"4.RECENTES",IF(AND(CI305&lt;&gt;0,CI305/RIGHT($CI$1,2)&gt;=0.5,CJ305=CI305),"4.RECENTES",IF(AND(CE305=0,CF305=0,CG305=0,CH305=0),"3.INATIVOS",IF(CJ305/RIGHT($CJ$1,2)&lt;0.5,"2.INTERMITENTES","1.ORDINÁRIOS"))))))))</f>
        <v>2.INTERMITENTES</v>
      </c>
      <c r="CN305" s="18" t="n">
        <f aca="false">IF(AND(CE305=1,CJ305=1,BT305&lt;&gt;""),BT305,IF(AND(CE305&lt;&gt;0,CE305/RIGHT($CE$1,1)&gt;=0.5,CJ305=CE305),MAX(BV305:CC305),IF(AND(CF305&lt;&gt;0,CF305/RIGHT($CF$1,1)&gt;=0.5,CJ305=CF305),MAX(BV305:CC305),IF(AND(CG305&lt;&gt;0,CG305/RIGHT($CG$1,2)&gt;=0.5,CJ305=CG305),MAX(BV305:CC305),IF(AND(CH305&lt;&gt;0,CH305/RIGHT($CH$1,2)&gt;=0.5,CJ305=CH305),MAX(BV305:CC305),IF(AND(CI305&lt;&gt;0,CI305/RIGHT($CI$1,2)&gt;=0.5,CJ305=CI305),MAX(BV305:CC305),IF(AND(CE305=0,CF305=0,CG305=0,CH305=0),0,IF(CJ305/RIGHT($CJ$1,2)&lt;0.5,ROUND(BU305/RIGHT($CJ$1,2),0),MAX(BV305:CC305)))))))))</f>
        <v>1</v>
      </c>
      <c r="CO305" s="18" t="n">
        <f aca="false">CD305</f>
        <v>14</v>
      </c>
      <c r="CP305" s="15" t="n">
        <v>9</v>
      </c>
      <c r="CQ305" s="16" t="n">
        <f aca="false">IF((CO305-CP305)&lt;0,0,(CO305-CP305))</f>
        <v>5</v>
      </c>
      <c r="CR305" s="7"/>
    </row>
    <row r="306" customFormat="false" ht="12.75" hidden="false" customHeight="true" outlineLevel="0" collapsed="false">
      <c r="A306" s="7" t="s">
        <v>388</v>
      </c>
      <c r="B306" s="7" t="s">
        <v>405</v>
      </c>
      <c r="C306" s="8" t="n">
        <v>5000060</v>
      </c>
      <c r="D306" s="9"/>
      <c r="E306" s="9"/>
      <c r="F306" s="9"/>
      <c r="G306" s="9"/>
      <c r="H306" s="9"/>
      <c r="I306" s="9"/>
      <c r="J306" s="9"/>
      <c r="K306" s="9"/>
      <c r="L306" s="9" t="n">
        <v>1</v>
      </c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 t="n">
        <v>2</v>
      </c>
      <c r="AH306" s="9"/>
      <c r="AI306" s="9"/>
      <c r="AJ306" s="9" t="n">
        <v>1</v>
      </c>
      <c r="AK306" s="9"/>
      <c r="AL306" s="9" t="n">
        <v>1</v>
      </c>
      <c r="AM306" s="9"/>
      <c r="AN306" s="9"/>
      <c r="AO306" s="9" t="n">
        <v>1</v>
      </c>
      <c r="AP306" s="9"/>
      <c r="AQ306" s="9"/>
      <c r="AR306" s="9"/>
      <c r="AS306" s="9"/>
      <c r="AT306" s="9"/>
      <c r="AU306" s="9"/>
      <c r="AV306" s="9"/>
      <c r="AW306" s="9"/>
      <c r="AX306" s="9"/>
      <c r="AY306" s="9"/>
      <c r="AZ306" s="9"/>
      <c r="BA306" s="9" t="n">
        <v>1</v>
      </c>
      <c r="BB306" s="9"/>
      <c r="BC306" s="9"/>
      <c r="BD306" s="9"/>
      <c r="BE306" s="9"/>
      <c r="BF306" s="9"/>
      <c r="BG306" s="9"/>
      <c r="BH306" s="9"/>
      <c r="BI306" s="9"/>
      <c r="BJ306" s="9" t="n">
        <v>1</v>
      </c>
      <c r="BK306" s="9"/>
      <c r="BL306" s="9"/>
      <c r="BM306" s="9"/>
      <c r="BN306" s="9" t="n">
        <v>1</v>
      </c>
      <c r="BO306" s="9"/>
      <c r="BP306" s="9"/>
      <c r="BQ306" s="9"/>
      <c r="BR306" s="9"/>
      <c r="BS306" s="9"/>
      <c r="BT306" s="9"/>
      <c r="BU306" s="10" t="n">
        <v>9</v>
      </c>
      <c r="BV306" s="11" t="n">
        <f aca="false">IF(ISERROR(ROUND(MEDIAN(BQ306:BT306),0)),0,ROUND(MEDIAN(BQ306:BT306),0))</f>
        <v>0</v>
      </c>
      <c r="BW306" s="11" t="n">
        <f aca="false">IF(ISERROR(ROUND(MEDIAN(BM306:BT306),0)),0,ROUND(MEDIAN(BM306:BT306),0))</f>
        <v>1</v>
      </c>
      <c r="BX306" s="11" t="n">
        <f aca="false">IF(ISERROR(ROUND(MEDIAN(BI306:BT306),0)),0,ROUND(MEDIAN(BI306:BT306),0))</f>
        <v>1</v>
      </c>
      <c r="BY306" s="11" t="n">
        <f aca="false">IF(ISERROR(ROUND(MEDIAN(BE306:BT306),0)),0,ROUND(MEDIAN(BE306:BT306),0))</f>
        <v>1</v>
      </c>
      <c r="BZ306" s="11" t="n">
        <f aca="false">IF(ISERROR(ROUND(MEDIAN(AU306:BT306),0)),0,ROUND(MEDIAN(AU306:BT306),0))</f>
        <v>1</v>
      </c>
      <c r="CA306" s="12" t="n">
        <f aca="false">IF(ISERROR(ROUND(MEDIAN(U306:BT306),0)),0,ROUND(MEDIAN(U306:BT306),0))</f>
        <v>1</v>
      </c>
      <c r="CB306" s="12" t="n">
        <f aca="false">IF(ISERROR(ROUND(MEDIAN(BT306),0)),0,ROUND(MEDIAN(BT306),0))</f>
        <v>0</v>
      </c>
      <c r="CC306" s="12" t="n">
        <f aca="false">IF(ISERROR(ROUND(MEDIAN(D306:BT306),0)),0,ROUND(MEDIAN(D306:BT306),0))</f>
        <v>1</v>
      </c>
      <c r="CD306" s="12" t="n">
        <f aca="false">MAX(D306:BT306)</f>
        <v>2</v>
      </c>
      <c r="CE306" s="7" t="n">
        <f aca="false">COUNTA(BQ306:BT306)</f>
        <v>0</v>
      </c>
      <c r="CF306" s="7" t="n">
        <f aca="false">COUNTA(BM306:BT306)</f>
        <v>1</v>
      </c>
      <c r="CG306" s="7" t="n">
        <f aca="false">COUNTA(BI306:BT306)</f>
        <v>2</v>
      </c>
      <c r="CH306" s="7" t="n">
        <f aca="false">COUNTA(BE306:BT306)</f>
        <v>2</v>
      </c>
      <c r="CI306" s="7" t="n">
        <f aca="false">COUNTA(AU306:BT306)</f>
        <v>3</v>
      </c>
      <c r="CJ306" s="7" t="n">
        <f aca="false">COUNTA(U306:BT306)</f>
        <v>7</v>
      </c>
      <c r="CK306" s="7" t="n">
        <f aca="false">COUNTA(BT306)</f>
        <v>0</v>
      </c>
      <c r="CL306" s="7" t="n">
        <f aca="false">COUNTA(D306:BT306)</f>
        <v>8</v>
      </c>
      <c r="CM306" s="17" t="str">
        <f aca="false">IF(AND(CE306=1,CJ306=1,BT306&lt;&gt;""),"5.ENTRANTES",IF(AND(CE306&lt;&gt;0,CE306/RIGHT($CE$1,1)&gt;=0.5,CJ306=CE306),"4.RECENTES",IF(AND(CF306&lt;&gt;0,CF306/RIGHT($CF$1,1)&gt;=0.5,CJ306=CF306),"4.RECENTES",IF(AND(CG306&lt;&gt;0,CG306/RIGHT($CG$1,2)&gt;=0.5,CJ306=CG306),"4.RECENTES",IF(AND(CH306&lt;&gt;0,CH306/RIGHT($CH$1,2)&gt;=0.5,CJ306=CH306),"4.RECENTES",IF(AND(CI306&lt;&gt;0,CI306/RIGHT($CI$1,2)&gt;=0.5,CJ306=CI306),"4.RECENTES",IF(AND(CE306=0,CF306=0,CG306=0,CH306=0),"3.INATIVOS",IF(CJ306/RIGHT($CJ$1,2)&lt;0.5,"2.INTERMITENTES","1.ORDINÁRIOS"))))))))</f>
        <v>2.INTERMITENTES</v>
      </c>
      <c r="CN306" s="18" t="n">
        <f aca="false">IF(AND(CE306=1,CJ306=1,BT306&lt;&gt;""),BT306,IF(AND(CE306&lt;&gt;0,CE306/RIGHT($CE$1,1)&gt;=0.5,CJ306=CE306),MAX(BV306:CC306),IF(AND(CF306&lt;&gt;0,CF306/RIGHT($CF$1,1)&gt;=0.5,CJ306=CF306),MAX(BV306:CC306),IF(AND(CG306&lt;&gt;0,CG306/RIGHT($CG$1,2)&gt;=0.5,CJ306=CG306),MAX(BV306:CC306),IF(AND(CH306&lt;&gt;0,CH306/RIGHT($CH$1,2)&gt;=0.5,CJ306=CH306),MAX(BV306:CC306),IF(AND(CI306&lt;&gt;0,CI306/RIGHT($CI$1,2)&gt;=0.5,CJ306=CI306),MAX(BV306:CC306),IF(AND(CE306=0,CF306=0,CG306=0,CH306=0),0,IF(CJ306/RIGHT($CJ$1,2)&lt;0.5,ROUND(BU306/RIGHT($CJ$1,2),0),MAX(BV306:CC306)))))))))</f>
        <v>0</v>
      </c>
      <c r="CO306" s="18" t="n">
        <f aca="false">CD306</f>
        <v>2</v>
      </c>
      <c r="CP306" s="15" t="n">
        <v>20</v>
      </c>
      <c r="CQ306" s="16" t="n">
        <f aca="false">IF((CO306-CP306)&lt;0,0,(CO306-CP306))</f>
        <v>0</v>
      </c>
      <c r="CR306" s="7"/>
    </row>
    <row r="307" customFormat="false" ht="12.75" hidden="false" customHeight="true" outlineLevel="0" collapsed="false">
      <c r="A307" s="7" t="s">
        <v>388</v>
      </c>
      <c r="B307" s="7" t="s">
        <v>406</v>
      </c>
      <c r="C307" s="8" t="n">
        <v>1001001</v>
      </c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  <c r="AX307" s="9"/>
      <c r="AY307" s="9"/>
      <c r="AZ307" s="9"/>
      <c r="BA307" s="9" t="n">
        <v>1</v>
      </c>
      <c r="BB307" s="9"/>
      <c r="BC307" s="9"/>
      <c r="BD307" s="9"/>
      <c r="BE307" s="9"/>
      <c r="BF307" s="9"/>
      <c r="BG307" s="9"/>
      <c r="BH307" s="9"/>
      <c r="BI307" s="9"/>
      <c r="BJ307" s="9"/>
      <c r="BK307" s="9"/>
      <c r="BL307" s="9"/>
      <c r="BM307" s="9" t="n">
        <v>9</v>
      </c>
      <c r="BN307" s="9"/>
      <c r="BO307" s="9"/>
      <c r="BP307" s="9"/>
      <c r="BQ307" s="9"/>
      <c r="BR307" s="9"/>
      <c r="BS307" s="9"/>
      <c r="BT307" s="9"/>
      <c r="BU307" s="10" t="n">
        <v>10</v>
      </c>
      <c r="BV307" s="11" t="n">
        <f aca="false">IF(ISERROR(ROUND(MEDIAN(BQ307:BT307),0)),0,ROUND(MEDIAN(BQ307:BT307),0))</f>
        <v>0</v>
      </c>
      <c r="BW307" s="11" t="n">
        <f aca="false">IF(ISERROR(ROUND(MEDIAN(BM307:BT307),0)),0,ROUND(MEDIAN(BM307:BT307),0))</f>
        <v>9</v>
      </c>
      <c r="BX307" s="11" t="n">
        <f aca="false">IF(ISERROR(ROUND(MEDIAN(BI307:BT307),0)),0,ROUND(MEDIAN(BI307:BT307),0))</f>
        <v>9</v>
      </c>
      <c r="BY307" s="11" t="n">
        <f aca="false">IF(ISERROR(ROUND(MEDIAN(BE307:BT307),0)),0,ROUND(MEDIAN(BE307:BT307),0))</f>
        <v>9</v>
      </c>
      <c r="BZ307" s="11" t="n">
        <f aca="false">IF(ISERROR(ROUND(MEDIAN(AU307:BT307),0)),0,ROUND(MEDIAN(AU307:BT307),0))</f>
        <v>5</v>
      </c>
      <c r="CA307" s="12" t="n">
        <f aca="false">IF(ISERROR(ROUND(MEDIAN(U307:BT307),0)),0,ROUND(MEDIAN(U307:BT307),0))</f>
        <v>5</v>
      </c>
      <c r="CB307" s="12" t="n">
        <f aca="false">IF(ISERROR(ROUND(MEDIAN(BT307),0)),0,ROUND(MEDIAN(BT307),0))</f>
        <v>0</v>
      </c>
      <c r="CC307" s="12" t="n">
        <f aca="false">IF(ISERROR(ROUND(MEDIAN(D307:BT307),0)),0,ROUND(MEDIAN(D307:BT307),0))</f>
        <v>5</v>
      </c>
      <c r="CD307" s="12" t="n">
        <f aca="false">MAX(D307:BT307)</f>
        <v>9</v>
      </c>
      <c r="CE307" s="7" t="n">
        <f aca="false">COUNTA(BQ307:BT307)</f>
        <v>0</v>
      </c>
      <c r="CF307" s="7" t="n">
        <f aca="false">COUNTA(BM307:BT307)</f>
        <v>1</v>
      </c>
      <c r="CG307" s="7" t="n">
        <f aca="false">COUNTA(BI307:BT307)</f>
        <v>1</v>
      </c>
      <c r="CH307" s="7" t="n">
        <f aca="false">COUNTA(BE307:BT307)</f>
        <v>1</v>
      </c>
      <c r="CI307" s="7" t="n">
        <f aca="false">COUNTA(AU307:BT307)</f>
        <v>2</v>
      </c>
      <c r="CJ307" s="7" t="n">
        <f aca="false">COUNTA(U307:BT307)</f>
        <v>2</v>
      </c>
      <c r="CK307" s="7" t="n">
        <f aca="false">COUNTA(BT307)</f>
        <v>0</v>
      </c>
      <c r="CL307" s="7" t="n">
        <f aca="false">COUNTA(D307:BT307)</f>
        <v>2</v>
      </c>
      <c r="CM307" s="17" t="str">
        <f aca="false">IF(AND(CE307=1,CJ307=1,BT307&lt;&gt;""),"5.ENTRANTES",IF(AND(CE307&lt;&gt;0,CE307/RIGHT($CE$1,1)&gt;=0.5,CJ307=CE307),"4.RECENTES",IF(AND(CF307&lt;&gt;0,CF307/RIGHT($CF$1,1)&gt;=0.5,CJ307=CF307),"4.RECENTES",IF(AND(CG307&lt;&gt;0,CG307/RIGHT($CG$1,2)&gt;=0.5,CJ307=CG307),"4.RECENTES",IF(AND(CH307&lt;&gt;0,CH307/RIGHT($CH$1,2)&gt;=0.5,CJ307=CH307),"4.RECENTES",IF(AND(CI307&lt;&gt;0,CI307/RIGHT($CI$1,2)&gt;=0.5,CJ307=CI307),"4.RECENTES",IF(AND(CE307=0,CF307=0,CG307=0,CH307=0),"3.INATIVOS",IF(CJ307/RIGHT($CJ$1,2)&lt;0.5,"2.INTERMITENTES","1.ORDINÁRIOS"))))))))</f>
        <v>2.INTERMITENTES</v>
      </c>
      <c r="CN307" s="18" t="n">
        <f aca="false">IF(AND(CE307=1,CJ307=1,BT307&lt;&gt;""),BT307,IF(AND(CE307&lt;&gt;0,CE307/RIGHT($CE$1,1)&gt;=0.5,CJ307=CE307),MAX(BV307:CC307),IF(AND(CF307&lt;&gt;0,CF307/RIGHT($CF$1,1)&gt;=0.5,CJ307=CF307),MAX(BV307:CC307),IF(AND(CG307&lt;&gt;0,CG307/RIGHT($CG$1,2)&gt;=0.5,CJ307=CG307),MAX(BV307:CC307),IF(AND(CH307&lt;&gt;0,CH307/RIGHT($CH$1,2)&gt;=0.5,CJ307=CH307),MAX(BV307:CC307),IF(AND(CI307&lt;&gt;0,CI307/RIGHT($CI$1,2)&gt;=0.5,CJ307=CI307),MAX(BV307:CC307),IF(AND(CE307=0,CF307=0,CG307=0,CH307=0),0,IF(CJ307/RIGHT($CJ$1,2)&lt;0.5,ROUND(BU307/RIGHT($CJ$1,2),0),MAX(BV307:CC307)))))))))</f>
        <v>0</v>
      </c>
      <c r="CO307" s="18" t="n">
        <f aca="false">CD307</f>
        <v>9</v>
      </c>
      <c r="CP307" s="15" t="n">
        <v>16</v>
      </c>
      <c r="CQ307" s="16" t="n">
        <f aca="false">IF((CO307-CP307)&lt;0,0,(CO307-CP307))</f>
        <v>0</v>
      </c>
      <c r="CR307" s="7"/>
    </row>
    <row r="308" customFormat="false" ht="12.75" hidden="false" customHeight="true" outlineLevel="0" collapsed="false">
      <c r="A308" s="7" t="s">
        <v>388</v>
      </c>
      <c r="B308" s="7" t="s">
        <v>407</v>
      </c>
      <c r="C308" s="8" t="n">
        <v>5000036</v>
      </c>
      <c r="D308" s="9"/>
      <c r="E308" s="9" t="n">
        <v>1</v>
      </c>
      <c r="F308" s="9" t="n">
        <v>1</v>
      </c>
      <c r="G308" s="9" t="n">
        <v>3</v>
      </c>
      <c r="H308" s="9" t="n">
        <v>3</v>
      </c>
      <c r="I308" s="9" t="n">
        <v>4</v>
      </c>
      <c r="J308" s="9" t="n">
        <v>3</v>
      </c>
      <c r="K308" s="9" t="n">
        <v>2</v>
      </c>
      <c r="L308" s="9" t="n">
        <v>2</v>
      </c>
      <c r="M308" s="9" t="n">
        <v>4</v>
      </c>
      <c r="N308" s="9"/>
      <c r="O308" s="9" t="n">
        <v>8</v>
      </c>
      <c r="P308" s="9" t="n">
        <v>21</v>
      </c>
      <c r="Q308" s="9" t="n">
        <v>1</v>
      </c>
      <c r="R308" s="9" t="n">
        <v>8</v>
      </c>
      <c r="S308" s="9" t="n">
        <v>4</v>
      </c>
      <c r="T308" s="9"/>
      <c r="U308" s="9" t="n">
        <v>1</v>
      </c>
      <c r="V308" s="9" t="n">
        <v>3</v>
      </c>
      <c r="W308" s="9" t="n">
        <v>6</v>
      </c>
      <c r="X308" s="9" t="n">
        <v>5</v>
      </c>
      <c r="Y308" s="9" t="n">
        <v>5</v>
      </c>
      <c r="Z308" s="9" t="n">
        <v>4</v>
      </c>
      <c r="AA308" s="9" t="n">
        <v>2</v>
      </c>
      <c r="AB308" s="9" t="n">
        <v>2</v>
      </c>
      <c r="AC308" s="9" t="n">
        <v>1</v>
      </c>
      <c r="AD308" s="9" t="n">
        <v>5</v>
      </c>
      <c r="AE308" s="9"/>
      <c r="AF308" s="9" t="n">
        <v>3</v>
      </c>
      <c r="AG308" s="9" t="n">
        <v>5</v>
      </c>
      <c r="AH308" s="9" t="n">
        <v>6</v>
      </c>
      <c r="AI308" s="9"/>
      <c r="AJ308" s="9" t="n">
        <v>2</v>
      </c>
      <c r="AK308" s="9" t="n">
        <v>3</v>
      </c>
      <c r="AL308" s="9" t="n">
        <v>3</v>
      </c>
      <c r="AM308" s="9" t="n">
        <v>7</v>
      </c>
      <c r="AN308" s="9" t="n">
        <v>9</v>
      </c>
      <c r="AO308" s="9" t="n">
        <v>6</v>
      </c>
      <c r="AP308" s="9"/>
      <c r="AQ308" s="9" t="n">
        <v>6</v>
      </c>
      <c r="AR308" s="9" t="n">
        <v>5</v>
      </c>
      <c r="AS308" s="9" t="n">
        <v>3</v>
      </c>
      <c r="AT308" s="9" t="n">
        <v>3</v>
      </c>
      <c r="AU308" s="9" t="n">
        <v>7</v>
      </c>
      <c r="AV308" s="9" t="n">
        <v>3</v>
      </c>
      <c r="AW308" s="9" t="n">
        <v>4</v>
      </c>
      <c r="AX308" s="9" t="n">
        <v>2</v>
      </c>
      <c r="AY308" s="9" t="n">
        <v>7</v>
      </c>
      <c r="AZ308" s="9" t="n">
        <v>5</v>
      </c>
      <c r="BA308" s="9" t="n">
        <v>3</v>
      </c>
      <c r="BB308" s="9" t="n">
        <v>2</v>
      </c>
      <c r="BC308" s="9" t="n">
        <v>5</v>
      </c>
      <c r="BD308" s="9" t="n">
        <v>6</v>
      </c>
      <c r="BE308" s="9" t="n">
        <v>2</v>
      </c>
      <c r="BF308" s="9" t="n">
        <v>2</v>
      </c>
      <c r="BG308" s="9" t="n">
        <v>7</v>
      </c>
      <c r="BH308" s="9"/>
      <c r="BI308" s="9" t="n">
        <v>2</v>
      </c>
      <c r="BJ308" s="9" t="n">
        <v>4</v>
      </c>
      <c r="BK308" s="9" t="n">
        <v>2</v>
      </c>
      <c r="BL308" s="9" t="n">
        <v>1</v>
      </c>
      <c r="BM308" s="9" t="n">
        <v>1</v>
      </c>
      <c r="BN308" s="9" t="n">
        <v>1</v>
      </c>
      <c r="BO308" s="9"/>
      <c r="BP308" s="9" t="n">
        <v>3</v>
      </c>
      <c r="BQ308" s="9" t="n">
        <v>1</v>
      </c>
      <c r="BR308" s="9"/>
      <c r="BS308" s="9" t="n">
        <v>2</v>
      </c>
      <c r="BT308" s="9" t="n">
        <v>3</v>
      </c>
      <c r="BU308" s="10" t="n">
        <v>235</v>
      </c>
      <c r="BV308" s="11" t="n">
        <f aca="false">IF(ISERROR(ROUND(MEDIAN(BQ308:BT308),0)),0,ROUND(MEDIAN(BQ308:BT308),0))</f>
        <v>2</v>
      </c>
      <c r="BW308" s="11" t="n">
        <f aca="false">IF(ISERROR(ROUND(MEDIAN(BM308:BT308),0)),0,ROUND(MEDIAN(BM308:BT308),0))</f>
        <v>2</v>
      </c>
      <c r="BX308" s="11" t="n">
        <f aca="false">IF(ISERROR(ROUND(MEDIAN(BI308:BT308),0)),0,ROUND(MEDIAN(BI308:BT308),0))</f>
        <v>2</v>
      </c>
      <c r="BY308" s="11" t="n">
        <f aca="false">IF(ISERROR(ROUND(MEDIAN(BE308:BT308),0)),0,ROUND(MEDIAN(BE308:BT308),0))</f>
        <v>2</v>
      </c>
      <c r="BZ308" s="11" t="n">
        <f aca="false">IF(ISERROR(ROUND(MEDIAN(AU308:BT308),0)),0,ROUND(MEDIAN(AU308:BT308),0))</f>
        <v>3</v>
      </c>
      <c r="CA308" s="12" t="n">
        <f aca="false">IF(ISERROR(ROUND(MEDIAN(U308:BT308),0)),0,ROUND(MEDIAN(U308:BT308),0))</f>
        <v>3</v>
      </c>
      <c r="CB308" s="12" t="n">
        <f aca="false">IF(ISERROR(ROUND(MEDIAN(BT308),0)),0,ROUND(MEDIAN(BT308),0))</f>
        <v>3</v>
      </c>
      <c r="CC308" s="12" t="n">
        <f aca="false">IF(ISERROR(ROUND(MEDIAN(D308:BT308),0)),0,ROUND(MEDIAN(D308:BT308),0))</f>
        <v>3</v>
      </c>
      <c r="CD308" s="12" t="n">
        <f aca="false">MAX(D308:BT308)</f>
        <v>21</v>
      </c>
      <c r="CE308" s="7" t="n">
        <f aca="false">COUNTA(BQ308:BT308)</f>
        <v>3</v>
      </c>
      <c r="CF308" s="7" t="n">
        <f aca="false">COUNTA(BM308:BT308)</f>
        <v>6</v>
      </c>
      <c r="CG308" s="7" t="n">
        <f aca="false">COUNTA(BI308:BT308)</f>
        <v>10</v>
      </c>
      <c r="CH308" s="7" t="n">
        <f aca="false">COUNTA(BE308:BT308)</f>
        <v>13</v>
      </c>
      <c r="CI308" s="7" t="n">
        <f aca="false">COUNTA(AU308:BT308)</f>
        <v>23</v>
      </c>
      <c r="CJ308" s="7" t="n">
        <f aca="false">COUNTA(U308:BT308)</f>
        <v>46</v>
      </c>
      <c r="CK308" s="7" t="n">
        <f aca="false">COUNTA(BT308)</f>
        <v>1</v>
      </c>
      <c r="CL308" s="7" t="n">
        <f aca="false">COUNTA(D308:BT308)</f>
        <v>60</v>
      </c>
      <c r="CM308" s="13" t="str">
        <f aca="false">IF(AND(CE308=1,CJ308=1,BT308&lt;&gt;""),"5.ENTRANTES",IF(AND(CE308&lt;&gt;0,CE308/RIGHT($CE$1,1)&gt;=0.5,CJ308=CE308),"4.RECENTES",IF(AND(CF308&lt;&gt;0,CF308/RIGHT($CF$1,1)&gt;=0.5,CJ308=CF308),"4.RECENTES",IF(AND(CG308&lt;&gt;0,CG308/RIGHT($CG$1,2)&gt;=0.5,CJ308=CG308),"4.RECENTES",IF(AND(CH308&lt;&gt;0,CH308/RIGHT($CH$1,2)&gt;=0.5,CJ308=CH308),"4.RECENTES",IF(AND(CI308&lt;&gt;0,CI308/RIGHT($CI$1,2)&gt;=0.5,CJ308=CI308),"4.RECENTES",IF(AND(CE308=0,CF308=0,CG308=0,CH308=0),"3.INATIVOS",IF(CJ308/RIGHT($CJ$1,2)&lt;0.5,"2.INTERMITENTES","1.ORDINÁRIOS"))))))))</f>
        <v>1.ORDINÁRIOS</v>
      </c>
      <c r="CN308" s="14" t="n">
        <f aca="false">IF(AND(CE308=1,CJ308=1,BT308&lt;&gt;""),BT308,IF(AND(CE308&lt;&gt;0,CE308/RIGHT($CE$1,1)&gt;=0.5,CJ308=CE308),MAX(BV308:CC308),IF(AND(CF308&lt;&gt;0,CF308/RIGHT($CF$1,1)&gt;=0.5,CJ308=CF308),MAX(BV308:CC308),IF(AND(CG308&lt;&gt;0,CG308/RIGHT($CG$1,2)&gt;=0.5,CJ308=CG308),MAX(BV308:CC308),IF(AND(CH308&lt;&gt;0,CH308/RIGHT($CH$1,2)&gt;=0.5,CJ308=CH308),MAX(BV308:CC308),IF(AND(CI308&lt;&gt;0,CI308/RIGHT($CI$1,2)&gt;=0.5,CJ308=CI308),MAX(BV308:CC308),IF(AND(CE308=0,CF308=0,CG308=0,CH308=0),0,IF(CJ308/RIGHT($CJ$1,2)&lt;0.5,ROUND(BU308/RIGHT($CJ$1,2),0),MAX(BV308:CC308)))))))))</f>
        <v>3</v>
      </c>
      <c r="CO308" s="14" t="n">
        <f aca="false">CN308*3</f>
        <v>9</v>
      </c>
      <c r="CP308" s="15" t="n">
        <v>29</v>
      </c>
      <c r="CQ308" s="16" t="n">
        <f aca="false">IF((CO308-CP308)&lt;0,0,(CO308-CP308))</f>
        <v>0</v>
      </c>
      <c r="CR308" s="7"/>
    </row>
    <row r="309" customFormat="false" ht="12.75" hidden="false" customHeight="true" outlineLevel="0" collapsed="false">
      <c r="A309" s="7" t="s">
        <v>388</v>
      </c>
      <c r="B309" s="7" t="s">
        <v>408</v>
      </c>
      <c r="C309" s="8" t="n">
        <v>21001053</v>
      </c>
      <c r="D309" s="9"/>
      <c r="E309" s="9"/>
      <c r="F309" s="9"/>
      <c r="G309" s="9"/>
      <c r="H309" s="9"/>
      <c r="I309" s="9"/>
      <c r="J309" s="9"/>
      <c r="K309" s="9"/>
      <c r="L309" s="9" t="n">
        <v>1</v>
      </c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 t="n">
        <v>10</v>
      </c>
      <c r="AO309" s="9"/>
      <c r="AP309" s="9"/>
      <c r="AQ309" s="9"/>
      <c r="AR309" s="9"/>
      <c r="AS309" s="9"/>
      <c r="AT309" s="9"/>
      <c r="AU309" s="9"/>
      <c r="AV309" s="9"/>
      <c r="AW309" s="9"/>
      <c r="AX309" s="9"/>
      <c r="AY309" s="9"/>
      <c r="AZ309" s="9"/>
      <c r="BA309" s="9"/>
      <c r="BB309" s="9"/>
      <c r="BC309" s="9"/>
      <c r="BD309" s="9"/>
      <c r="BE309" s="9"/>
      <c r="BF309" s="9"/>
      <c r="BG309" s="9"/>
      <c r="BH309" s="9"/>
      <c r="BI309" s="9"/>
      <c r="BJ309" s="9"/>
      <c r="BK309" s="9"/>
      <c r="BL309" s="9"/>
      <c r="BM309" s="9"/>
      <c r="BN309" s="9"/>
      <c r="BO309" s="9"/>
      <c r="BP309" s="9"/>
      <c r="BQ309" s="9"/>
      <c r="BR309" s="9"/>
      <c r="BS309" s="9"/>
      <c r="BT309" s="9"/>
      <c r="BU309" s="10" t="n">
        <v>11</v>
      </c>
      <c r="BV309" s="11" t="n">
        <f aca="false">IF(ISERROR(ROUND(MEDIAN(BQ309:BT309),0)),0,ROUND(MEDIAN(BQ309:BT309),0))</f>
        <v>0</v>
      </c>
      <c r="BW309" s="11" t="n">
        <f aca="false">IF(ISERROR(ROUND(MEDIAN(BM309:BT309),0)),0,ROUND(MEDIAN(BM309:BT309),0))</f>
        <v>0</v>
      </c>
      <c r="BX309" s="11" t="n">
        <f aca="false">IF(ISERROR(ROUND(MEDIAN(BI309:BT309),0)),0,ROUND(MEDIAN(BI309:BT309),0))</f>
        <v>0</v>
      </c>
      <c r="BY309" s="11" t="n">
        <f aca="false">IF(ISERROR(ROUND(MEDIAN(BE309:BT309),0)),0,ROUND(MEDIAN(BE309:BT309),0))</f>
        <v>0</v>
      </c>
      <c r="BZ309" s="11" t="n">
        <f aca="false">IF(ISERROR(ROUND(MEDIAN(AU309:BT309),0)),0,ROUND(MEDIAN(AU309:BT309),0))</f>
        <v>0</v>
      </c>
      <c r="CA309" s="12" t="n">
        <f aca="false">IF(ISERROR(ROUND(MEDIAN(U309:BT309),0)),0,ROUND(MEDIAN(U309:BT309),0))</f>
        <v>10</v>
      </c>
      <c r="CB309" s="12" t="n">
        <f aca="false">IF(ISERROR(ROUND(MEDIAN(BT309),0)),0,ROUND(MEDIAN(BT309),0))</f>
        <v>0</v>
      </c>
      <c r="CC309" s="12" t="n">
        <f aca="false">IF(ISERROR(ROUND(MEDIAN(D309:BT309),0)),0,ROUND(MEDIAN(D309:BT309),0))</f>
        <v>6</v>
      </c>
      <c r="CD309" s="12" t="n">
        <f aca="false">MAX(D309:BT309)</f>
        <v>10</v>
      </c>
      <c r="CE309" s="7" t="n">
        <f aca="false">COUNTA(BQ309:BT309)</f>
        <v>0</v>
      </c>
      <c r="CF309" s="7" t="n">
        <f aca="false">COUNTA(BM309:BT309)</f>
        <v>0</v>
      </c>
      <c r="CG309" s="7" t="n">
        <f aca="false">COUNTA(BI309:BT309)</f>
        <v>0</v>
      </c>
      <c r="CH309" s="7" t="n">
        <f aca="false">COUNTA(BE309:BT309)</f>
        <v>0</v>
      </c>
      <c r="CI309" s="7" t="n">
        <f aca="false">COUNTA(AU309:BT309)</f>
        <v>0</v>
      </c>
      <c r="CJ309" s="7" t="n">
        <f aca="false">COUNTA(U309:BT309)</f>
        <v>1</v>
      </c>
      <c r="CK309" s="7" t="n">
        <f aca="false">COUNTA(BT309)</f>
        <v>0</v>
      </c>
      <c r="CL309" s="7" t="n">
        <f aca="false">COUNTA(D309:BT309)</f>
        <v>2</v>
      </c>
      <c r="CM309" s="19" t="str">
        <f aca="false">IF(AND(CE309=1,CJ309=1,BT309&lt;&gt;""),"5.ENTRANTES",IF(AND(CE309&lt;&gt;0,CE309/RIGHT($CE$1,1)&gt;=0.5,CJ309=CE309),"4.RECENTES",IF(AND(CF309&lt;&gt;0,CF309/RIGHT($CF$1,1)&gt;=0.5,CJ309=CF309),"4.RECENTES",IF(AND(CG309&lt;&gt;0,CG309/RIGHT($CG$1,2)&gt;=0.5,CJ309=CG309),"4.RECENTES",IF(AND(CH309&lt;&gt;0,CH309/RIGHT($CH$1,2)&gt;=0.5,CJ309=CH309),"4.RECENTES",IF(AND(CI309&lt;&gt;0,CI309/RIGHT($CI$1,2)&gt;=0.5,CJ309=CI309),"4.RECENTES",IF(AND(CE309=0,CF309=0,CG309=0,CH309=0),"3.INATIVOS",IF(CJ309/RIGHT($CJ$1,2)&lt;0.5,"2.INTERMITENTES","1.ORDINÁRIOS"))))))))</f>
        <v>3.INATIVOS</v>
      </c>
      <c r="CN309" s="20" t="n">
        <f aca="false">IF(AND(CE309=1,CJ309=1,BT309&lt;&gt;""),BT309,IF(AND(CE309&lt;&gt;0,CE309/RIGHT($CE$1,1)&gt;=0.5,CJ309=CE309),MAX(BV309:CC309),IF(AND(CF309&lt;&gt;0,CF309/RIGHT($CF$1,1)&gt;=0.5,CJ309=CF309),MAX(BV309:CC309),IF(AND(CG309&lt;&gt;0,CG309/RIGHT($CG$1,2)&gt;=0.5,CJ309=CG309),MAX(BV309:CC309),IF(AND(CH309&lt;&gt;0,CH309/RIGHT($CH$1,2)&gt;=0.5,CJ309=CH309),MAX(BV309:CC309),IF(AND(CI309&lt;&gt;0,CI309/RIGHT($CI$1,2)&gt;=0.5,CJ309=CI309),MAX(BV309:CC309),IF(AND(CE309=0,CF309=0,CG309=0,CH309=0),0,IF(CJ309/RIGHT($CJ$1,2)&lt;0.5,ROUND(BU309/RIGHT($CJ$1,2),0),MAX(BV309:CC309)))))))))</f>
        <v>0</v>
      </c>
      <c r="CO309" s="20" t="n">
        <f aca="false">CN309*3</f>
        <v>0</v>
      </c>
      <c r="CP309" s="15" t="n">
        <v>15</v>
      </c>
      <c r="CQ309" s="16" t="n">
        <f aca="false">IF((CO309-CP309)&lt;0,0,(CO309-CP309))</f>
        <v>0</v>
      </c>
      <c r="CR309" s="7"/>
    </row>
    <row r="310" customFormat="false" ht="12.75" hidden="false" customHeight="true" outlineLevel="0" collapsed="false">
      <c r="A310" s="7" t="s">
        <v>388</v>
      </c>
      <c r="B310" s="7" t="s">
        <v>409</v>
      </c>
      <c r="C310" s="8" t="n">
        <v>1000015</v>
      </c>
      <c r="D310" s="9"/>
      <c r="E310" s="9" t="n">
        <v>5</v>
      </c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 t="n">
        <v>1</v>
      </c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 t="n">
        <v>1</v>
      </c>
      <c r="AI310" s="9"/>
      <c r="AJ310" s="9"/>
      <c r="AK310" s="9"/>
      <c r="AL310" s="9"/>
      <c r="AM310" s="9"/>
      <c r="AN310" s="9"/>
      <c r="AO310" s="9"/>
      <c r="AP310" s="9" t="n">
        <v>2</v>
      </c>
      <c r="AQ310" s="9"/>
      <c r="AR310" s="9"/>
      <c r="AS310" s="9"/>
      <c r="AT310" s="9"/>
      <c r="AU310" s="9" t="n">
        <v>1</v>
      </c>
      <c r="AV310" s="9"/>
      <c r="AW310" s="9"/>
      <c r="AX310" s="9"/>
      <c r="AY310" s="9"/>
      <c r="AZ310" s="9"/>
      <c r="BA310" s="9"/>
      <c r="BB310" s="9" t="n">
        <v>1</v>
      </c>
      <c r="BC310" s="9"/>
      <c r="BD310" s="9" t="n">
        <v>1</v>
      </c>
      <c r="BE310" s="9"/>
      <c r="BF310" s="9" t="n">
        <v>2</v>
      </c>
      <c r="BG310" s="9"/>
      <c r="BH310" s="9"/>
      <c r="BI310" s="9"/>
      <c r="BJ310" s="9"/>
      <c r="BK310" s="9"/>
      <c r="BL310" s="9" t="n">
        <v>1</v>
      </c>
      <c r="BM310" s="9"/>
      <c r="BN310" s="9"/>
      <c r="BO310" s="9" t="n">
        <v>3</v>
      </c>
      <c r="BP310" s="9" t="n">
        <v>1</v>
      </c>
      <c r="BQ310" s="9"/>
      <c r="BR310" s="9"/>
      <c r="BS310" s="9" t="n">
        <v>1</v>
      </c>
      <c r="BT310" s="9" t="n">
        <v>1</v>
      </c>
      <c r="BU310" s="10" t="n">
        <v>21</v>
      </c>
      <c r="BV310" s="11" t="n">
        <f aca="false">IF(ISERROR(ROUND(MEDIAN(BQ310:BT310),0)),0,ROUND(MEDIAN(BQ310:BT310),0))</f>
        <v>1</v>
      </c>
      <c r="BW310" s="11" t="n">
        <f aca="false">IF(ISERROR(ROUND(MEDIAN(BM310:BT310),0)),0,ROUND(MEDIAN(BM310:BT310),0))</f>
        <v>1</v>
      </c>
      <c r="BX310" s="11" t="n">
        <f aca="false">IF(ISERROR(ROUND(MEDIAN(BI310:BT310),0)),0,ROUND(MEDIAN(BI310:BT310),0))</f>
        <v>1</v>
      </c>
      <c r="BY310" s="11" t="n">
        <f aca="false">IF(ISERROR(ROUND(MEDIAN(BE310:BT310),0)),0,ROUND(MEDIAN(BE310:BT310),0))</f>
        <v>1</v>
      </c>
      <c r="BZ310" s="11" t="n">
        <f aca="false">IF(ISERROR(ROUND(MEDIAN(AU310:BT310),0)),0,ROUND(MEDIAN(AU310:BT310),0))</f>
        <v>1</v>
      </c>
      <c r="CA310" s="12" t="n">
        <f aca="false">IF(ISERROR(ROUND(MEDIAN(U310:BT310),0)),0,ROUND(MEDIAN(U310:BT310),0))</f>
        <v>1</v>
      </c>
      <c r="CB310" s="12" t="n">
        <f aca="false">IF(ISERROR(ROUND(MEDIAN(BT310),0)),0,ROUND(MEDIAN(BT310),0))</f>
        <v>1</v>
      </c>
      <c r="CC310" s="12" t="n">
        <f aca="false">IF(ISERROR(ROUND(MEDIAN(D310:BT310),0)),0,ROUND(MEDIAN(D310:BT310),0))</f>
        <v>1</v>
      </c>
      <c r="CD310" s="12" t="n">
        <f aca="false">MAX(D310:BT310)</f>
        <v>5</v>
      </c>
      <c r="CE310" s="7" t="n">
        <f aca="false">COUNTA(BQ310:BT310)</f>
        <v>2</v>
      </c>
      <c r="CF310" s="7" t="n">
        <f aca="false">COUNTA(BM310:BT310)</f>
        <v>4</v>
      </c>
      <c r="CG310" s="7" t="n">
        <f aca="false">COUNTA(BI310:BT310)</f>
        <v>5</v>
      </c>
      <c r="CH310" s="7" t="n">
        <f aca="false">COUNTA(BE310:BT310)</f>
        <v>6</v>
      </c>
      <c r="CI310" s="7" t="n">
        <f aca="false">COUNTA(AU310:BT310)</f>
        <v>9</v>
      </c>
      <c r="CJ310" s="7" t="n">
        <f aca="false">COUNTA(U310:BT310)</f>
        <v>12</v>
      </c>
      <c r="CK310" s="7" t="n">
        <f aca="false">COUNTA(BT310)</f>
        <v>1</v>
      </c>
      <c r="CL310" s="7" t="n">
        <f aca="false">COUNTA(D310:BT310)</f>
        <v>13</v>
      </c>
      <c r="CM310" s="17" t="str">
        <f aca="false">IF(AND(CE310=1,CJ310=1,BT310&lt;&gt;""),"5.ENTRANTES",IF(AND(CE310&lt;&gt;0,CE310/RIGHT($CE$1,1)&gt;=0.5,CJ310=CE310),"4.RECENTES",IF(AND(CF310&lt;&gt;0,CF310/RIGHT($CF$1,1)&gt;=0.5,CJ310=CF310),"4.RECENTES",IF(AND(CG310&lt;&gt;0,CG310/RIGHT($CG$1,2)&gt;=0.5,CJ310=CG310),"4.RECENTES",IF(AND(CH310&lt;&gt;0,CH310/RIGHT($CH$1,2)&gt;=0.5,CJ310=CH310),"4.RECENTES",IF(AND(CI310&lt;&gt;0,CI310/RIGHT($CI$1,2)&gt;=0.5,CJ310=CI310),"4.RECENTES",IF(AND(CE310=0,CF310=0,CG310=0,CH310=0),"3.INATIVOS",IF(CJ310/RIGHT($CJ$1,2)&lt;0.5,"2.INTERMITENTES","1.ORDINÁRIOS"))))))))</f>
        <v>2.INTERMITENTES</v>
      </c>
      <c r="CN310" s="18" t="n">
        <f aca="false">IF(AND(CE310=1,CJ310=1,BT310&lt;&gt;""),BT310,IF(AND(CE310&lt;&gt;0,CE310/RIGHT($CE$1,1)&gt;=0.5,CJ310=CE310),MAX(BV310:CC310),IF(AND(CF310&lt;&gt;0,CF310/RIGHT($CF$1,1)&gt;=0.5,CJ310=CF310),MAX(BV310:CC310),IF(AND(CG310&lt;&gt;0,CG310/RIGHT($CG$1,2)&gt;=0.5,CJ310=CG310),MAX(BV310:CC310),IF(AND(CH310&lt;&gt;0,CH310/RIGHT($CH$1,2)&gt;=0.5,CJ310=CH310),MAX(BV310:CC310),IF(AND(CI310&lt;&gt;0,CI310/RIGHT($CI$1,2)&gt;=0.5,CJ310=CI310),MAX(BV310:CC310),IF(AND(CE310=0,CF310=0,CG310=0,CH310=0),0,IF(CJ310/RIGHT($CJ$1,2)&lt;0.5,ROUND(BU310/RIGHT($CJ$1,2),0),MAX(BV310:CC310)))))))))</f>
        <v>0</v>
      </c>
      <c r="CO310" s="18" t="n">
        <f aca="false">CD310</f>
        <v>5</v>
      </c>
      <c r="CP310" s="15" t="n">
        <v>13</v>
      </c>
      <c r="CQ310" s="16" t="n">
        <f aca="false">IF((CO310-CP310)&lt;0,0,(CO310-CP310))</f>
        <v>0</v>
      </c>
      <c r="CR310" s="7"/>
    </row>
    <row r="311" customFormat="false" ht="12.75" hidden="false" customHeight="true" outlineLevel="0" collapsed="false">
      <c r="A311" s="7" t="s">
        <v>388</v>
      </c>
      <c r="B311" s="7" t="s">
        <v>410</v>
      </c>
      <c r="C311" s="8" t="n">
        <v>8001006</v>
      </c>
      <c r="D311" s="9"/>
      <c r="E311" s="9"/>
      <c r="F311" s="9"/>
      <c r="G311" s="9"/>
      <c r="H311" s="9"/>
      <c r="I311" s="9"/>
      <c r="J311" s="9" t="n">
        <v>2</v>
      </c>
      <c r="K311" s="9" t="n">
        <v>1</v>
      </c>
      <c r="L311" s="9" t="n">
        <v>1</v>
      </c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 t="n">
        <v>1</v>
      </c>
      <c r="AE311" s="9"/>
      <c r="AF311" s="9"/>
      <c r="AG311" s="9"/>
      <c r="AH311" s="9"/>
      <c r="AI311" s="9" t="n">
        <v>1</v>
      </c>
      <c r="AJ311" s="9"/>
      <c r="AK311" s="9"/>
      <c r="AL311" s="9"/>
      <c r="AM311" s="9"/>
      <c r="AN311" s="9"/>
      <c r="AO311" s="9" t="n">
        <v>1</v>
      </c>
      <c r="AP311" s="9" t="n">
        <v>15</v>
      </c>
      <c r="AQ311" s="9"/>
      <c r="AR311" s="9"/>
      <c r="AS311" s="9"/>
      <c r="AT311" s="9" t="n">
        <v>6</v>
      </c>
      <c r="AU311" s="9"/>
      <c r="AV311" s="9" t="n">
        <v>1</v>
      </c>
      <c r="AW311" s="9"/>
      <c r="AX311" s="9"/>
      <c r="AY311" s="9"/>
      <c r="AZ311" s="9" t="n">
        <v>1</v>
      </c>
      <c r="BA311" s="9"/>
      <c r="BB311" s="9"/>
      <c r="BC311" s="9"/>
      <c r="BD311" s="9" t="n">
        <v>2</v>
      </c>
      <c r="BE311" s="9"/>
      <c r="BF311" s="9"/>
      <c r="BG311" s="9"/>
      <c r="BH311" s="9" t="n">
        <v>2</v>
      </c>
      <c r="BI311" s="9"/>
      <c r="BJ311" s="9"/>
      <c r="BK311" s="9"/>
      <c r="BL311" s="9"/>
      <c r="BM311" s="9" t="n">
        <v>1</v>
      </c>
      <c r="BN311" s="9"/>
      <c r="BO311" s="9"/>
      <c r="BP311" s="9"/>
      <c r="BQ311" s="9"/>
      <c r="BR311" s="9"/>
      <c r="BS311" s="9"/>
      <c r="BT311" s="9"/>
      <c r="BU311" s="10" t="n">
        <v>35</v>
      </c>
      <c r="BV311" s="11" t="n">
        <f aca="false">IF(ISERROR(ROUND(MEDIAN(BQ311:BT311),0)),0,ROUND(MEDIAN(BQ311:BT311),0))</f>
        <v>0</v>
      </c>
      <c r="BW311" s="11" t="n">
        <f aca="false">IF(ISERROR(ROUND(MEDIAN(BM311:BT311),0)),0,ROUND(MEDIAN(BM311:BT311),0))</f>
        <v>1</v>
      </c>
      <c r="BX311" s="11" t="n">
        <f aca="false">IF(ISERROR(ROUND(MEDIAN(BI311:BT311),0)),0,ROUND(MEDIAN(BI311:BT311),0))</f>
        <v>1</v>
      </c>
      <c r="BY311" s="11" t="n">
        <f aca="false">IF(ISERROR(ROUND(MEDIAN(BE311:BT311),0)),0,ROUND(MEDIAN(BE311:BT311),0))</f>
        <v>2</v>
      </c>
      <c r="BZ311" s="11" t="n">
        <f aca="false">IF(ISERROR(ROUND(MEDIAN(AU311:BT311),0)),0,ROUND(MEDIAN(AU311:BT311),0))</f>
        <v>1</v>
      </c>
      <c r="CA311" s="12" t="n">
        <f aca="false">IF(ISERROR(ROUND(MEDIAN(U311:BT311),0)),0,ROUND(MEDIAN(U311:BT311),0))</f>
        <v>1</v>
      </c>
      <c r="CB311" s="12" t="n">
        <f aca="false">IF(ISERROR(ROUND(MEDIAN(BT311),0)),0,ROUND(MEDIAN(BT311),0))</f>
        <v>0</v>
      </c>
      <c r="CC311" s="12" t="n">
        <f aca="false">IF(ISERROR(ROUND(MEDIAN(D311:BT311),0)),0,ROUND(MEDIAN(D311:BT311),0))</f>
        <v>1</v>
      </c>
      <c r="CD311" s="12" t="n">
        <f aca="false">MAX(D311:BT311)</f>
        <v>15</v>
      </c>
      <c r="CE311" s="7" t="n">
        <f aca="false">COUNTA(BQ311:BT311)</f>
        <v>0</v>
      </c>
      <c r="CF311" s="7" t="n">
        <f aca="false">COUNTA(BM311:BT311)</f>
        <v>1</v>
      </c>
      <c r="CG311" s="7" t="n">
        <f aca="false">COUNTA(BI311:BT311)</f>
        <v>1</v>
      </c>
      <c r="CH311" s="7" t="n">
        <f aca="false">COUNTA(BE311:BT311)</f>
        <v>2</v>
      </c>
      <c r="CI311" s="7" t="n">
        <f aca="false">COUNTA(AU311:BT311)</f>
        <v>5</v>
      </c>
      <c r="CJ311" s="7" t="n">
        <f aca="false">COUNTA(U311:BT311)</f>
        <v>10</v>
      </c>
      <c r="CK311" s="7" t="n">
        <f aca="false">COUNTA(BT311)</f>
        <v>0</v>
      </c>
      <c r="CL311" s="7" t="n">
        <f aca="false">COUNTA(D311:BT311)</f>
        <v>13</v>
      </c>
      <c r="CM311" s="17" t="str">
        <f aca="false">IF(AND(CE311=1,CJ311=1,BT311&lt;&gt;""),"5.ENTRANTES",IF(AND(CE311&lt;&gt;0,CE311/RIGHT($CE$1,1)&gt;=0.5,CJ311=CE311),"4.RECENTES",IF(AND(CF311&lt;&gt;0,CF311/RIGHT($CF$1,1)&gt;=0.5,CJ311=CF311),"4.RECENTES",IF(AND(CG311&lt;&gt;0,CG311/RIGHT($CG$1,2)&gt;=0.5,CJ311=CG311),"4.RECENTES",IF(AND(CH311&lt;&gt;0,CH311/RIGHT($CH$1,2)&gt;=0.5,CJ311=CH311),"4.RECENTES",IF(AND(CI311&lt;&gt;0,CI311/RIGHT($CI$1,2)&gt;=0.5,CJ311=CI311),"4.RECENTES",IF(AND(CE311=0,CF311=0,CG311=0,CH311=0),"3.INATIVOS",IF(CJ311/RIGHT($CJ$1,2)&lt;0.5,"2.INTERMITENTES","1.ORDINÁRIOS"))))))))</f>
        <v>2.INTERMITENTES</v>
      </c>
      <c r="CN311" s="18" t="n">
        <f aca="false">IF(AND(CE311=1,CJ311=1,BT311&lt;&gt;""),BT311,IF(AND(CE311&lt;&gt;0,CE311/RIGHT($CE$1,1)&gt;=0.5,CJ311=CE311),MAX(BV311:CC311),IF(AND(CF311&lt;&gt;0,CF311/RIGHT($CF$1,1)&gt;=0.5,CJ311=CF311),MAX(BV311:CC311),IF(AND(CG311&lt;&gt;0,CG311/RIGHT($CG$1,2)&gt;=0.5,CJ311=CG311),MAX(BV311:CC311),IF(AND(CH311&lt;&gt;0,CH311/RIGHT($CH$1,2)&gt;=0.5,CJ311=CH311),MAX(BV311:CC311),IF(AND(CI311&lt;&gt;0,CI311/RIGHT($CI$1,2)&gt;=0.5,CJ311=CI311),MAX(BV311:CC311),IF(AND(CE311=0,CF311=0,CG311=0,CH311=0),0,IF(CJ311/RIGHT($CJ$1,2)&lt;0.5,ROUND(BU311/RIGHT($CJ$1,2),0),MAX(BV311:CC311)))))))))</f>
        <v>1</v>
      </c>
      <c r="CO311" s="18" t="n">
        <f aca="false">CD311</f>
        <v>15</v>
      </c>
      <c r="CP311" s="15" t="n">
        <v>20</v>
      </c>
      <c r="CQ311" s="16" t="n">
        <f aca="false">IF((CO311-CP311)&lt;0,0,(CO311-CP311))</f>
        <v>0</v>
      </c>
      <c r="CR311" s="7"/>
    </row>
    <row r="312" customFormat="false" ht="12.75" hidden="false" customHeight="true" outlineLevel="0" collapsed="false">
      <c r="A312" s="7" t="s">
        <v>388</v>
      </c>
      <c r="B312" s="7" t="s">
        <v>411</v>
      </c>
      <c r="C312" s="8" t="n">
        <v>5000102</v>
      </c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 t="n">
        <v>4</v>
      </c>
      <c r="V312" s="9"/>
      <c r="W312" s="9"/>
      <c r="X312" s="9"/>
      <c r="Y312" s="9"/>
      <c r="Z312" s="9"/>
      <c r="AA312" s="9"/>
      <c r="AB312" s="9"/>
      <c r="AC312" s="9"/>
      <c r="AD312" s="9" t="n">
        <v>1</v>
      </c>
      <c r="AE312" s="9"/>
      <c r="AF312" s="9" t="n">
        <v>4</v>
      </c>
      <c r="AG312" s="9"/>
      <c r="AH312" s="9"/>
      <c r="AI312" s="9" t="n">
        <v>12</v>
      </c>
      <c r="AJ312" s="9"/>
      <c r="AK312" s="9"/>
      <c r="AL312" s="9" t="n">
        <v>4</v>
      </c>
      <c r="AM312" s="9" t="n">
        <v>2</v>
      </c>
      <c r="AN312" s="9" t="n">
        <v>1</v>
      </c>
      <c r="AO312" s="9" t="n">
        <v>1</v>
      </c>
      <c r="AP312" s="9"/>
      <c r="AQ312" s="9"/>
      <c r="AR312" s="9"/>
      <c r="AS312" s="9"/>
      <c r="AT312" s="9" t="n">
        <v>6</v>
      </c>
      <c r="AU312" s="9"/>
      <c r="AV312" s="9" t="n">
        <v>1</v>
      </c>
      <c r="AW312" s="9"/>
      <c r="AX312" s="9"/>
      <c r="AY312" s="9" t="n">
        <v>1</v>
      </c>
      <c r="AZ312" s="9" t="n">
        <v>5</v>
      </c>
      <c r="BA312" s="9" t="n">
        <v>5</v>
      </c>
      <c r="BB312" s="9" t="n">
        <v>1</v>
      </c>
      <c r="BC312" s="9"/>
      <c r="BD312" s="9"/>
      <c r="BE312" s="9" t="n">
        <v>1</v>
      </c>
      <c r="BF312" s="9" t="n">
        <v>3</v>
      </c>
      <c r="BG312" s="9"/>
      <c r="BH312" s="9"/>
      <c r="BI312" s="9"/>
      <c r="BJ312" s="9" t="n">
        <v>5</v>
      </c>
      <c r="BK312" s="9"/>
      <c r="BL312" s="9"/>
      <c r="BM312" s="9" t="n">
        <v>1</v>
      </c>
      <c r="BN312" s="9" t="n">
        <v>5</v>
      </c>
      <c r="BO312" s="9"/>
      <c r="BP312" s="9" t="n">
        <v>3</v>
      </c>
      <c r="BQ312" s="9"/>
      <c r="BR312" s="9"/>
      <c r="BS312" s="9"/>
      <c r="BT312" s="9"/>
      <c r="BU312" s="10" t="n">
        <v>66</v>
      </c>
      <c r="BV312" s="11" t="n">
        <f aca="false">IF(ISERROR(ROUND(MEDIAN(BQ312:BT312),0)),0,ROUND(MEDIAN(BQ312:BT312),0))</f>
        <v>0</v>
      </c>
      <c r="BW312" s="11" t="n">
        <f aca="false">IF(ISERROR(ROUND(MEDIAN(BM312:BT312),0)),0,ROUND(MEDIAN(BM312:BT312),0))</f>
        <v>3</v>
      </c>
      <c r="BX312" s="11" t="n">
        <f aca="false">IF(ISERROR(ROUND(MEDIAN(BI312:BT312),0)),0,ROUND(MEDIAN(BI312:BT312),0))</f>
        <v>4</v>
      </c>
      <c r="BY312" s="11" t="n">
        <f aca="false">IF(ISERROR(ROUND(MEDIAN(BE312:BT312),0)),0,ROUND(MEDIAN(BE312:BT312),0))</f>
        <v>3</v>
      </c>
      <c r="BZ312" s="11" t="n">
        <f aca="false">IF(ISERROR(ROUND(MEDIAN(AU312:BT312),0)),0,ROUND(MEDIAN(AU312:BT312),0))</f>
        <v>3</v>
      </c>
      <c r="CA312" s="12" t="n">
        <f aca="false">IF(ISERROR(ROUND(MEDIAN(U312:BT312),0)),0,ROUND(MEDIAN(U312:BT312),0))</f>
        <v>3</v>
      </c>
      <c r="CB312" s="12" t="n">
        <f aca="false">IF(ISERROR(ROUND(MEDIAN(BT312),0)),0,ROUND(MEDIAN(BT312),0))</f>
        <v>0</v>
      </c>
      <c r="CC312" s="12" t="n">
        <f aca="false">IF(ISERROR(ROUND(MEDIAN(D312:BT312),0)),0,ROUND(MEDIAN(D312:BT312),0))</f>
        <v>3</v>
      </c>
      <c r="CD312" s="12" t="n">
        <f aca="false">MAX(D312:BT312)</f>
        <v>12</v>
      </c>
      <c r="CE312" s="7" t="n">
        <f aca="false">COUNTA(BQ312:BT312)</f>
        <v>0</v>
      </c>
      <c r="CF312" s="7" t="n">
        <f aca="false">COUNTA(BM312:BT312)</f>
        <v>3</v>
      </c>
      <c r="CG312" s="7" t="n">
        <f aca="false">COUNTA(BI312:BT312)</f>
        <v>4</v>
      </c>
      <c r="CH312" s="7" t="n">
        <f aca="false">COUNTA(BE312:BT312)</f>
        <v>6</v>
      </c>
      <c r="CI312" s="7" t="n">
        <f aca="false">COUNTA(AU312:BT312)</f>
        <v>11</v>
      </c>
      <c r="CJ312" s="7" t="n">
        <f aca="false">COUNTA(U312:BT312)</f>
        <v>20</v>
      </c>
      <c r="CK312" s="7" t="n">
        <f aca="false">COUNTA(BT312)</f>
        <v>0</v>
      </c>
      <c r="CL312" s="7" t="n">
        <f aca="false">COUNTA(D312:BT312)</f>
        <v>20</v>
      </c>
      <c r="CM312" s="17" t="str">
        <f aca="false">IF(AND(CE312=1,CJ312=1,BT312&lt;&gt;""),"5.ENTRANTES",IF(AND(CE312&lt;&gt;0,CE312/RIGHT($CE$1,1)&gt;=0.5,CJ312=CE312),"4.RECENTES",IF(AND(CF312&lt;&gt;0,CF312/RIGHT($CF$1,1)&gt;=0.5,CJ312=CF312),"4.RECENTES",IF(AND(CG312&lt;&gt;0,CG312/RIGHT($CG$1,2)&gt;=0.5,CJ312=CG312),"4.RECENTES",IF(AND(CH312&lt;&gt;0,CH312/RIGHT($CH$1,2)&gt;=0.5,CJ312=CH312),"4.RECENTES",IF(AND(CI312&lt;&gt;0,CI312/RIGHT($CI$1,2)&gt;=0.5,CJ312=CI312),"4.RECENTES",IF(AND(CE312=0,CF312=0,CG312=0,CH312=0),"3.INATIVOS",IF(CJ312/RIGHT($CJ$1,2)&lt;0.5,"2.INTERMITENTES","1.ORDINÁRIOS"))))))))</f>
        <v>2.INTERMITENTES</v>
      </c>
      <c r="CN312" s="18" t="n">
        <f aca="false">IF(AND(CE312=1,CJ312=1,BT312&lt;&gt;""),BT312,IF(AND(CE312&lt;&gt;0,CE312/RIGHT($CE$1,1)&gt;=0.5,CJ312=CE312),MAX(BV312:CC312),IF(AND(CF312&lt;&gt;0,CF312/RIGHT($CF$1,1)&gt;=0.5,CJ312=CF312),MAX(BV312:CC312),IF(AND(CG312&lt;&gt;0,CG312/RIGHT($CG$1,2)&gt;=0.5,CJ312=CG312),MAX(BV312:CC312),IF(AND(CH312&lt;&gt;0,CH312/RIGHT($CH$1,2)&gt;=0.5,CJ312=CH312),MAX(BV312:CC312),IF(AND(CI312&lt;&gt;0,CI312/RIGHT($CI$1,2)&gt;=0.5,CJ312=CI312),MAX(BV312:CC312),IF(AND(CE312=0,CF312=0,CG312=0,CH312=0),0,IF(CJ312/RIGHT($CJ$1,2)&lt;0.5,ROUND(BU312/RIGHT($CJ$1,2),0),MAX(BV312:CC312)))))))))</f>
        <v>1</v>
      </c>
      <c r="CO312" s="18" t="n">
        <f aca="false">CD312</f>
        <v>12</v>
      </c>
      <c r="CP312" s="15" t="n">
        <v>15</v>
      </c>
      <c r="CQ312" s="16" t="n">
        <f aca="false">IF((CO312-CP312)&lt;0,0,(CO312-CP312))</f>
        <v>0</v>
      </c>
      <c r="CR312" s="7"/>
    </row>
    <row r="313" customFormat="false" ht="12.75" hidden="false" customHeight="true" outlineLevel="0" collapsed="false">
      <c r="A313" s="7" t="s">
        <v>388</v>
      </c>
      <c r="B313" s="7" t="s">
        <v>412</v>
      </c>
      <c r="C313" s="8" t="n">
        <v>5000054</v>
      </c>
      <c r="D313" s="9"/>
      <c r="E313" s="9" t="n">
        <v>1</v>
      </c>
      <c r="F313" s="9"/>
      <c r="G313" s="9"/>
      <c r="H313" s="9"/>
      <c r="I313" s="9"/>
      <c r="J313" s="9" t="n">
        <v>6</v>
      </c>
      <c r="K313" s="9"/>
      <c r="L313" s="9"/>
      <c r="M313" s="9" t="n">
        <v>4</v>
      </c>
      <c r="N313" s="9"/>
      <c r="O313" s="9" t="n">
        <v>6</v>
      </c>
      <c r="P313" s="9"/>
      <c r="Q313" s="9"/>
      <c r="R313" s="9"/>
      <c r="S313" s="9"/>
      <c r="T313" s="9"/>
      <c r="U313" s="9"/>
      <c r="V313" s="9" t="n">
        <v>1</v>
      </c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  <c r="AX313" s="9"/>
      <c r="AY313" s="9"/>
      <c r="AZ313" s="9"/>
      <c r="BA313" s="9"/>
      <c r="BB313" s="9"/>
      <c r="BC313" s="9"/>
      <c r="BD313" s="9"/>
      <c r="BE313" s="9"/>
      <c r="BF313" s="9"/>
      <c r="BG313" s="9"/>
      <c r="BH313" s="9"/>
      <c r="BI313" s="9"/>
      <c r="BJ313" s="9"/>
      <c r="BK313" s="9"/>
      <c r="BL313" s="9"/>
      <c r="BM313" s="9"/>
      <c r="BN313" s="9"/>
      <c r="BO313" s="9"/>
      <c r="BP313" s="9"/>
      <c r="BQ313" s="9"/>
      <c r="BR313" s="9"/>
      <c r="BS313" s="9"/>
      <c r="BT313" s="9"/>
      <c r="BU313" s="10" t="n">
        <v>18</v>
      </c>
      <c r="BV313" s="11" t="n">
        <f aca="false">IF(ISERROR(ROUND(MEDIAN(BQ313:BT313),0)),0,ROUND(MEDIAN(BQ313:BT313),0))</f>
        <v>0</v>
      </c>
      <c r="BW313" s="11" t="n">
        <f aca="false">IF(ISERROR(ROUND(MEDIAN(BM313:BT313),0)),0,ROUND(MEDIAN(BM313:BT313),0))</f>
        <v>0</v>
      </c>
      <c r="BX313" s="11" t="n">
        <f aca="false">IF(ISERROR(ROUND(MEDIAN(BI313:BT313),0)),0,ROUND(MEDIAN(BI313:BT313),0))</f>
        <v>0</v>
      </c>
      <c r="BY313" s="11" t="n">
        <f aca="false">IF(ISERROR(ROUND(MEDIAN(BE313:BT313),0)),0,ROUND(MEDIAN(BE313:BT313),0))</f>
        <v>0</v>
      </c>
      <c r="BZ313" s="11" t="n">
        <f aca="false">IF(ISERROR(ROUND(MEDIAN(AU313:BT313),0)),0,ROUND(MEDIAN(AU313:BT313),0))</f>
        <v>0</v>
      </c>
      <c r="CA313" s="12" t="n">
        <f aca="false">IF(ISERROR(ROUND(MEDIAN(U313:BT313),0)),0,ROUND(MEDIAN(U313:BT313),0))</f>
        <v>1</v>
      </c>
      <c r="CB313" s="12" t="n">
        <f aca="false">IF(ISERROR(ROUND(MEDIAN(BT313),0)),0,ROUND(MEDIAN(BT313),0))</f>
        <v>0</v>
      </c>
      <c r="CC313" s="12" t="n">
        <f aca="false">IF(ISERROR(ROUND(MEDIAN(D313:BT313),0)),0,ROUND(MEDIAN(D313:BT313),0))</f>
        <v>4</v>
      </c>
      <c r="CD313" s="12" t="n">
        <f aca="false">MAX(D313:BT313)</f>
        <v>6</v>
      </c>
      <c r="CE313" s="7" t="n">
        <f aca="false">COUNTA(BQ313:BT313)</f>
        <v>0</v>
      </c>
      <c r="CF313" s="7" t="n">
        <f aca="false">COUNTA(BM313:BT313)</f>
        <v>0</v>
      </c>
      <c r="CG313" s="7" t="n">
        <f aca="false">COUNTA(BI313:BT313)</f>
        <v>0</v>
      </c>
      <c r="CH313" s="7" t="n">
        <f aca="false">COUNTA(BE313:BT313)</f>
        <v>0</v>
      </c>
      <c r="CI313" s="7" t="n">
        <f aca="false">COUNTA(AU313:BT313)</f>
        <v>0</v>
      </c>
      <c r="CJ313" s="7" t="n">
        <f aca="false">COUNTA(U313:BT313)</f>
        <v>1</v>
      </c>
      <c r="CK313" s="7" t="n">
        <f aca="false">COUNTA(BT313)</f>
        <v>0</v>
      </c>
      <c r="CL313" s="7" t="n">
        <f aca="false">COUNTA(D313:BT313)</f>
        <v>5</v>
      </c>
      <c r="CM313" s="19" t="str">
        <f aca="false">IF(AND(CE313=1,CJ313=1,BT313&lt;&gt;""),"5.ENTRANTES",IF(AND(CE313&lt;&gt;0,CE313/RIGHT($CE$1,1)&gt;=0.5,CJ313=CE313),"4.RECENTES",IF(AND(CF313&lt;&gt;0,CF313/RIGHT($CF$1,1)&gt;=0.5,CJ313=CF313),"4.RECENTES",IF(AND(CG313&lt;&gt;0,CG313/RIGHT($CG$1,2)&gt;=0.5,CJ313=CG313),"4.RECENTES",IF(AND(CH313&lt;&gt;0,CH313/RIGHT($CH$1,2)&gt;=0.5,CJ313=CH313),"4.RECENTES",IF(AND(CI313&lt;&gt;0,CI313/RIGHT($CI$1,2)&gt;=0.5,CJ313=CI313),"4.RECENTES",IF(AND(CE313=0,CF313=0,CG313=0,CH313=0),"3.INATIVOS",IF(CJ313/RIGHT($CJ$1,2)&lt;0.5,"2.INTERMITENTES","1.ORDINÁRIOS"))))))))</f>
        <v>3.INATIVOS</v>
      </c>
      <c r="CN313" s="20" t="n">
        <f aca="false">IF(AND(CE313=1,CJ313=1,BT313&lt;&gt;""),BT313,IF(AND(CE313&lt;&gt;0,CE313/RIGHT($CE$1,1)&gt;=0.5,CJ313=CE313),MAX(BV313:CC313),IF(AND(CF313&lt;&gt;0,CF313/RIGHT($CF$1,1)&gt;=0.5,CJ313=CF313),MAX(BV313:CC313),IF(AND(CG313&lt;&gt;0,CG313/RIGHT($CG$1,2)&gt;=0.5,CJ313=CG313),MAX(BV313:CC313),IF(AND(CH313&lt;&gt;0,CH313/RIGHT($CH$1,2)&gt;=0.5,CJ313=CH313),MAX(BV313:CC313),IF(AND(CI313&lt;&gt;0,CI313/RIGHT($CI$1,2)&gt;=0.5,CJ313=CI313),MAX(BV313:CC313),IF(AND(CE313=0,CF313=0,CG313=0,CH313=0),0,IF(CJ313/RIGHT($CJ$1,2)&lt;0.5,ROUND(BU313/RIGHT($CJ$1,2),0),MAX(BV313:CC313)))))))))</f>
        <v>0</v>
      </c>
      <c r="CO313" s="20" t="n">
        <f aca="false">CN313*3</f>
        <v>0</v>
      </c>
      <c r="CP313" s="15" t="n">
        <v>0</v>
      </c>
      <c r="CQ313" s="16" t="n">
        <f aca="false">IF((CO313-CP313)&lt;0,0,(CO313-CP313))</f>
        <v>0</v>
      </c>
      <c r="CR313" s="7"/>
    </row>
    <row r="314" customFormat="false" ht="12.75" hidden="false" customHeight="true" outlineLevel="0" collapsed="false">
      <c r="A314" s="7" t="s">
        <v>388</v>
      </c>
      <c r="B314" s="7" t="s">
        <v>413</v>
      </c>
      <c r="C314" s="8" t="n">
        <v>5000049</v>
      </c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 t="n">
        <v>5</v>
      </c>
      <c r="T314" s="9" t="n">
        <v>2</v>
      </c>
      <c r="U314" s="9"/>
      <c r="V314" s="9" t="n">
        <v>4</v>
      </c>
      <c r="W314" s="9" t="n">
        <v>1</v>
      </c>
      <c r="X314" s="9" t="n">
        <v>1</v>
      </c>
      <c r="Y314" s="9" t="n">
        <v>3</v>
      </c>
      <c r="Z314" s="9" t="n">
        <v>5</v>
      </c>
      <c r="AA314" s="9" t="n">
        <v>5</v>
      </c>
      <c r="AB314" s="9" t="n">
        <v>6</v>
      </c>
      <c r="AC314" s="9" t="n">
        <v>3</v>
      </c>
      <c r="AD314" s="9" t="n">
        <v>3</v>
      </c>
      <c r="AE314" s="9" t="n">
        <v>2</v>
      </c>
      <c r="AF314" s="9" t="n">
        <v>1</v>
      </c>
      <c r="AG314" s="9" t="n">
        <v>2</v>
      </c>
      <c r="AH314" s="9" t="n">
        <v>4</v>
      </c>
      <c r="AI314" s="9" t="n">
        <v>2</v>
      </c>
      <c r="AJ314" s="9" t="n">
        <v>2</v>
      </c>
      <c r="AK314" s="9" t="n">
        <v>4</v>
      </c>
      <c r="AL314" s="9" t="n">
        <v>6</v>
      </c>
      <c r="AM314" s="9" t="n">
        <v>3</v>
      </c>
      <c r="AN314" s="9" t="n">
        <v>3</v>
      </c>
      <c r="AO314" s="9" t="n">
        <v>1</v>
      </c>
      <c r="AP314" s="9" t="n">
        <v>3</v>
      </c>
      <c r="AQ314" s="9" t="n">
        <v>2</v>
      </c>
      <c r="AR314" s="9" t="n">
        <v>3</v>
      </c>
      <c r="AS314" s="9" t="n">
        <v>6</v>
      </c>
      <c r="AT314" s="9"/>
      <c r="AU314" s="9" t="n">
        <v>2</v>
      </c>
      <c r="AV314" s="9" t="n">
        <v>1</v>
      </c>
      <c r="AW314" s="9" t="n">
        <v>1</v>
      </c>
      <c r="AX314" s="9" t="n">
        <v>2</v>
      </c>
      <c r="AY314" s="9" t="n">
        <v>4</v>
      </c>
      <c r="AZ314" s="9" t="n">
        <v>1</v>
      </c>
      <c r="BA314" s="9" t="n">
        <v>2</v>
      </c>
      <c r="BB314" s="9" t="n">
        <v>1</v>
      </c>
      <c r="BC314" s="9"/>
      <c r="BD314" s="9" t="n">
        <v>2</v>
      </c>
      <c r="BE314" s="9" t="n">
        <v>2</v>
      </c>
      <c r="BF314" s="9" t="n">
        <v>2</v>
      </c>
      <c r="BG314" s="9" t="n">
        <v>6</v>
      </c>
      <c r="BH314" s="9"/>
      <c r="BI314" s="9"/>
      <c r="BJ314" s="9" t="n">
        <v>3</v>
      </c>
      <c r="BK314" s="9" t="n">
        <v>3</v>
      </c>
      <c r="BL314" s="9"/>
      <c r="BM314" s="9" t="n">
        <v>6</v>
      </c>
      <c r="BN314" s="9" t="n">
        <v>1</v>
      </c>
      <c r="BO314" s="9" t="n">
        <v>2</v>
      </c>
      <c r="BP314" s="9" t="n">
        <v>4</v>
      </c>
      <c r="BQ314" s="9" t="n">
        <v>3</v>
      </c>
      <c r="BR314" s="9" t="n">
        <v>1</v>
      </c>
      <c r="BS314" s="9" t="n">
        <v>2</v>
      </c>
      <c r="BT314" s="9"/>
      <c r="BU314" s="10" t="n">
        <v>133</v>
      </c>
      <c r="BV314" s="11" t="n">
        <f aca="false">IF(ISERROR(ROUND(MEDIAN(BQ314:BT314),0)),0,ROUND(MEDIAN(BQ314:BT314),0))</f>
        <v>2</v>
      </c>
      <c r="BW314" s="11" t="n">
        <f aca="false">IF(ISERROR(ROUND(MEDIAN(BM314:BT314),0)),0,ROUND(MEDIAN(BM314:BT314),0))</f>
        <v>2</v>
      </c>
      <c r="BX314" s="11" t="n">
        <f aca="false">IF(ISERROR(ROUND(MEDIAN(BI314:BT314),0)),0,ROUND(MEDIAN(BI314:BT314),0))</f>
        <v>3</v>
      </c>
      <c r="BY314" s="11" t="n">
        <f aca="false">IF(ISERROR(ROUND(MEDIAN(BE314:BT314),0)),0,ROUND(MEDIAN(BE314:BT314),0))</f>
        <v>3</v>
      </c>
      <c r="BZ314" s="11" t="n">
        <f aca="false">IF(ISERROR(ROUND(MEDIAN(AU314:BT314),0)),0,ROUND(MEDIAN(AU314:BT314),0))</f>
        <v>2</v>
      </c>
      <c r="CA314" s="12" t="n">
        <f aca="false">IF(ISERROR(ROUND(MEDIAN(U314:BT314),0)),0,ROUND(MEDIAN(U314:BT314),0))</f>
        <v>2</v>
      </c>
      <c r="CB314" s="12" t="n">
        <f aca="false">IF(ISERROR(ROUND(MEDIAN(BT314),0)),0,ROUND(MEDIAN(BT314),0))</f>
        <v>0</v>
      </c>
      <c r="CC314" s="12" t="n">
        <f aca="false">IF(ISERROR(ROUND(MEDIAN(D314:BT314),0)),0,ROUND(MEDIAN(D314:BT314),0))</f>
        <v>2</v>
      </c>
      <c r="CD314" s="12" t="n">
        <f aca="false">MAX(D314:BT314)</f>
        <v>6</v>
      </c>
      <c r="CE314" s="7" t="n">
        <f aca="false">COUNTA(BQ314:BT314)</f>
        <v>3</v>
      </c>
      <c r="CF314" s="7" t="n">
        <f aca="false">COUNTA(BM314:BT314)</f>
        <v>7</v>
      </c>
      <c r="CG314" s="7" t="n">
        <f aca="false">COUNTA(BI314:BT314)</f>
        <v>9</v>
      </c>
      <c r="CH314" s="7" t="n">
        <f aca="false">COUNTA(BE314:BT314)</f>
        <v>12</v>
      </c>
      <c r="CI314" s="7" t="n">
        <f aca="false">COUNTA(AU314:BT314)</f>
        <v>21</v>
      </c>
      <c r="CJ314" s="7" t="n">
        <f aca="false">COUNTA(U314:BT314)</f>
        <v>45</v>
      </c>
      <c r="CK314" s="7" t="n">
        <f aca="false">COUNTA(BT314)</f>
        <v>0</v>
      </c>
      <c r="CL314" s="7" t="n">
        <f aca="false">COUNTA(D314:BT314)</f>
        <v>47</v>
      </c>
      <c r="CM314" s="13" t="str">
        <f aca="false">IF(AND(CE314=1,CJ314=1,BT314&lt;&gt;""),"5.ENTRANTES",IF(AND(CE314&lt;&gt;0,CE314/RIGHT($CE$1,1)&gt;=0.5,CJ314=CE314),"4.RECENTES",IF(AND(CF314&lt;&gt;0,CF314/RIGHT($CF$1,1)&gt;=0.5,CJ314=CF314),"4.RECENTES",IF(AND(CG314&lt;&gt;0,CG314/RIGHT($CG$1,2)&gt;=0.5,CJ314=CG314),"4.RECENTES",IF(AND(CH314&lt;&gt;0,CH314/RIGHT($CH$1,2)&gt;=0.5,CJ314=CH314),"4.RECENTES",IF(AND(CI314&lt;&gt;0,CI314/RIGHT($CI$1,2)&gt;=0.5,CJ314=CI314),"4.RECENTES",IF(AND(CE314=0,CF314=0,CG314=0,CH314=0),"3.INATIVOS",IF(CJ314/RIGHT($CJ$1,2)&lt;0.5,"2.INTERMITENTES","1.ORDINÁRIOS"))))))))</f>
        <v>1.ORDINÁRIOS</v>
      </c>
      <c r="CN314" s="14" t="n">
        <f aca="false">IF(AND(CE314=1,CJ314=1,BT314&lt;&gt;""),BT314,IF(AND(CE314&lt;&gt;0,CE314/RIGHT($CE$1,1)&gt;=0.5,CJ314=CE314),MAX(BV314:CC314),IF(AND(CF314&lt;&gt;0,CF314/RIGHT($CF$1,1)&gt;=0.5,CJ314=CF314),MAX(BV314:CC314),IF(AND(CG314&lt;&gt;0,CG314/RIGHT($CG$1,2)&gt;=0.5,CJ314=CG314),MAX(BV314:CC314),IF(AND(CH314&lt;&gt;0,CH314/RIGHT($CH$1,2)&gt;=0.5,CJ314=CH314),MAX(BV314:CC314),IF(AND(CI314&lt;&gt;0,CI314/RIGHT($CI$1,2)&gt;=0.5,CJ314=CI314),MAX(BV314:CC314),IF(AND(CE314=0,CF314=0,CG314=0,CH314=0),0,IF(CJ314/RIGHT($CJ$1,2)&lt;0.5,ROUND(BU314/RIGHT($CJ$1,2),0),MAX(BV314:CC314)))))))))</f>
        <v>3</v>
      </c>
      <c r="CO314" s="14" t="n">
        <f aca="false">CN314*3</f>
        <v>9</v>
      </c>
      <c r="CP314" s="15" t="n">
        <v>10</v>
      </c>
      <c r="CQ314" s="16" t="n">
        <f aca="false">IF((CO314-CP314)&lt;0,0,(CO314-CP314))</f>
        <v>0</v>
      </c>
      <c r="CR314" s="7"/>
    </row>
    <row r="315" customFormat="false" ht="12.75" hidden="false" customHeight="true" outlineLevel="0" collapsed="false">
      <c r="A315" s="7" t="s">
        <v>388</v>
      </c>
      <c r="B315" s="7" t="s">
        <v>414</v>
      </c>
      <c r="C315" s="8" t="n">
        <v>5000098</v>
      </c>
      <c r="D315" s="9"/>
      <c r="E315" s="9" t="n">
        <v>8</v>
      </c>
      <c r="F315" s="9" t="n">
        <v>21</v>
      </c>
      <c r="G315" s="9" t="n">
        <v>41</v>
      </c>
      <c r="H315" s="9" t="n">
        <v>26</v>
      </c>
      <c r="I315" s="9" t="n">
        <v>55</v>
      </c>
      <c r="J315" s="9" t="n">
        <v>20</v>
      </c>
      <c r="K315" s="9" t="n">
        <v>20</v>
      </c>
      <c r="L315" s="9" t="n">
        <v>70</v>
      </c>
      <c r="M315" s="9" t="n">
        <v>21</v>
      </c>
      <c r="N315" s="9" t="n">
        <v>23</v>
      </c>
      <c r="O315" s="9" t="n">
        <v>82</v>
      </c>
      <c r="P315" s="9" t="n">
        <v>64</v>
      </c>
      <c r="Q315" s="9" t="n">
        <v>21</v>
      </c>
      <c r="R315" s="9" t="n">
        <v>28</v>
      </c>
      <c r="S315" s="9" t="n">
        <v>2</v>
      </c>
      <c r="T315" s="9" t="n">
        <v>5</v>
      </c>
      <c r="U315" s="9"/>
      <c r="V315" s="9" t="n">
        <v>20</v>
      </c>
      <c r="W315" s="9" t="n">
        <v>4</v>
      </c>
      <c r="X315" s="9" t="n">
        <v>10</v>
      </c>
      <c r="Y315" s="9" t="n">
        <v>6</v>
      </c>
      <c r="Z315" s="9" t="n">
        <v>4</v>
      </c>
      <c r="AA315" s="9" t="n">
        <v>3</v>
      </c>
      <c r="AB315" s="9" t="n">
        <v>13</v>
      </c>
      <c r="AC315" s="9" t="n">
        <v>6</v>
      </c>
      <c r="AD315" s="9" t="n">
        <v>1</v>
      </c>
      <c r="AE315" s="9" t="n">
        <v>3</v>
      </c>
      <c r="AF315" s="9" t="n">
        <v>5</v>
      </c>
      <c r="AG315" s="9" t="n">
        <v>1</v>
      </c>
      <c r="AH315" s="9" t="n">
        <v>5</v>
      </c>
      <c r="AI315" s="9" t="n">
        <v>9</v>
      </c>
      <c r="AJ315" s="9" t="n">
        <v>2</v>
      </c>
      <c r="AK315" s="9" t="n">
        <v>9</v>
      </c>
      <c r="AL315" s="9" t="n">
        <v>6</v>
      </c>
      <c r="AM315" s="9" t="n">
        <v>5</v>
      </c>
      <c r="AN315" s="9" t="n">
        <v>14</v>
      </c>
      <c r="AO315" s="9" t="n">
        <v>2</v>
      </c>
      <c r="AP315" s="9" t="n">
        <v>4</v>
      </c>
      <c r="AQ315" s="9"/>
      <c r="AR315" s="9" t="n">
        <v>17</v>
      </c>
      <c r="AS315" s="9" t="n">
        <v>15</v>
      </c>
      <c r="AT315" s="9" t="n">
        <v>3</v>
      </c>
      <c r="AU315" s="9" t="n">
        <v>9</v>
      </c>
      <c r="AV315" s="9" t="n">
        <v>4</v>
      </c>
      <c r="AW315" s="9" t="n">
        <v>2</v>
      </c>
      <c r="AX315" s="9" t="n">
        <v>4</v>
      </c>
      <c r="AY315" s="9" t="n">
        <v>2</v>
      </c>
      <c r="AZ315" s="9" t="n">
        <v>2</v>
      </c>
      <c r="BA315" s="9" t="n">
        <v>2</v>
      </c>
      <c r="BB315" s="9"/>
      <c r="BC315" s="9" t="n">
        <v>2</v>
      </c>
      <c r="BD315" s="9" t="n">
        <v>1</v>
      </c>
      <c r="BE315" s="9" t="n">
        <v>4</v>
      </c>
      <c r="BF315" s="9" t="n">
        <v>9</v>
      </c>
      <c r="BG315" s="9" t="n">
        <v>3</v>
      </c>
      <c r="BH315" s="9" t="n">
        <v>8</v>
      </c>
      <c r="BI315" s="9"/>
      <c r="BJ315" s="9" t="n">
        <v>1</v>
      </c>
      <c r="BK315" s="9" t="n">
        <v>3</v>
      </c>
      <c r="BL315" s="9" t="n">
        <v>1</v>
      </c>
      <c r="BM315" s="9" t="n">
        <v>5</v>
      </c>
      <c r="BN315" s="9" t="n">
        <v>5</v>
      </c>
      <c r="BO315" s="9" t="n">
        <v>3</v>
      </c>
      <c r="BP315" s="9" t="n">
        <v>8</v>
      </c>
      <c r="BQ315" s="9" t="n">
        <v>11</v>
      </c>
      <c r="BR315" s="9" t="n">
        <v>4</v>
      </c>
      <c r="BS315" s="9" t="n">
        <v>2</v>
      </c>
      <c r="BT315" s="9" t="n">
        <v>4</v>
      </c>
      <c r="BU315" s="10" t="n">
        <v>773</v>
      </c>
      <c r="BV315" s="11" t="n">
        <f aca="false">IF(ISERROR(ROUND(MEDIAN(BQ315:BT315),0)),0,ROUND(MEDIAN(BQ315:BT315),0))</f>
        <v>4</v>
      </c>
      <c r="BW315" s="11" t="n">
        <f aca="false">IF(ISERROR(ROUND(MEDIAN(BM315:BT315),0)),0,ROUND(MEDIAN(BM315:BT315),0))</f>
        <v>5</v>
      </c>
      <c r="BX315" s="11" t="n">
        <f aca="false">IF(ISERROR(ROUND(MEDIAN(BI315:BT315),0)),0,ROUND(MEDIAN(BI315:BT315),0))</f>
        <v>4</v>
      </c>
      <c r="BY315" s="11" t="n">
        <f aca="false">IF(ISERROR(ROUND(MEDIAN(BE315:BT315),0)),0,ROUND(MEDIAN(BE315:BT315),0))</f>
        <v>4</v>
      </c>
      <c r="BZ315" s="11" t="n">
        <f aca="false">IF(ISERROR(ROUND(MEDIAN(AU315:BT315),0)),0,ROUND(MEDIAN(AU315:BT315),0))</f>
        <v>4</v>
      </c>
      <c r="CA315" s="12" t="n">
        <f aca="false">IF(ISERROR(ROUND(MEDIAN(U315:BT315),0)),0,ROUND(MEDIAN(U315:BT315),0))</f>
        <v>4</v>
      </c>
      <c r="CB315" s="12" t="n">
        <f aca="false">IF(ISERROR(ROUND(MEDIAN(BT315),0)),0,ROUND(MEDIAN(BT315),0))</f>
        <v>4</v>
      </c>
      <c r="CC315" s="12" t="n">
        <f aca="false">IF(ISERROR(ROUND(MEDIAN(D315:BT315),0)),0,ROUND(MEDIAN(D315:BT315),0))</f>
        <v>5</v>
      </c>
      <c r="CD315" s="12" t="n">
        <f aca="false">MAX(D315:BT315)</f>
        <v>82</v>
      </c>
      <c r="CE315" s="7" t="n">
        <f aca="false">COUNTA(BQ315:BT315)</f>
        <v>4</v>
      </c>
      <c r="CF315" s="7" t="n">
        <f aca="false">COUNTA(BM315:BT315)</f>
        <v>8</v>
      </c>
      <c r="CG315" s="7" t="n">
        <f aca="false">COUNTA(BI315:BT315)</f>
        <v>11</v>
      </c>
      <c r="CH315" s="7" t="n">
        <f aca="false">COUNTA(BE315:BT315)</f>
        <v>15</v>
      </c>
      <c r="CI315" s="7" t="n">
        <f aca="false">COUNTA(AU315:BT315)</f>
        <v>24</v>
      </c>
      <c r="CJ315" s="7" t="n">
        <f aca="false">COUNTA(U315:BT315)</f>
        <v>48</v>
      </c>
      <c r="CK315" s="7" t="n">
        <f aca="false">COUNTA(BT315)</f>
        <v>1</v>
      </c>
      <c r="CL315" s="7" t="n">
        <f aca="false">COUNTA(D315:BT315)</f>
        <v>64</v>
      </c>
      <c r="CM315" s="13" t="str">
        <f aca="false">IF(AND(CE315=1,CJ315=1,BT315&lt;&gt;""),"5.ENTRANTES",IF(AND(CE315&lt;&gt;0,CE315/RIGHT($CE$1,1)&gt;=0.5,CJ315=CE315),"4.RECENTES",IF(AND(CF315&lt;&gt;0,CF315/RIGHT($CF$1,1)&gt;=0.5,CJ315=CF315),"4.RECENTES",IF(AND(CG315&lt;&gt;0,CG315/RIGHT($CG$1,2)&gt;=0.5,CJ315=CG315),"4.RECENTES",IF(AND(CH315&lt;&gt;0,CH315/RIGHT($CH$1,2)&gt;=0.5,CJ315=CH315),"4.RECENTES",IF(AND(CI315&lt;&gt;0,CI315/RIGHT($CI$1,2)&gt;=0.5,CJ315=CI315),"4.RECENTES",IF(AND(CE315=0,CF315=0,CG315=0,CH315=0),"3.INATIVOS",IF(CJ315/RIGHT($CJ$1,2)&lt;0.5,"2.INTERMITENTES","1.ORDINÁRIOS"))))))))</f>
        <v>1.ORDINÁRIOS</v>
      </c>
      <c r="CN315" s="14" t="n">
        <f aca="false">IF(AND(CE315=1,CJ315=1,BT315&lt;&gt;""),BT315,IF(AND(CE315&lt;&gt;0,CE315/RIGHT($CE$1,1)&gt;=0.5,CJ315=CE315),MAX(BV315:CC315),IF(AND(CF315&lt;&gt;0,CF315/RIGHT($CF$1,1)&gt;=0.5,CJ315=CF315),MAX(BV315:CC315),IF(AND(CG315&lt;&gt;0,CG315/RIGHT($CG$1,2)&gt;=0.5,CJ315=CG315),MAX(BV315:CC315),IF(AND(CH315&lt;&gt;0,CH315/RIGHT($CH$1,2)&gt;=0.5,CJ315=CH315),MAX(BV315:CC315),IF(AND(CI315&lt;&gt;0,CI315/RIGHT($CI$1,2)&gt;=0.5,CJ315=CI315),MAX(BV315:CC315),IF(AND(CE315=0,CF315=0,CG315=0,CH315=0),0,IF(CJ315/RIGHT($CJ$1,2)&lt;0.5,ROUND(BU315/RIGHT($CJ$1,2),0),MAX(BV315:CC315)))))))))</f>
        <v>5</v>
      </c>
      <c r="CO315" s="14" t="n">
        <f aca="false">CN315*3</f>
        <v>15</v>
      </c>
      <c r="CP315" s="15" t="n">
        <v>40</v>
      </c>
      <c r="CQ315" s="16" t="n">
        <f aca="false">IF((CO315-CP315)&lt;0,0,(CO315-CP315))</f>
        <v>0</v>
      </c>
      <c r="CR315" s="7"/>
    </row>
    <row r="316" customFormat="false" ht="12.75" hidden="false" customHeight="true" outlineLevel="0" collapsed="false">
      <c r="A316" s="7" t="s">
        <v>388</v>
      </c>
      <c r="B316" s="7" t="s">
        <v>415</v>
      </c>
      <c r="C316" s="8" t="n">
        <v>5000059</v>
      </c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 t="n">
        <v>5</v>
      </c>
      <c r="AU316" s="9"/>
      <c r="AV316" s="9"/>
      <c r="AW316" s="9"/>
      <c r="AX316" s="9"/>
      <c r="AY316" s="9"/>
      <c r="AZ316" s="9"/>
      <c r="BA316" s="9"/>
      <c r="BB316" s="9"/>
      <c r="BC316" s="9"/>
      <c r="BD316" s="9"/>
      <c r="BE316" s="9"/>
      <c r="BF316" s="9"/>
      <c r="BG316" s="9" t="n">
        <v>4</v>
      </c>
      <c r="BH316" s="9"/>
      <c r="BI316" s="9"/>
      <c r="BJ316" s="9"/>
      <c r="BK316" s="9"/>
      <c r="BL316" s="9"/>
      <c r="BM316" s="9"/>
      <c r="BN316" s="9"/>
      <c r="BO316" s="9"/>
      <c r="BP316" s="9"/>
      <c r="BQ316" s="9"/>
      <c r="BR316" s="9"/>
      <c r="BS316" s="9"/>
      <c r="BT316" s="9"/>
      <c r="BU316" s="10" t="n">
        <v>9</v>
      </c>
      <c r="BV316" s="11" t="n">
        <f aca="false">IF(ISERROR(ROUND(MEDIAN(BQ316:BT316),0)),0,ROUND(MEDIAN(BQ316:BT316),0))</f>
        <v>0</v>
      </c>
      <c r="BW316" s="11" t="n">
        <f aca="false">IF(ISERROR(ROUND(MEDIAN(BM316:BT316),0)),0,ROUND(MEDIAN(BM316:BT316),0))</f>
        <v>0</v>
      </c>
      <c r="BX316" s="11" t="n">
        <f aca="false">IF(ISERROR(ROUND(MEDIAN(BI316:BT316),0)),0,ROUND(MEDIAN(BI316:BT316),0))</f>
        <v>0</v>
      </c>
      <c r="BY316" s="11" t="n">
        <f aca="false">IF(ISERROR(ROUND(MEDIAN(BE316:BT316),0)),0,ROUND(MEDIAN(BE316:BT316),0))</f>
        <v>4</v>
      </c>
      <c r="BZ316" s="11" t="n">
        <f aca="false">IF(ISERROR(ROUND(MEDIAN(AU316:BT316),0)),0,ROUND(MEDIAN(AU316:BT316),0))</f>
        <v>4</v>
      </c>
      <c r="CA316" s="12" t="n">
        <f aca="false">IF(ISERROR(ROUND(MEDIAN(U316:BT316),0)),0,ROUND(MEDIAN(U316:BT316),0))</f>
        <v>5</v>
      </c>
      <c r="CB316" s="12" t="n">
        <f aca="false">IF(ISERROR(ROUND(MEDIAN(BT316),0)),0,ROUND(MEDIAN(BT316),0))</f>
        <v>0</v>
      </c>
      <c r="CC316" s="12" t="n">
        <f aca="false">IF(ISERROR(ROUND(MEDIAN(D316:BT316),0)),0,ROUND(MEDIAN(D316:BT316),0))</f>
        <v>5</v>
      </c>
      <c r="CD316" s="12" t="n">
        <f aca="false">MAX(D316:BT316)</f>
        <v>5</v>
      </c>
      <c r="CE316" s="7" t="n">
        <f aca="false">COUNTA(BQ316:BT316)</f>
        <v>0</v>
      </c>
      <c r="CF316" s="7" t="n">
        <f aca="false">COUNTA(BM316:BT316)</f>
        <v>0</v>
      </c>
      <c r="CG316" s="7" t="n">
        <f aca="false">COUNTA(BI316:BT316)</f>
        <v>0</v>
      </c>
      <c r="CH316" s="7" t="n">
        <f aca="false">COUNTA(BE316:BT316)</f>
        <v>1</v>
      </c>
      <c r="CI316" s="7" t="n">
        <f aca="false">COUNTA(AU316:BT316)</f>
        <v>1</v>
      </c>
      <c r="CJ316" s="7" t="n">
        <f aca="false">COUNTA(U316:BT316)</f>
        <v>2</v>
      </c>
      <c r="CK316" s="7" t="n">
        <f aca="false">COUNTA(BT316)</f>
        <v>0</v>
      </c>
      <c r="CL316" s="7" t="n">
        <f aca="false">COUNTA(D316:BT316)</f>
        <v>2</v>
      </c>
      <c r="CM316" s="17" t="str">
        <f aca="false">IF(AND(CE316=1,CJ316=1,BT316&lt;&gt;""),"5.ENTRANTES",IF(AND(CE316&lt;&gt;0,CE316/RIGHT($CE$1,1)&gt;=0.5,CJ316=CE316),"4.RECENTES",IF(AND(CF316&lt;&gt;0,CF316/RIGHT($CF$1,1)&gt;=0.5,CJ316=CF316),"4.RECENTES",IF(AND(CG316&lt;&gt;0,CG316/RIGHT($CG$1,2)&gt;=0.5,CJ316=CG316),"4.RECENTES",IF(AND(CH316&lt;&gt;0,CH316/RIGHT($CH$1,2)&gt;=0.5,CJ316=CH316),"4.RECENTES",IF(AND(CI316&lt;&gt;0,CI316/RIGHT($CI$1,2)&gt;=0.5,CJ316=CI316),"4.RECENTES",IF(AND(CE316=0,CF316=0,CG316=0,CH316=0),"3.INATIVOS",IF(CJ316/RIGHT($CJ$1,2)&lt;0.5,"2.INTERMITENTES","1.ORDINÁRIOS"))))))))</f>
        <v>2.INTERMITENTES</v>
      </c>
      <c r="CN316" s="18" t="n">
        <f aca="false">IF(AND(CE316=1,CJ316=1,BT316&lt;&gt;""),BT316,IF(AND(CE316&lt;&gt;0,CE316/RIGHT($CE$1,1)&gt;=0.5,CJ316=CE316),MAX(BV316:CC316),IF(AND(CF316&lt;&gt;0,CF316/RIGHT($CF$1,1)&gt;=0.5,CJ316=CF316),MAX(BV316:CC316),IF(AND(CG316&lt;&gt;0,CG316/RIGHT($CG$1,2)&gt;=0.5,CJ316=CG316),MAX(BV316:CC316),IF(AND(CH316&lt;&gt;0,CH316/RIGHT($CH$1,2)&gt;=0.5,CJ316=CH316),MAX(BV316:CC316),IF(AND(CI316&lt;&gt;0,CI316/RIGHT($CI$1,2)&gt;=0.5,CJ316=CI316),MAX(BV316:CC316),IF(AND(CE316=0,CF316=0,CG316=0,CH316=0),0,IF(CJ316/RIGHT($CJ$1,2)&lt;0.5,ROUND(BU316/RIGHT($CJ$1,2),0),MAX(BV316:CC316)))))))))</f>
        <v>0</v>
      </c>
      <c r="CO316" s="18" t="n">
        <f aca="false">CD316</f>
        <v>5</v>
      </c>
      <c r="CP316" s="15" t="n">
        <v>26</v>
      </c>
      <c r="CQ316" s="16" t="n">
        <f aca="false">IF((CO316-CP316)&lt;0,0,(CO316-CP316))</f>
        <v>0</v>
      </c>
      <c r="CR316" s="7"/>
    </row>
    <row r="317" customFormat="false" ht="12.75" hidden="false" customHeight="true" outlineLevel="0" collapsed="false">
      <c r="A317" s="7" t="s">
        <v>388</v>
      </c>
      <c r="B317" s="7" t="s">
        <v>416</v>
      </c>
      <c r="C317" s="8" t="n">
        <v>5000061</v>
      </c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 t="n">
        <v>1</v>
      </c>
      <c r="AE317" s="9"/>
      <c r="AF317" s="9"/>
      <c r="AG317" s="9"/>
      <c r="AH317" s="9"/>
      <c r="AI317" s="9"/>
      <c r="AJ317" s="9"/>
      <c r="AK317" s="9"/>
      <c r="AL317" s="9"/>
      <c r="AM317" s="9"/>
      <c r="AN317" s="9" t="n">
        <v>1</v>
      </c>
      <c r="AO317" s="9"/>
      <c r="AP317" s="9"/>
      <c r="AQ317" s="9"/>
      <c r="AR317" s="9"/>
      <c r="AS317" s="9"/>
      <c r="AT317" s="9"/>
      <c r="AU317" s="9"/>
      <c r="AV317" s="9"/>
      <c r="AW317" s="9"/>
      <c r="AX317" s="9"/>
      <c r="AY317" s="9"/>
      <c r="AZ317" s="9"/>
      <c r="BA317" s="9"/>
      <c r="BB317" s="9"/>
      <c r="BC317" s="9"/>
      <c r="BD317" s="9"/>
      <c r="BE317" s="9"/>
      <c r="BF317" s="9"/>
      <c r="BG317" s="9" t="n">
        <v>1</v>
      </c>
      <c r="BH317" s="9"/>
      <c r="BI317" s="9"/>
      <c r="BJ317" s="9"/>
      <c r="BK317" s="9"/>
      <c r="BL317" s="9"/>
      <c r="BM317" s="9" t="n">
        <v>8</v>
      </c>
      <c r="BN317" s="9"/>
      <c r="BO317" s="9"/>
      <c r="BP317" s="9"/>
      <c r="BQ317" s="9"/>
      <c r="BR317" s="9"/>
      <c r="BS317" s="9"/>
      <c r="BT317" s="9"/>
      <c r="BU317" s="10" t="n">
        <v>11</v>
      </c>
      <c r="BV317" s="11" t="n">
        <f aca="false">IF(ISERROR(ROUND(MEDIAN(BQ317:BT317),0)),0,ROUND(MEDIAN(BQ317:BT317),0))</f>
        <v>0</v>
      </c>
      <c r="BW317" s="11" t="n">
        <f aca="false">IF(ISERROR(ROUND(MEDIAN(BM317:BT317),0)),0,ROUND(MEDIAN(BM317:BT317),0))</f>
        <v>8</v>
      </c>
      <c r="BX317" s="11" t="n">
        <f aca="false">IF(ISERROR(ROUND(MEDIAN(BI317:BT317),0)),0,ROUND(MEDIAN(BI317:BT317),0))</f>
        <v>8</v>
      </c>
      <c r="BY317" s="11" t="n">
        <f aca="false">IF(ISERROR(ROUND(MEDIAN(BE317:BT317),0)),0,ROUND(MEDIAN(BE317:BT317),0))</f>
        <v>5</v>
      </c>
      <c r="BZ317" s="11" t="n">
        <f aca="false">IF(ISERROR(ROUND(MEDIAN(AU317:BT317),0)),0,ROUND(MEDIAN(AU317:BT317),0))</f>
        <v>5</v>
      </c>
      <c r="CA317" s="12" t="n">
        <f aca="false">IF(ISERROR(ROUND(MEDIAN(U317:BT317),0)),0,ROUND(MEDIAN(U317:BT317),0))</f>
        <v>1</v>
      </c>
      <c r="CB317" s="12" t="n">
        <f aca="false">IF(ISERROR(ROUND(MEDIAN(BT317),0)),0,ROUND(MEDIAN(BT317),0))</f>
        <v>0</v>
      </c>
      <c r="CC317" s="12" t="n">
        <f aca="false">IF(ISERROR(ROUND(MEDIAN(D317:BT317),0)),0,ROUND(MEDIAN(D317:BT317),0))</f>
        <v>1</v>
      </c>
      <c r="CD317" s="12" t="n">
        <f aca="false">MAX(D317:BT317)</f>
        <v>8</v>
      </c>
      <c r="CE317" s="7" t="n">
        <f aca="false">COUNTA(BQ317:BT317)</f>
        <v>0</v>
      </c>
      <c r="CF317" s="7" t="n">
        <f aca="false">COUNTA(BM317:BT317)</f>
        <v>1</v>
      </c>
      <c r="CG317" s="7" t="n">
        <f aca="false">COUNTA(BI317:BT317)</f>
        <v>1</v>
      </c>
      <c r="CH317" s="7" t="n">
        <f aca="false">COUNTA(BE317:BT317)</f>
        <v>2</v>
      </c>
      <c r="CI317" s="7" t="n">
        <f aca="false">COUNTA(AU317:BT317)</f>
        <v>2</v>
      </c>
      <c r="CJ317" s="7" t="n">
        <f aca="false">COUNTA(U317:BT317)</f>
        <v>4</v>
      </c>
      <c r="CK317" s="7" t="n">
        <f aca="false">COUNTA(BT317)</f>
        <v>0</v>
      </c>
      <c r="CL317" s="7" t="n">
        <f aca="false">COUNTA(D317:BT317)</f>
        <v>4</v>
      </c>
      <c r="CM317" s="17" t="str">
        <f aca="false">IF(AND(CE317=1,CJ317=1,BT317&lt;&gt;""),"5.ENTRANTES",IF(AND(CE317&lt;&gt;0,CE317/RIGHT($CE$1,1)&gt;=0.5,CJ317=CE317),"4.RECENTES",IF(AND(CF317&lt;&gt;0,CF317/RIGHT($CF$1,1)&gt;=0.5,CJ317=CF317),"4.RECENTES",IF(AND(CG317&lt;&gt;0,CG317/RIGHT($CG$1,2)&gt;=0.5,CJ317=CG317),"4.RECENTES",IF(AND(CH317&lt;&gt;0,CH317/RIGHT($CH$1,2)&gt;=0.5,CJ317=CH317),"4.RECENTES",IF(AND(CI317&lt;&gt;0,CI317/RIGHT($CI$1,2)&gt;=0.5,CJ317=CI317),"4.RECENTES",IF(AND(CE317=0,CF317=0,CG317=0,CH317=0),"3.INATIVOS",IF(CJ317/RIGHT($CJ$1,2)&lt;0.5,"2.INTERMITENTES","1.ORDINÁRIOS"))))))))</f>
        <v>2.INTERMITENTES</v>
      </c>
      <c r="CN317" s="18" t="n">
        <f aca="false">IF(AND(CE317=1,CJ317=1,BT317&lt;&gt;""),BT317,IF(AND(CE317&lt;&gt;0,CE317/RIGHT($CE$1,1)&gt;=0.5,CJ317=CE317),MAX(BV317:CC317),IF(AND(CF317&lt;&gt;0,CF317/RIGHT($CF$1,1)&gt;=0.5,CJ317=CF317),MAX(BV317:CC317),IF(AND(CG317&lt;&gt;0,CG317/RIGHT($CG$1,2)&gt;=0.5,CJ317=CG317),MAX(BV317:CC317),IF(AND(CH317&lt;&gt;0,CH317/RIGHT($CH$1,2)&gt;=0.5,CJ317=CH317),MAX(BV317:CC317),IF(AND(CI317&lt;&gt;0,CI317/RIGHT($CI$1,2)&gt;=0.5,CJ317=CI317),MAX(BV317:CC317),IF(AND(CE317=0,CF317=0,CG317=0,CH317=0),0,IF(CJ317/RIGHT($CJ$1,2)&lt;0.5,ROUND(BU317/RIGHT($CJ$1,2),0),MAX(BV317:CC317)))))))))</f>
        <v>0</v>
      </c>
      <c r="CO317" s="18" t="n">
        <f aca="false">CD317</f>
        <v>8</v>
      </c>
      <c r="CP317" s="15" t="n">
        <v>22</v>
      </c>
      <c r="CQ317" s="16" t="n">
        <f aca="false">IF((CO317-CP317)&lt;0,0,(CO317-CP317))</f>
        <v>0</v>
      </c>
      <c r="CR317" s="7"/>
    </row>
    <row r="318" customFormat="false" ht="12.75" hidden="false" customHeight="true" outlineLevel="0" collapsed="false">
      <c r="A318" s="7" t="s">
        <v>388</v>
      </c>
      <c r="B318" s="7" t="s">
        <v>417</v>
      </c>
      <c r="C318" s="8" t="n">
        <v>5000062</v>
      </c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 t="n">
        <v>1</v>
      </c>
      <c r="AK318" s="9" t="n">
        <v>3</v>
      </c>
      <c r="AL318" s="9"/>
      <c r="AM318" s="9"/>
      <c r="AN318" s="9" t="n">
        <v>1</v>
      </c>
      <c r="AO318" s="9"/>
      <c r="AP318" s="9" t="n">
        <v>1</v>
      </c>
      <c r="AQ318" s="9"/>
      <c r="AR318" s="9"/>
      <c r="AS318" s="9"/>
      <c r="AT318" s="9"/>
      <c r="AU318" s="9" t="n">
        <v>1</v>
      </c>
      <c r="AV318" s="9" t="n">
        <v>1</v>
      </c>
      <c r="AW318" s="9"/>
      <c r="AX318" s="9"/>
      <c r="AY318" s="9" t="n">
        <v>1</v>
      </c>
      <c r="AZ318" s="9"/>
      <c r="BA318" s="9" t="n">
        <v>8</v>
      </c>
      <c r="BB318" s="9"/>
      <c r="BC318" s="9" t="n">
        <v>1</v>
      </c>
      <c r="BD318" s="9" t="n">
        <v>1</v>
      </c>
      <c r="BE318" s="9" t="n">
        <v>1</v>
      </c>
      <c r="BF318" s="9"/>
      <c r="BG318" s="9"/>
      <c r="BH318" s="9"/>
      <c r="BI318" s="9"/>
      <c r="BJ318" s="9" t="n">
        <v>2</v>
      </c>
      <c r="BK318" s="9"/>
      <c r="BL318" s="9"/>
      <c r="BM318" s="9"/>
      <c r="BN318" s="9"/>
      <c r="BO318" s="9"/>
      <c r="BP318" s="9"/>
      <c r="BQ318" s="9"/>
      <c r="BR318" s="9"/>
      <c r="BS318" s="9" t="n">
        <v>1</v>
      </c>
      <c r="BT318" s="9"/>
      <c r="BU318" s="10" t="n">
        <v>23</v>
      </c>
      <c r="BV318" s="11" t="n">
        <f aca="false">IF(ISERROR(ROUND(MEDIAN(BQ318:BT318),0)),0,ROUND(MEDIAN(BQ318:BT318),0))</f>
        <v>1</v>
      </c>
      <c r="BW318" s="11" t="n">
        <f aca="false">IF(ISERROR(ROUND(MEDIAN(BM318:BT318),0)),0,ROUND(MEDIAN(BM318:BT318),0))</f>
        <v>1</v>
      </c>
      <c r="BX318" s="11" t="n">
        <f aca="false">IF(ISERROR(ROUND(MEDIAN(BI318:BT318),0)),0,ROUND(MEDIAN(BI318:BT318),0))</f>
        <v>2</v>
      </c>
      <c r="BY318" s="11" t="n">
        <f aca="false">IF(ISERROR(ROUND(MEDIAN(BE318:BT318),0)),0,ROUND(MEDIAN(BE318:BT318),0))</f>
        <v>1</v>
      </c>
      <c r="BZ318" s="11" t="n">
        <f aca="false">IF(ISERROR(ROUND(MEDIAN(AU318:BT318),0)),0,ROUND(MEDIAN(AU318:BT318),0))</f>
        <v>1</v>
      </c>
      <c r="CA318" s="12" t="n">
        <f aca="false">IF(ISERROR(ROUND(MEDIAN(U318:BT318),0)),0,ROUND(MEDIAN(U318:BT318),0))</f>
        <v>1</v>
      </c>
      <c r="CB318" s="12" t="n">
        <f aca="false">IF(ISERROR(ROUND(MEDIAN(BT318),0)),0,ROUND(MEDIAN(BT318),0))</f>
        <v>0</v>
      </c>
      <c r="CC318" s="12" t="n">
        <f aca="false">IF(ISERROR(ROUND(MEDIAN(D318:BT318),0)),0,ROUND(MEDIAN(D318:BT318),0))</f>
        <v>1</v>
      </c>
      <c r="CD318" s="12" t="n">
        <f aca="false">MAX(D318:BT318)</f>
        <v>8</v>
      </c>
      <c r="CE318" s="7" t="n">
        <f aca="false">COUNTA(BQ318:BT318)</f>
        <v>1</v>
      </c>
      <c r="CF318" s="7" t="n">
        <f aca="false">COUNTA(BM318:BT318)</f>
        <v>1</v>
      </c>
      <c r="CG318" s="7" t="n">
        <f aca="false">COUNTA(BI318:BT318)</f>
        <v>2</v>
      </c>
      <c r="CH318" s="7" t="n">
        <f aca="false">COUNTA(BE318:BT318)</f>
        <v>3</v>
      </c>
      <c r="CI318" s="7" t="n">
        <f aca="false">COUNTA(AU318:BT318)</f>
        <v>9</v>
      </c>
      <c r="CJ318" s="7" t="n">
        <f aca="false">COUNTA(U318:BT318)</f>
        <v>13</v>
      </c>
      <c r="CK318" s="7" t="n">
        <f aca="false">COUNTA(BT318)</f>
        <v>0</v>
      </c>
      <c r="CL318" s="7" t="n">
        <f aca="false">COUNTA(D318:BT318)</f>
        <v>13</v>
      </c>
      <c r="CM318" s="17" t="str">
        <f aca="false">IF(AND(CE318=1,CJ318=1,BT318&lt;&gt;""),"5.ENTRANTES",IF(AND(CE318&lt;&gt;0,CE318/RIGHT($CE$1,1)&gt;=0.5,CJ318=CE318),"4.RECENTES",IF(AND(CF318&lt;&gt;0,CF318/RIGHT($CF$1,1)&gt;=0.5,CJ318=CF318),"4.RECENTES",IF(AND(CG318&lt;&gt;0,CG318/RIGHT($CG$1,2)&gt;=0.5,CJ318=CG318),"4.RECENTES",IF(AND(CH318&lt;&gt;0,CH318/RIGHT($CH$1,2)&gt;=0.5,CJ318=CH318),"4.RECENTES",IF(AND(CI318&lt;&gt;0,CI318/RIGHT($CI$1,2)&gt;=0.5,CJ318=CI318),"4.RECENTES",IF(AND(CE318=0,CF318=0,CG318=0,CH318=0),"3.INATIVOS",IF(CJ318/RIGHT($CJ$1,2)&lt;0.5,"2.INTERMITENTES","1.ORDINÁRIOS"))))))))</f>
        <v>2.INTERMITENTES</v>
      </c>
      <c r="CN318" s="18" t="n">
        <f aca="false">IF(AND(CE318=1,CJ318=1,BT318&lt;&gt;""),BT318,IF(AND(CE318&lt;&gt;0,CE318/RIGHT($CE$1,1)&gt;=0.5,CJ318=CE318),MAX(BV318:CC318),IF(AND(CF318&lt;&gt;0,CF318/RIGHT($CF$1,1)&gt;=0.5,CJ318=CF318),MAX(BV318:CC318),IF(AND(CG318&lt;&gt;0,CG318/RIGHT($CG$1,2)&gt;=0.5,CJ318=CG318),MAX(BV318:CC318),IF(AND(CH318&lt;&gt;0,CH318/RIGHT($CH$1,2)&gt;=0.5,CJ318=CH318),MAX(BV318:CC318),IF(AND(CI318&lt;&gt;0,CI318/RIGHT($CI$1,2)&gt;=0.5,CJ318=CI318),MAX(BV318:CC318),IF(AND(CE318=0,CF318=0,CG318=0,CH318=0),0,IF(CJ318/RIGHT($CJ$1,2)&lt;0.5,ROUND(BU318/RIGHT($CJ$1,2),0),MAX(BV318:CC318)))))))))</f>
        <v>0</v>
      </c>
      <c r="CO318" s="18" t="n">
        <f aca="false">CD318</f>
        <v>8</v>
      </c>
      <c r="CP318" s="15" t="n">
        <v>19</v>
      </c>
      <c r="CQ318" s="16" t="n">
        <f aca="false">IF((CO318-CP318)&lt;0,0,(CO318-CP318))</f>
        <v>0</v>
      </c>
      <c r="CR318" s="7"/>
    </row>
    <row r="319" customFormat="false" ht="12.75" hidden="false" customHeight="true" outlineLevel="0" collapsed="false">
      <c r="A319" s="7" t="s">
        <v>388</v>
      </c>
      <c r="B319" s="7" t="s">
        <v>418</v>
      </c>
      <c r="C319" s="8" t="n">
        <v>5000079</v>
      </c>
      <c r="D319" s="9" t="n">
        <v>2</v>
      </c>
      <c r="E319" s="9"/>
      <c r="F319" s="9"/>
      <c r="G319" s="9"/>
      <c r="H319" s="9"/>
      <c r="I319" s="9"/>
      <c r="J319" s="9" t="n">
        <v>4</v>
      </c>
      <c r="K319" s="9"/>
      <c r="L319" s="9"/>
      <c r="M319" s="9"/>
      <c r="N319" s="9"/>
      <c r="O319" s="9" t="n">
        <v>5</v>
      </c>
      <c r="P319" s="9" t="n">
        <v>5</v>
      </c>
      <c r="Q319" s="9"/>
      <c r="R319" s="9"/>
      <c r="S319" s="9"/>
      <c r="T319" s="9"/>
      <c r="U319" s="9" t="n">
        <v>4</v>
      </c>
      <c r="V319" s="9"/>
      <c r="W319" s="9"/>
      <c r="X319" s="9"/>
      <c r="Y319" s="9"/>
      <c r="Z319" s="9"/>
      <c r="AA319" s="9"/>
      <c r="AB319" s="9"/>
      <c r="AC319" s="9"/>
      <c r="AD319" s="9" t="n">
        <v>8</v>
      </c>
      <c r="AE319" s="9"/>
      <c r="AF319" s="9" t="n">
        <v>4</v>
      </c>
      <c r="AG319" s="9"/>
      <c r="AH319" s="9"/>
      <c r="AI319" s="9"/>
      <c r="AJ319" s="9"/>
      <c r="AK319" s="9"/>
      <c r="AL319" s="9"/>
      <c r="AM319" s="9" t="n">
        <v>2</v>
      </c>
      <c r="AN319" s="9"/>
      <c r="AO319" s="9"/>
      <c r="AP319" s="9"/>
      <c r="AQ319" s="9"/>
      <c r="AR319" s="9"/>
      <c r="AS319" s="9"/>
      <c r="AT319" s="9" t="n">
        <v>9</v>
      </c>
      <c r="AU319" s="9"/>
      <c r="AV319" s="9"/>
      <c r="AW319" s="9"/>
      <c r="AX319" s="9"/>
      <c r="AY319" s="9"/>
      <c r="AZ319" s="9" t="n">
        <v>4</v>
      </c>
      <c r="BA319" s="9" t="n">
        <v>4</v>
      </c>
      <c r="BB319" s="9"/>
      <c r="BC319" s="9"/>
      <c r="BD319" s="9"/>
      <c r="BE319" s="9"/>
      <c r="BF319" s="9" t="n">
        <v>9</v>
      </c>
      <c r="BG319" s="9"/>
      <c r="BH319" s="9"/>
      <c r="BI319" s="9"/>
      <c r="BJ319" s="9"/>
      <c r="BK319" s="9" t="n">
        <v>4</v>
      </c>
      <c r="BL319" s="9"/>
      <c r="BM319" s="9"/>
      <c r="BN319" s="9" t="n">
        <v>8</v>
      </c>
      <c r="BO319" s="9" t="n">
        <v>3</v>
      </c>
      <c r="BP319" s="9"/>
      <c r="BQ319" s="9"/>
      <c r="BR319" s="9"/>
      <c r="BS319" s="9"/>
      <c r="BT319" s="9" t="n">
        <v>7</v>
      </c>
      <c r="BU319" s="10" t="n">
        <v>82</v>
      </c>
      <c r="BV319" s="11" t="n">
        <f aca="false">IF(ISERROR(ROUND(MEDIAN(BQ319:BT319),0)),0,ROUND(MEDIAN(BQ319:BT319),0))</f>
        <v>7</v>
      </c>
      <c r="BW319" s="11" t="n">
        <f aca="false">IF(ISERROR(ROUND(MEDIAN(BM319:BT319),0)),0,ROUND(MEDIAN(BM319:BT319),0))</f>
        <v>7</v>
      </c>
      <c r="BX319" s="11" t="n">
        <f aca="false">IF(ISERROR(ROUND(MEDIAN(BI319:BT319),0)),0,ROUND(MEDIAN(BI319:BT319),0))</f>
        <v>6</v>
      </c>
      <c r="BY319" s="11" t="n">
        <f aca="false">IF(ISERROR(ROUND(MEDIAN(BE319:BT319),0)),0,ROUND(MEDIAN(BE319:BT319),0))</f>
        <v>7</v>
      </c>
      <c r="BZ319" s="11" t="n">
        <f aca="false">IF(ISERROR(ROUND(MEDIAN(AU319:BT319),0)),0,ROUND(MEDIAN(AU319:BT319),0))</f>
        <v>4</v>
      </c>
      <c r="CA319" s="12" t="n">
        <f aca="false">IF(ISERROR(ROUND(MEDIAN(U319:BT319),0)),0,ROUND(MEDIAN(U319:BT319),0))</f>
        <v>4</v>
      </c>
      <c r="CB319" s="12" t="n">
        <f aca="false">IF(ISERROR(ROUND(MEDIAN(BT319),0)),0,ROUND(MEDIAN(BT319),0))</f>
        <v>7</v>
      </c>
      <c r="CC319" s="12" t="n">
        <f aca="false">IF(ISERROR(ROUND(MEDIAN(D319:BT319),0)),0,ROUND(MEDIAN(D319:BT319),0))</f>
        <v>4</v>
      </c>
      <c r="CD319" s="12" t="n">
        <f aca="false">MAX(D319:BT319)</f>
        <v>9</v>
      </c>
      <c r="CE319" s="7" t="n">
        <f aca="false">COUNTA(BQ319:BT319)</f>
        <v>1</v>
      </c>
      <c r="CF319" s="7" t="n">
        <f aca="false">COUNTA(BM319:BT319)</f>
        <v>3</v>
      </c>
      <c r="CG319" s="7" t="n">
        <f aca="false">COUNTA(BI319:BT319)</f>
        <v>4</v>
      </c>
      <c r="CH319" s="7" t="n">
        <f aca="false">COUNTA(BE319:BT319)</f>
        <v>5</v>
      </c>
      <c r="CI319" s="7" t="n">
        <f aca="false">COUNTA(AU319:BT319)</f>
        <v>7</v>
      </c>
      <c r="CJ319" s="7" t="n">
        <f aca="false">COUNTA(U319:BT319)</f>
        <v>12</v>
      </c>
      <c r="CK319" s="7" t="n">
        <f aca="false">COUNTA(BT319)</f>
        <v>1</v>
      </c>
      <c r="CL319" s="7" t="n">
        <f aca="false">COUNTA(D319:BT319)</f>
        <v>16</v>
      </c>
      <c r="CM319" s="17" t="str">
        <f aca="false">IF(AND(CE319=1,CJ319=1,BT319&lt;&gt;""),"5.ENTRANTES",IF(AND(CE319&lt;&gt;0,CE319/RIGHT($CE$1,1)&gt;=0.5,CJ319=CE319),"4.RECENTES",IF(AND(CF319&lt;&gt;0,CF319/RIGHT($CF$1,1)&gt;=0.5,CJ319=CF319),"4.RECENTES",IF(AND(CG319&lt;&gt;0,CG319/RIGHT($CG$1,2)&gt;=0.5,CJ319=CG319),"4.RECENTES",IF(AND(CH319&lt;&gt;0,CH319/RIGHT($CH$1,2)&gt;=0.5,CJ319=CH319),"4.RECENTES",IF(AND(CI319&lt;&gt;0,CI319/RIGHT($CI$1,2)&gt;=0.5,CJ319=CI319),"4.RECENTES",IF(AND(CE319=0,CF319=0,CG319=0,CH319=0),"3.INATIVOS",IF(CJ319/RIGHT($CJ$1,2)&lt;0.5,"2.INTERMITENTES","1.ORDINÁRIOS"))))))))</f>
        <v>2.INTERMITENTES</v>
      </c>
      <c r="CN319" s="18" t="n">
        <f aca="false">IF(AND(CE319=1,CJ319=1,BT319&lt;&gt;""),BT319,IF(AND(CE319&lt;&gt;0,CE319/RIGHT($CE$1,1)&gt;=0.5,CJ319=CE319),MAX(BV319:CC319),IF(AND(CF319&lt;&gt;0,CF319/RIGHT($CF$1,1)&gt;=0.5,CJ319=CF319),MAX(BV319:CC319),IF(AND(CG319&lt;&gt;0,CG319/RIGHT($CG$1,2)&gt;=0.5,CJ319=CG319),MAX(BV319:CC319),IF(AND(CH319&lt;&gt;0,CH319/RIGHT($CH$1,2)&gt;=0.5,CJ319=CH319),MAX(BV319:CC319),IF(AND(CI319&lt;&gt;0,CI319/RIGHT($CI$1,2)&gt;=0.5,CJ319=CI319),MAX(BV319:CC319),IF(AND(CE319=0,CF319=0,CG319=0,CH319=0),0,IF(CJ319/RIGHT($CJ$1,2)&lt;0.5,ROUND(BU319/RIGHT($CJ$1,2),0),MAX(BV319:CC319)))))))))</f>
        <v>2</v>
      </c>
      <c r="CO319" s="18" t="n">
        <f aca="false">CD319</f>
        <v>9</v>
      </c>
      <c r="CP319" s="15" t="n">
        <v>30</v>
      </c>
      <c r="CQ319" s="16" t="n">
        <f aca="false">IF((CO319-CP319)&lt;0,0,(CO319-CP319))</f>
        <v>0</v>
      </c>
      <c r="CR319" s="7"/>
    </row>
    <row r="320" customFormat="false" ht="12.75" hidden="false" customHeight="true" outlineLevel="0" collapsed="false">
      <c r="A320" s="7" t="s">
        <v>388</v>
      </c>
      <c r="B320" s="7" t="s">
        <v>419</v>
      </c>
      <c r="C320" s="8" t="n">
        <v>1001007</v>
      </c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 t="n">
        <v>5</v>
      </c>
      <c r="AJ320" s="9" t="n">
        <v>4</v>
      </c>
      <c r="AK320" s="9" t="n">
        <v>1</v>
      </c>
      <c r="AL320" s="9"/>
      <c r="AM320" s="9" t="n">
        <v>6</v>
      </c>
      <c r="AN320" s="9" t="n">
        <v>2</v>
      </c>
      <c r="AO320" s="9" t="n">
        <v>6</v>
      </c>
      <c r="AP320" s="9" t="n">
        <v>11</v>
      </c>
      <c r="AQ320" s="9" t="n">
        <v>6</v>
      </c>
      <c r="AR320" s="9" t="n">
        <v>2</v>
      </c>
      <c r="AS320" s="9" t="n">
        <v>4</v>
      </c>
      <c r="AT320" s="9" t="n">
        <v>4</v>
      </c>
      <c r="AU320" s="9" t="n">
        <v>6</v>
      </c>
      <c r="AV320" s="9" t="n">
        <v>8</v>
      </c>
      <c r="AW320" s="9" t="n">
        <v>3</v>
      </c>
      <c r="AX320" s="9" t="n">
        <v>2</v>
      </c>
      <c r="AY320" s="9" t="n">
        <v>1</v>
      </c>
      <c r="AZ320" s="9" t="n">
        <v>3</v>
      </c>
      <c r="BA320" s="9" t="n">
        <v>1</v>
      </c>
      <c r="BB320" s="9" t="n">
        <v>1</v>
      </c>
      <c r="BC320" s="9" t="n">
        <v>2</v>
      </c>
      <c r="BD320" s="9" t="n">
        <v>1</v>
      </c>
      <c r="BE320" s="9" t="n">
        <v>7</v>
      </c>
      <c r="BF320" s="9" t="n">
        <v>4</v>
      </c>
      <c r="BG320" s="9" t="n">
        <v>2</v>
      </c>
      <c r="BH320" s="9" t="n">
        <v>2</v>
      </c>
      <c r="BI320" s="9" t="n">
        <v>3</v>
      </c>
      <c r="BJ320" s="9" t="n">
        <v>4</v>
      </c>
      <c r="BK320" s="9" t="n">
        <v>2</v>
      </c>
      <c r="BL320" s="9" t="n">
        <v>7</v>
      </c>
      <c r="BM320" s="9" t="n">
        <v>8</v>
      </c>
      <c r="BN320" s="9" t="n">
        <v>2</v>
      </c>
      <c r="BO320" s="9" t="n">
        <v>2</v>
      </c>
      <c r="BP320" s="9" t="n">
        <v>5</v>
      </c>
      <c r="BQ320" s="9" t="n">
        <v>3</v>
      </c>
      <c r="BR320" s="9" t="n">
        <v>7</v>
      </c>
      <c r="BS320" s="9" t="n">
        <v>4</v>
      </c>
      <c r="BT320" s="9" t="n">
        <v>2</v>
      </c>
      <c r="BU320" s="10" t="n">
        <v>143</v>
      </c>
      <c r="BV320" s="11" t="n">
        <f aca="false">IF(ISERROR(ROUND(MEDIAN(BQ320:BT320),0)),0,ROUND(MEDIAN(BQ320:BT320),0))</f>
        <v>4</v>
      </c>
      <c r="BW320" s="11" t="n">
        <f aca="false">IF(ISERROR(ROUND(MEDIAN(BM320:BT320),0)),0,ROUND(MEDIAN(BM320:BT320),0))</f>
        <v>4</v>
      </c>
      <c r="BX320" s="11" t="n">
        <f aca="false">IF(ISERROR(ROUND(MEDIAN(BI320:BT320),0)),0,ROUND(MEDIAN(BI320:BT320),0))</f>
        <v>4</v>
      </c>
      <c r="BY320" s="11" t="n">
        <f aca="false">IF(ISERROR(ROUND(MEDIAN(BE320:BT320),0)),0,ROUND(MEDIAN(BE320:BT320),0))</f>
        <v>4</v>
      </c>
      <c r="BZ320" s="11" t="n">
        <f aca="false">IF(ISERROR(ROUND(MEDIAN(AU320:BT320),0)),0,ROUND(MEDIAN(AU320:BT320),0))</f>
        <v>3</v>
      </c>
      <c r="CA320" s="12" t="n">
        <f aca="false">IF(ISERROR(ROUND(MEDIAN(U320:BT320),0)),0,ROUND(MEDIAN(U320:BT320),0))</f>
        <v>3</v>
      </c>
      <c r="CB320" s="12" t="n">
        <f aca="false">IF(ISERROR(ROUND(MEDIAN(BT320),0)),0,ROUND(MEDIAN(BT320),0))</f>
        <v>2</v>
      </c>
      <c r="CC320" s="12" t="n">
        <f aca="false">IF(ISERROR(ROUND(MEDIAN(D320:BT320),0)),0,ROUND(MEDIAN(D320:BT320),0))</f>
        <v>3</v>
      </c>
      <c r="CD320" s="12" t="n">
        <f aca="false">MAX(D320:BT320)</f>
        <v>11</v>
      </c>
      <c r="CE320" s="7" t="n">
        <f aca="false">COUNTA(BQ320:BT320)</f>
        <v>4</v>
      </c>
      <c r="CF320" s="7" t="n">
        <f aca="false">COUNTA(BM320:BT320)</f>
        <v>8</v>
      </c>
      <c r="CG320" s="7" t="n">
        <f aca="false">COUNTA(BI320:BT320)</f>
        <v>12</v>
      </c>
      <c r="CH320" s="7" t="n">
        <f aca="false">COUNTA(BE320:BT320)</f>
        <v>16</v>
      </c>
      <c r="CI320" s="7" t="n">
        <f aca="false">COUNTA(AU320:BT320)</f>
        <v>26</v>
      </c>
      <c r="CJ320" s="7" t="n">
        <f aca="false">COUNTA(U320:BT320)</f>
        <v>37</v>
      </c>
      <c r="CK320" s="7" t="n">
        <f aca="false">COUNTA(BT320)</f>
        <v>1</v>
      </c>
      <c r="CL320" s="7" t="n">
        <f aca="false">COUNTA(D320:BT320)</f>
        <v>37</v>
      </c>
      <c r="CM320" s="13" t="str">
        <f aca="false">IF(AND(CE320=1,CJ320=1,BT320&lt;&gt;""),"5.ENTRANTES",IF(AND(CE320&lt;&gt;0,CE320/RIGHT($CE$1,1)&gt;=0.5,CJ320=CE320),"4.RECENTES",IF(AND(CF320&lt;&gt;0,CF320/RIGHT($CF$1,1)&gt;=0.5,CJ320=CF320),"4.RECENTES",IF(AND(CG320&lt;&gt;0,CG320/RIGHT($CG$1,2)&gt;=0.5,CJ320=CG320),"4.RECENTES",IF(AND(CH320&lt;&gt;0,CH320/RIGHT($CH$1,2)&gt;=0.5,CJ320=CH320),"4.RECENTES",IF(AND(CI320&lt;&gt;0,CI320/RIGHT($CI$1,2)&gt;=0.5,CJ320=CI320),"4.RECENTES",IF(AND(CE320=0,CF320=0,CG320=0,CH320=0),"3.INATIVOS",IF(CJ320/RIGHT($CJ$1,2)&lt;0.5,"2.INTERMITENTES","1.ORDINÁRIOS"))))))))</f>
        <v>1.ORDINÁRIOS</v>
      </c>
      <c r="CN320" s="14" t="n">
        <f aca="false">IF(AND(CE320=1,CJ320=1,BT320&lt;&gt;""),BT320,IF(AND(CE320&lt;&gt;0,CE320/RIGHT($CE$1,1)&gt;=0.5,CJ320=CE320),MAX(BV320:CC320),IF(AND(CF320&lt;&gt;0,CF320/RIGHT($CF$1,1)&gt;=0.5,CJ320=CF320),MAX(BV320:CC320),IF(AND(CG320&lt;&gt;0,CG320/RIGHT($CG$1,2)&gt;=0.5,CJ320=CG320),MAX(BV320:CC320),IF(AND(CH320&lt;&gt;0,CH320/RIGHT($CH$1,2)&gt;=0.5,CJ320=CH320),MAX(BV320:CC320),IF(AND(CI320&lt;&gt;0,CI320/RIGHT($CI$1,2)&gt;=0.5,CJ320=CI320),MAX(BV320:CC320),IF(AND(CE320=0,CF320=0,CG320=0,CH320=0),0,IF(CJ320/RIGHT($CJ$1,2)&lt;0.5,ROUND(BU320/RIGHT($CJ$1,2),0),MAX(BV320:CC320)))))))))</f>
        <v>4</v>
      </c>
      <c r="CO320" s="14" t="n">
        <f aca="false">CN320*3</f>
        <v>12</v>
      </c>
      <c r="CP320" s="15" t="n">
        <v>9</v>
      </c>
      <c r="CQ320" s="16" t="n">
        <f aca="false">IF((CO320-CP320)&lt;0,0,(CO320-CP320))</f>
        <v>3</v>
      </c>
      <c r="CR320" s="7"/>
    </row>
    <row r="321" customFormat="false" ht="12.75" hidden="false" customHeight="true" outlineLevel="0" collapsed="false">
      <c r="A321" s="7" t="s">
        <v>388</v>
      </c>
      <c r="B321" s="7" t="s">
        <v>420</v>
      </c>
      <c r="C321" s="8" t="n">
        <v>5000050</v>
      </c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  <c r="AX321" s="9"/>
      <c r="AY321" s="9"/>
      <c r="AZ321" s="9"/>
      <c r="BA321" s="9"/>
      <c r="BB321" s="9"/>
      <c r="BC321" s="9"/>
      <c r="BD321" s="9"/>
      <c r="BE321" s="9"/>
      <c r="BF321" s="9" t="n">
        <v>6</v>
      </c>
      <c r="BG321" s="9"/>
      <c r="BH321" s="9"/>
      <c r="BI321" s="9"/>
      <c r="BJ321" s="9"/>
      <c r="BK321" s="9"/>
      <c r="BL321" s="9"/>
      <c r="BM321" s="9"/>
      <c r="BN321" s="9"/>
      <c r="BO321" s="9" t="n">
        <v>2</v>
      </c>
      <c r="BP321" s="9"/>
      <c r="BQ321" s="9"/>
      <c r="BR321" s="9"/>
      <c r="BS321" s="9"/>
      <c r="BT321" s="9"/>
      <c r="BU321" s="10" t="n">
        <v>8</v>
      </c>
      <c r="BV321" s="11" t="n">
        <f aca="false">IF(ISERROR(ROUND(MEDIAN(BQ321:BT321),0)),0,ROUND(MEDIAN(BQ321:BT321),0))</f>
        <v>0</v>
      </c>
      <c r="BW321" s="11" t="n">
        <f aca="false">IF(ISERROR(ROUND(MEDIAN(BM321:BT321),0)),0,ROUND(MEDIAN(BM321:BT321),0))</f>
        <v>2</v>
      </c>
      <c r="BX321" s="11" t="n">
        <f aca="false">IF(ISERROR(ROUND(MEDIAN(BI321:BT321),0)),0,ROUND(MEDIAN(BI321:BT321),0))</f>
        <v>2</v>
      </c>
      <c r="BY321" s="11" t="n">
        <f aca="false">IF(ISERROR(ROUND(MEDIAN(BE321:BT321),0)),0,ROUND(MEDIAN(BE321:BT321),0))</f>
        <v>4</v>
      </c>
      <c r="BZ321" s="11" t="n">
        <f aca="false">IF(ISERROR(ROUND(MEDIAN(AU321:BT321),0)),0,ROUND(MEDIAN(AU321:BT321),0))</f>
        <v>4</v>
      </c>
      <c r="CA321" s="12" t="n">
        <f aca="false">IF(ISERROR(ROUND(MEDIAN(U321:BT321),0)),0,ROUND(MEDIAN(U321:BT321),0))</f>
        <v>4</v>
      </c>
      <c r="CB321" s="12" t="n">
        <f aca="false">IF(ISERROR(ROUND(MEDIAN(BT321),0)),0,ROUND(MEDIAN(BT321),0))</f>
        <v>0</v>
      </c>
      <c r="CC321" s="12" t="n">
        <f aca="false">IF(ISERROR(ROUND(MEDIAN(D321:BT321),0)),0,ROUND(MEDIAN(D321:BT321),0))</f>
        <v>4</v>
      </c>
      <c r="CD321" s="12" t="n">
        <f aca="false">MAX(D321:BT321)</f>
        <v>6</v>
      </c>
      <c r="CE321" s="7" t="n">
        <f aca="false">COUNTA(BQ321:BT321)</f>
        <v>0</v>
      </c>
      <c r="CF321" s="7" t="n">
        <f aca="false">COUNTA(BM321:BT321)</f>
        <v>1</v>
      </c>
      <c r="CG321" s="7" t="n">
        <f aca="false">COUNTA(BI321:BT321)</f>
        <v>1</v>
      </c>
      <c r="CH321" s="7" t="n">
        <f aca="false">COUNTA(BE321:BT321)</f>
        <v>2</v>
      </c>
      <c r="CI321" s="7" t="n">
        <f aca="false">COUNTA(AU321:BT321)</f>
        <v>2</v>
      </c>
      <c r="CJ321" s="7" t="n">
        <f aca="false">COUNTA(U321:BT321)</f>
        <v>2</v>
      </c>
      <c r="CK321" s="7" t="n">
        <f aca="false">COUNTA(BT321)</f>
        <v>0</v>
      </c>
      <c r="CL321" s="7" t="n">
        <f aca="false">COUNTA(D321:BT321)</f>
        <v>2</v>
      </c>
      <c r="CM321" s="17" t="str">
        <f aca="false">IF(AND(CE321=1,CJ321=1,BT321&lt;&gt;""),"5.ENTRANTES",IF(AND(CE321&lt;&gt;0,CE321/RIGHT($CE$1,1)&gt;=0.5,CJ321=CE321),"4.RECENTES",IF(AND(CF321&lt;&gt;0,CF321/RIGHT($CF$1,1)&gt;=0.5,CJ321=CF321),"4.RECENTES",IF(AND(CG321&lt;&gt;0,CG321/RIGHT($CG$1,2)&gt;=0.5,CJ321=CG321),"4.RECENTES",IF(AND(CH321&lt;&gt;0,CH321/RIGHT($CH$1,2)&gt;=0.5,CJ321=CH321),"4.RECENTES",IF(AND(CI321&lt;&gt;0,CI321/RIGHT($CI$1,2)&gt;=0.5,CJ321=CI321),"4.RECENTES",IF(AND(CE321=0,CF321=0,CG321=0,CH321=0),"3.INATIVOS",IF(CJ321/RIGHT($CJ$1,2)&lt;0.5,"2.INTERMITENTES","1.ORDINÁRIOS"))))))))</f>
        <v>2.INTERMITENTES</v>
      </c>
      <c r="CN321" s="18" t="n">
        <f aca="false">IF(AND(CE321=1,CJ321=1,BT321&lt;&gt;""),BT321,IF(AND(CE321&lt;&gt;0,CE321/RIGHT($CE$1,1)&gt;=0.5,CJ321=CE321),MAX(BV321:CC321),IF(AND(CF321&lt;&gt;0,CF321/RIGHT($CF$1,1)&gt;=0.5,CJ321=CF321),MAX(BV321:CC321),IF(AND(CG321&lt;&gt;0,CG321/RIGHT($CG$1,2)&gt;=0.5,CJ321=CG321),MAX(BV321:CC321),IF(AND(CH321&lt;&gt;0,CH321/RIGHT($CH$1,2)&gt;=0.5,CJ321=CH321),MAX(BV321:CC321),IF(AND(CI321&lt;&gt;0,CI321/RIGHT($CI$1,2)&gt;=0.5,CJ321=CI321),MAX(BV321:CC321),IF(AND(CE321=0,CF321=0,CG321=0,CH321=0),0,IF(CJ321/RIGHT($CJ$1,2)&lt;0.5,ROUND(BU321/RIGHT($CJ$1,2),0),MAX(BV321:CC321)))))))))</f>
        <v>0</v>
      </c>
      <c r="CO321" s="18" t="n">
        <f aca="false">CD321</f>
        <v>6</v>
      </c>
      <c r="CP321" s="15" t="n">
        <v>18</v>
      </c>
      <c r="CQ321" s="16" t="n">
        <f aca="false">IF((CO321-CP321)&lt;0,0,(CO321-CP321))</f>
        <v>0</v>
      </c>
      <c r="CR321" s="7"/>
    </row>
    <row r="322" customFormat="false" ht="12.75" hidden="false" customHeight="true" outlineLevel="0" collapsed="false">
      <c r="A322" s="7" t="s">
        <v>388</v>
      </c>
      <c r="B322" s="7" t="s">
        <v>421</v>
      </c>
      <c r="C322" s="8" t="n">
        <v>5000051</v>
      </c>
      <c r="D322" s="9" t="n">
        <v>2</v>
      </c>
      <c r="E322" s="9" t="n">
        <v>9</v>
      </c>
      <c r="F322" s="9" t="n">
        <v>19</v>
      </c>
      <c r="G322" s="9" t="n">
        <v>17</v>
      </c>
      <c r="H322" s="9" t="n">
        <v>11</v>
      </c>
      <c r="I322" s="9" t="n">
        <v>18</v>
      </c>
      <c r="J322" s="9" t="n">
        <v>9</v>
      </c>
      <c r="K322" s="9" t="n">
        <v>10</v>
      </c>
      <c r="L322" s="9" t="n">
        <v>21</v>
      </c>
      <c r="M322" s="9" t="n">
        <v>11</v>
      </c>
      <c r="N322" s="9" t="n">
        <v>17</v>
      </c>
      <c r="O322" s="9" t="n">
        <v>15</v>
      </c>
      <c r="P322" s="9" t="n">
        <v>21</v>
      </c>
      <c r="Q322" s="9" t="n">
        <v>18</v>
      </c>
      <c r="R322" s="9" t="n">
        <v>14</v>
      </c>
      <c r="S322" s="9" t="n">
        <v>21</v>
      </c>
      <c r="T322" s="9" t="n">
        <v>9</v>
      </c>
      <c r="U322" s="9" t="n">
        <v>11</v>
      </c>
      <c r="V322" s="9" t="n">
        <v>16</v>
      </c>
      <c r="W322" s="9" t="n">
        <v>20</v>
      </c>
      <c r="X322" s="9" t="n">
        <v>31</v>
      </c>
      <c r="Y322" s="9" t="n">
        <v>20</v>
      </c>
      <c r="Z322" s="9" t="n">
        <v>26</v>
      </c>
      <c r="AA322" s="9" t="n">
        <v>23</v>
      </c>
      <c r="AB322" s="9" t="n">
        <v>22</v>
      </c>
      <c r="AC322" s="9" t="n">
        <v>12</v>
      </c>
      <c r="AD322" s="9" t="n">
        <v>26</v>
      </c>
      <c r="AE322" s="9" t="n">
        <v>23</v>
      </c>
      <c r="AF322" s="9" t="n">
        <v>10</v>
      </c>
      <c r="AG322" s="9" t="n">
        <v>20</v>
      </c>
      <c r="AH322" s="9" t="n">
        <v>17</v>
      </c>
      <c r="AI322" s="9" t="n">
        <v>17</v>
      </c>
      <c r="AJ322" s="9" t="n">
        <v>6</v>
      </c>
      <c r="AK322" s="9" t="n">
        <v>17</v>
      </c>
      <c r="AL322" s="9" t="n">
        <v>13</v>
      </c>
      <c r="AM322" s="9" t="n">
        <v>19</v>
      </c>
      <c r="AN322" s="9" t="n">
        <v>18</v>
      </c>
      <c r="AO322" s="9" t="n">
        <v>26</v>
      </c>
      <c r="AP322" s="9" t="n">
        <v>11</v>
      </c>
      <c r="AQ322" s="9" t="n">
        <v>11</v>
      </c>
      <c r="AR322" s="9" t="n">
        <v>12</v>
      </c>
      <c r="AS322" s="9" t="n">
        <v>22</v>
      </c>
      <c r="AT322" s="9" t="n">
        <v>13</v>
      </c>
      <c r="AU322" s="9" t="n">
        <v>12</v>
      </c>
      <c r="AV322" s="9" t="n">
        <v>8</v>
      </c>
      <c r="AW322" s="9" t="n">
        <v>11</v>
      </c>
      <c r="AX322" s="9" t="n">
        <v>14</v>
      </c>
      <c r="AY322" s="9" t="n">
        <v>16</v>
      </c>
      <c r="AZ322" s="9" t="n">
        <v>2</v>
      </c>
      <c r="BA322" s="9" t="n">
        <v>13</v>
      </c>
      <c r="BB322" s="9" t="n">
        <v>6</v>
      </c>
      <c r="BC322" s="9" t="n">
        <v>15</v>
      </c>
      <c r="BD322" s="9" t="n">
        <v>18</v>
      </c>
      <c r="BE322" s="9" t="n">
        <v>12</v>
      </c>
      <c r="BF322" s="9" t="n">
        <v>14</v>
      </c>
      <c r="BG322" s="9" t="n">
        <v>10</v>
      </c>
      <c r="BH322" s="9" t="n">
        <v>13</v>
      </c>
      <c r="BI322" s="9" t="n">
        <v>14</v>
      </c>
      <c r="BJ322" s="9" t="n">
        <v>15</v>
      </c>
      <c r="BK322" s="9" t="n">
        <v>6</v>
      </c>
      <c r="BL322" s="9" t="n">
        <v>6</v>
      </c>
      <c r="BM322" s="9" t="n">
        <v>9</v>
      </c>
      <c r="BN322" s="9" t="n">
        <v>18</v>
      </c>
      <c r="BO322" s="9" t="n">
        <v>14</v>
      </c>
      <c r="BP322" s="9" t="n">
        <v>15</v>
      </c>
      <c r="BQ322" s="9" t="n">
        <v>9</v>
      </c>
      <c r="BR322" s="9" t="n">
        <v>11</v>
      </c>
      <c r="BS322" s="9" t="n">
        <v>16</v>
      </c>
      <c r="BT322" s="9" t="n">
        <v>15</v>
      </c>
      <c r="BU322" s="10" t="n">
        <v>1016</v>
      </c>
      <c r="BV322" s="11" t="n">
        <f aca="false">IF(ISERROR(ROUND(MEDIAN(BQ322:BT322),0)),0,ROUND(MEDIAN(BQ322:BT322),0))</f>
        <v>13</v>
      </c>
      <c r="BW322" s="11" t="n">
        <f aca="false">IF(ISERROR(ROUND(MEDIAN(BM322:BT322),0)),0,ROUND(MEDIAN(BM322:BT322),0))</f>
        <v>15</v>
      </c>
      <c r="BX322" s="11" t="n">
        <f aca="false">IF(ISERROR(ROUND(MEDIAN(BI322:BT322),0)),0,ROUND(MEDIAN(BI322:BT322),0))</f>
        <v>14</v>
      </c>
      <c r="BY322" s="11" t="n">
        <f aca="false">IF(ISERROR(ROUND(MEDIAN(BE322:BT322),0)),0,ROUND(MEDIAN(BE322:BT322),0))</f>
        <v>14</v>
      </c>
      <c r="BZ322" s="11" t="n">
        <f aca="false">IF(ISERROR(ROUND(MEDIAN(AU322:BT322),0)),0,ROUND(MEDIAN(AU322:BT322),0))</f>
        <v>13</v>
      </c>
      <c r="CA322" s="12" t="n">
        <f aca="false">IF(ISERROR(ROUND(MEDIAN(U322:BT322),0)),0,ROUND(MEDIAN(U322:BT322),0))</f>
        <v>14</v>
      </c>
      <c r="CB322" s="12" t="n">
        <f aca="false">IF(ISERROR(ROUND(MEDIAN(BT322),0)),0,ROUND(MEDIAN(BT322),0))</f>
        <v>15</v>
      </c>
      <c r="CC322" s="12" t="n">
        <f aca="false">IF(ISERROR(ROUND(MEDIAN(D322:BT322),0)),0,ROUND(MEDIAN(D322:BT322),0))</f>
        <v>14</v>
      </c>
      <c r="CD322" s="12" t="n">
        <f aca="false">MAX(D322:BT322)</f>
        <v>31</v>
      </c>
      <c r="CE322" s="7" t="n">
        <f aca="false">COUNTA(BQ322:BT322)</f>
        <v>4</v>
      </c>
      <c r="CF322" s="7" t="n">
        <f aca="false">COUNTA(BM322:BT322)</f>
        <v>8</v>
      </c>
      <c r="CG322" s="7" t="n">
        <f aca="false">COUNTA(BI322:BT322)</f>
        <v>12</v>
      </c>
      <c r="CH322" s="7" t="n">
        <f aca="false">COUNTA(BE322:BT322)</f>
        <v>16</v>
      </c>
      <c r="CI322" s="7" t="n">
        <f aca="false">COUNTA(AU322:BT322)</f>
        <v>26</v>
      </c>
      <c r="CJ322" s="7" t="n">
        <f aca="false">COUNTA(U322:BT322)</f>
        <v>52</v>
      </c>
      <c r="CK322" s="7" t="n">
        <f aca="false">COUNTA(BT322)</f>
        <v>1</v>
      </c>
      <c r="CL322" s="7" t="n">
        <f aca="false">COUNTA(D322:BT322)</f>
        <v>69</v>
      </c>
      <c r="CM322" s="13" t="str">
        <f aca="false">IF(AND(CE322=1,CJ322=1,BT322&lt;&gt;""),"5.ENTRANTES",IF(AND(CE322&lt;&gt;0,CE322/RIGHT($CE$1,1)&gt;=0.5,CJ322=CE322),"4.RECENTES",IF(AND(CF322&lt;&gt;0,CF322/RIGHT($CF$1,1)&gt;=0.5,CJ322=CF322),"4.RECENTES",IF(AND(CG322&lt;&gt;0,CG322/RIGHT($CG$1,2)&gt;=0.5,CJ322=CG322),"4.RECENTES",IF(AND(CH322&lt;&gt;0,CH322/RIGHT($CH$1,2)&gt;=0.5,CJ322=CH322),"4.RECENTES",IF(AND(CI322&lt;&gt;0,CI322/RIGHT($CI$1,2)&gt;=0.5,CJ322=CI322),"4.RECENTES",IF(AND(CE322=0,CF322=0,CG322=0,CH322=0),"3.INATIVOS",IF(CJ322/RIGHT($CJ$1,2)&lt;0.5,"2.INTERMITENTES","1.ORDINÁRIOS"))))))))</f>
        <v>1.ORDINÁRIOS</v>
      </c>
      <c r="CN322" s="14" t="n">
        <f aca="false">IF(AND(CE322=1,CJ322=1,BT322&lt;&gt;""),BT322,IF(AND(CE322&lt;&gt;0,CE322/RIGHT($CE$1,1)&gt;=0.5,CJ322=CE322),MAX(BV322:CC322),IF(AND(CF322&lt;&gt;0,CF322/RIGHT($CF$1,1)&gt;=0.5,CJ322=CF322),MAX(BV322:CC322),IF(AND(CG322&lt;&gt;0,CG322/RIGHT($CG$1,2)&gt;=0.5,CJ322=CG322),MAX(BV322:CC322),IF(AND(CH322&lt;&gt;0,CH322/RIGHT($CH$1,2)&gt;=0.5,CJ322=CH322),MAX(BV322:CC322),IF(AND(CI322&lt;&gt;0,CI322/RIGHT($CI$1,2)&gt;=0.5,CJ322=CI322),MAX(BV322:CC322),IF(AND(CE322=0,CF322=0,CG322=0,CH322=0),0,IF(CJ322/RIGHT($CJ$1,2)&lt;0.5,ROUND(BU322/RIGHT($CJ$1,2),0),MAX(BV322:CC322)))))))))</f>
        <v>15</v>
      </c>
      <c r="CO322" s="14" t="n">
        <f aca="false">CN322*3</f>
        <v>45</v>
      </c>
      <c r="CP322" s="15" t="n">
        <v>35</v>
      </c>
      <c r="CQ322" s="16" t="n">
        <f aca="false">IF((CO322-CP322)&lt;0,0,(CO322-CP322))</f>
        <v>10</v>
      </c>
      <c r="CR322" s="7"/>
    </row>
    <row r="323" customFormat="false" ht="12.75" hidden="false" customHeight="true" outlineLevel="0" collapsed="false">
      <c r="A323" s="7" t="s">
        <v>388</v>
      </c>
      <c r="B323" s="7" t="s">
        <v>422</v>
      </c>
      <c r="C323" s="8" t="n">
        <v>8001003</v>
      </c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 t="n">
        <v>1</v>
      </c>
      <c r="AL323" s="9"/>
      <c r="AM323" s="9"/>
      <c r="AN323" s="9"/>
      <c r="AO323" s="9"/>
      <c r="AP323" s="9"/>
      <c r="AQ323" s="9"/>
      <c r="AR323" s="9"/>
      <c r="AS323" s="9" t="n">
        <v>5</v>
      </c>
      <c r="AT323" s="9" t="n">
        <v>1</v>
      </c>
      <c r="AU323" s="9"/>
      <c r="AV323" s="9" t="n">
        <v>1</v>
      </c>
      <c r="AW323" s="9" t="n">
        <v>1</v>
      </c>
      <c r="AX323" s="9"/>
      <c r="AY323" s="9"/>
      <c r="AZ323" s="9" t="n">
        <v>6</v>
      </c>
      <c r="BA323" s="9"/>
      <c r="BB323" s="9"/>
      <c r="BC323" s="9"/>
      <c r="BD323" s="9"/>
      <c r="BE323" s="9"/>
      <c r="BF323" s="9"/>
      <c r="BG323" s="9"/>
      <c r="BH323" s="9"/>
      <c r="BI323" s="9"/>
      <c r="BJ323" s="9" t="n">
        <v>1</v>
      </c>
      <c r="BK323" s="9"/>
      <c r="BL323" s="9"/>
      <c r="BM323" s="9" t="n">
        <v>8</v>
      </c>
      <c r="BN323" s="9"/>
      <c r="BO323" s="9"/>
      <c r="BP323" s="9"/>
      <c r="BQ323" s="9"/>
      <c r="BR323" s="9"/>
      <c r="BS323" s="9"/>
      <c r="BT323" s="9"/>
      <c r="BU323" s="10" t="n">
        <v>24</v>
      </c>
      <c r="BV323" s="11" t="n">
        <f aca="false">IF(ISERROR(ROUND(MEDIAN(BQ323:BT323),0)),0,ROUND(MEDIAN(BQ323:BT323),0))</f>
        <v>0</v>
      </c>
      <c r="BW323" s="11" t="n">
        <f aca="false">IF(ISERROR(ROUND(MEDIAN(BM323:BT323),0)),0,ROUND(MEDIAN(BM323:BT323),0))</f>
        <v>8</v>
      </c>
      <c r="BX323" s="11" t="n">
        <f aca="false">IF(ISERROR(ROUND(MEDIAN(BI323:BT323),0)),0,ROUND(MEDIAN(BI323:BT323),0))</f>
        <v>5</v>
      </c>
      <c r="BY323" s="11" t="n">
        <f aca="false">IF(ISERROR(ROUND(MEDIAN(BE323:BT323),0)),0,ROUND(MEDIAN(BE323:BT323),0))</f>
        <v>5</v>
      </c>
      <c r="BZ323" s="11" t="n">
        <f aca="false">IF(ISERROR(ROUND(MEDIAN(AU323:BT323),0)),0,ROUND(MEDIAN(AU323:BT323),0))</f>
        <v>1</v>
      </c>
      <c r="CA323" s="12" t="n">
        <f aca="false">IF(ISERROR(ROUND(MEDIAN(U323:BT323),0)),0,ROUND(MEDIAN(U323:BT323),0))</f>
        <v>1</v>
      </c>
      <c r="CB323" s="12" t="n">
        <f aca="false">IF(ISERROR(ROUND(MEDIAN(BT323),0)),0,ROUND(MEDIAN(BT323),0))</f>
        <v>0</v>
      </c>
      <c r="CC323" s="12" t="n">
        <f aca="false">IF(ISERROR(ROUND(MEDIAN(D323:BT323),0)),0,ROUND(MEDIAN(D323:BT323),0))</f>
        <v>1</v>
      </c>
      <c r="CD323" s="12" t="n">
        <f aca="false">MAX(D323:BT323)</f>
        <v>8</v>
      </c>
      <c r="CE323" s="7" t="n">
        <f aca="false">COUNTA(BQ323:BT323)</f>
        <v>0</v>
      </c>
      <c r="CF323" s="7" t="n">
        <f aca="false">COUNTA(BM323:BT323)</f>
        <v>1</v>
      </c>
      <c r="CG323" s="7" t="n">
        <f aca="false">COUNTA(BI323:BT323)</f>
        <v>2</v>
      </c>
      <c r="CH323" s="7" t="n">
        <f aca="false">COUNTA(BE323:BT323)</f>
        <v>2</v>
      </c>
      <c r="CI323" s="7" t="n">
        <f aca="false">COUNTA(AU323:BT323)</f>
        <v>5</v>
      </c>
      <c r="CJ323" s="7" t="n">
        <f aca="false">COUNTA(U323:BT323)</f>
        <v>8</v>
      </c>
      <c r="CK323" s="7" t="n">
        <f aca="false">COUNTA(BT323)</f>
        <v>0</v>
      </c>
      <c r="CL323" s="7" t="n">
        <f aca="false">COUNTA(D323:BT323)</f>
        <v>8</v>
      </c>
      <c r="CM323" s="17" t="str">
        <f aca="false">IF(AND(CE323=1,CJ323=1,BT323&lt;&gt;""),"5.ENTRANTES",IF(AND(CE323&lt;&gt;0,CE323/RIGHT($CE$1,1)&gt;=0.5,CJ323=CE323),"4.RECENTES",IF(AND(CF323&lt;&gt;0,CF323/RIGHT($CF$1,1)&gt;=0.5,CJ323=CF323),"4.RECENTES",IF(AND(CG323&lt;&gt;0,CG323/RIGHT($CG$1,2)&gt;=0.5,CJ323=CG323),"4.RECENTES",IF(AND(CH323&lt;&gt;0,CH323/RIGHT($CH$1,2)&gt;=0.5,CJ323=CH323),"4.RECENTES",IF(AND(CI323&lt;&gt;0,CI323/RIGHT($CI$1,2)&gt;=0.5,CJ323=CI323),"4.RECENTES",IF(AND(CE323=0,CF323=0,CG323=0,CH323=0),"3.INATIVOS",IF(CJ323/RIGHT($CJ$1,2)&lt;0.5,"2.INTERMITENTES","1.ORDINÁRIOS"))))))))</f>
        <v>2.INTERMITENTES</v>
      </c>
      <c r="CN323" s="18" t="n">
        <f aca="false">IF(AND(CE323=1,CJ323=1,BT323&lt;&gt;""),BT323,IF(AND(CE323&lt;&gt;0,CE323/RIGHT($CE$1,1)&gt;=0.5,CJ323=CE323),MAX(BV323:CC323),IF(AND(CF323&lt;&gt;0,CF323/RIGHT($CF$1,1)&gt;=0.5,CJ323=CF323),MAX(BV323:CC323),IF(AND(CG323&lt;&gt;0,CG323/RIGHT($CG$1,2)&gt;=0.5,CJ323=CG323),MAX(BV323:CC323),IF(AND(CH323&lt;&gt;0,CH323/RIGHT($CH$1,2)&gt;=0.5,CJ323=CH323),MAX(BV323:CC323),IF(AND(CI323&lt;&gt;0,CI323/RIGHT($CI$1,2)&gt;=0.5,CJ323=CI323),MAX(BV323:CC323),IF(AND(CE323=0,CF323=0,CG323=0,CH323=0),0,IF(CJ323/RIGHT($CJ$1,2)&lt;0.5,ROUND(BU323/RIGHT($CJ$1,2),0),MAX(BV323:CC323)))))))))</f>
        <v>0</v>
      </c>
      <c r="CO323" s="18" t="n">
        <f aca="false">CD323</f>
        <v>8</v>
      </c>
      <c r="CP323" s="15" t="n">
        <v>15</v>
      </c>
      <c r="CQ323" s="16" t="n">
        <f aca="false">IF((CO323-CP323)&lt;0,0,(CO323-CP323))</f>
        <v>0</v>
      </c>
      <c r="CR323" s="7"/>
    </row>
    <row r="324" customFormat="false" ht="12.75" hidden="false" customHeight="true" outlineLevel="0" collapsed="false">
      <c r="A324" s="7" t="s">
        <v>388</v>
      </c>
      <c r="B324" s="7" t="s">
        <v>423</v>
      </c>
      <c r="C324" s="8" t="n">
        <v>5000055</v>
      </c>
      <c r="D324" s="9"/>
      <c r="E324" s="9"/>
      <c r="F324" s="9"/>
      <c r="G324" s="9"/>
      <c r="H324" s="9"/>
      <c r="I324" s="9"/>
      <c r="J324" s="9" t="n">
        <v>1</v>
      </c>
      <c r="K324" s="9"/>
      <c r="L324" s="9" t="n">
        <v>1</v>
      </c>
      <c r="M324" s="9" t="n">
        <v>1</v>
      </c>
      <c r="N324" s="9"/>
      <c r="O324" s="9" t="n">
        <v>1</v>
      </c>
      <c r="P324" s="9"/>
      <c r="Q324" s="9"/>
      <c r="R324" s="9"/>
      <c r="S324" s="9"/>
      <c r="T324" s="9" t="n">
        <v>1</v>
      </c>
      <c r="U324" s="9" t="n">
        <v>1</v>
      </c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 t="n">
        <v>1</v>
      </c>
      <c r="AG324" s="9"/>
      <c r="AH324" s="9" t="n">
        <v>1</v>
      </c>
      <c r="AI324" s="9" t="n">
        <v>6</v>
      </c>
      <c r="AJ324" s="9"/>
      <c r="AK324" s="9"/>
      <c r="AL324" s="9" t="n">
        <v>2</v>
      </c>
      <c r="AM324" s="9"/>
      <c r="AN324" s="9"/>
      <c r="AO324" s="9"/>
      <c r="AP324" s="9"/>
      <c r="AQ324" s="9"/>
      <c r="AR324" s="9"/>
      <c r="AS324" s="9"/>
      <c r="AT324" s="9" t="n">
        <v>2</v>
      </c>
      <c r="AU324" s="9"/>
      <c r="AV324" s="9"/>
      <c r="AW324" s="9"/>
      <c r="AX324" s="9"/>
      <c r="AY324" s="9"/>
      <c r="AZ324" s="9" t="n">
        <v>2</v>
      </c>
      <c r="BA324" s="9" t="n">
        <v>1</v>
      </c>
      <c r="BB324" s="9"/>
      <c r="BC324" s="9"/>
      <c r="BD324" s="9"/>
      <c r="BE324" s="9"/>
      <c r="BF324" s="9"/>
      <c r="BG324" s="9"/>
      <c r="BH324" s="9"/>
      <c r="BI324" s="9"/>
      <c r="BJ324" s="9" t="n">
        <v>2</v>
      </c>
      <c r="BK324" s="9"/>
      <c r="BL324" s="9"/>
      <c r="BM324" s="9"/>
      <c r="BN324" s="9" t="n">
        <v>1</v>
      </c>
      <c r="BO324" s="9"/>
      <c r="BP324" s="9" t="n">
        <v>1</v>
      </c>
      <c r="BQ324" s="9"/>
      <c r="BR324" s="9"/>
      <c r="BS324" s="9" t="n">
        <v>1</v>
      </c>
      <c r="BT324" s="9"/>
      <c r="BU324" s="10" t="n">
        <v>26</v>
      </c>
      <c r="BV324" s="11" t="n">
        <f aca="false">IF(ISERROR(ROUND(MEDIAN(BQ324:BT324),0)),0,ROUND(MEDIAN(BQ324:BT324),0))</f>
        <v>1</v>
      </c>
      <c r="BW324" s="11" t="n">
        <f aca="false">IF(ISERROR(ROUND(MEDIAN(BM324:BT324),0)),0,ROUND(MEDIAN(BM324:BT324),0))</f>
        <v>1</v>
      </c>
      <c r="BX324" s="11" t="n">
        <f aca="false">IF(ISERROR(ROUND(MEDIAN(BI324:BT324),0)),0,ROUND(MEDIAN(BI324:BT324),0))</f>
        <v>1</v>
      </c>
      <c r="BY324" s="11" t="n">
        <f aca="false">IF(ISERROR(ROUND(MEDIAN(BE324:BT324),0)),0,ROUND(MEDIAN(BE324:BT324),0))</f>
        <v>1</v>
      </c>
      <c r="BZ324" s="11" t="n">
        <f aca="false">IF(ISERROR(ROUND(MEDIAN(AU324:BT324),0)),0,ROUND(MEDIAN(AU324:BT324),0))</f>
        <v>1</v>
      </c>
      <c r="CA324" s="12" t="n">
        <f aca="false">IF(ISERROR(ROUND(MEDIAN(U324:BT324),0)),0,ROUND(MEDIAN(U324:BT324),0))</f>
        <v>1</v>
      </c>
      <c r="CB324" s="12" t="n">
        <f aca="false">IF(ISERROR(ROUND(MEDIAN(BT324),0)),0,ROUND(MEDIAN(BT324),0))</f>
        <v>0</v>
      </c>
      <c r="CC324" s="12" t="n">
        <f aca="false">IF(ISERROR(ROUND(MEDIAN(D324:BT324),0)),0,ROUND(MEDIAN(D324:BT324),0))</f>
        <v>1</v>
      </c>
      <c r="CD324" s="12" t="n">
        <f aca="false">MAX(D324:BT324)</f>
        <v>6</v>
      </c>
      <c r="CE324" s="7" t="n">
        <f aca="false">COUNTA(BQ324:BT324)</f>
        <v>1</v>
      </c>
      <c r="CF324" s="7" t="n">
        <f aca="false">COUNTA(BM324:BT324)</f>
        <v>3</v>
      </c>
      <c r="CG324" s="7" t="n">
        <f aca="false">COUNTA(BI324:BT324)</f>
        <v>4</v>
      </c>
      <c r="CH324" s="7" t="n">
        <f aca="false">COUNTA(BE324:BT324)</f>
        <v>4</v>
      </c>
      <c r="CI324" s="7" t="n">
        <f aca="false">COUNTA(AU324:BT324)</f>
        <v>6</v>
      </c>
      <c r="CJ324" s="7" t="n">
        <f aca="false">COUNTA(U324:BT324)</f>
        <v>12</v>
      </c>
      <c r="CK324" s="7" t="n">
        <f aca="false">COUNTA(BT324)</f>
        <v>0</v>
      </c>
      <c r="CL324" s="7" t="n">
        <f aca="false">COUNTA(D324:BT324)</f>
        <v>17</v>
      </c>
      <c r="CM324" s="17" t="str">
        <f aca="false">IF(AND(CE324=1,CJ324=1,BT324&lt;&gt;""),"5.ENTRANTES",IF(AND(CE324&lt;&gt;0,CE324/RIGHT($CE$1,1)&gt;=0.5,CJ324=CE324),"4.RECENTES",IF(AND(CF324&lt;&gt;0,CF324/RIGHT($CF$1,1)&gt;=0.5,CJ324=CF324),"4.RECENTES",IF(AND(CG324&lt;&gt;0,CG324/RIGHT($CG$1,2)&gt;=0.5,CJ324=CG324),"4.RECENTES",IF(AND(CH324&lt;&gt;0,CH324/RIGHT($CH$1,2)&gt;=0.5,CJ324=CH324),"4.RECENTES",IF(AND(CI324&lt;&gt;0,CI324/RIGHT($CI$1,2)&gt;=0.5,CJ324=CI324),"4.RECENTES",IF(AND(CE324=0,CF324=0,CG324=0,CH324=0),"3.INATIVOS",IF(CJ324/RIGHT($CJ$1,2)&lt;0.5,"2.INTERMITENTES","1.ORDINÁRIOS"))))))))</f>
        <v>2.INTERMITENTES</v>
      </c>
      <c r="CN324" s="18" t="n">
        <f aca="false">IF(AND(CE324=1,CJ324=1,BT324&lt;&gt;""),BT324,IF(AND(CE324&lt;&gt;0,CE324/RIGHT($CE$1,1)&gt;=0.5,CJ324=CE324),MAX(BV324:CC324),IF(AND(CF324&lt;&gt;0,CF324/RIGHT($CF$1,1)&gt;=0.5,CJ324=CF324),MAX(BV324:CC324),IF(AND(CG324&lt;&gt;0,CG324/RIGHT($CG$1,2)&gt;=0.5,CJ324=CG324),MAX(BV324:CC324),IF(AND(CH324&lt;&gt;0,CH324/RIGHT($CH$1,2)&gt;=0.5,CJ324=CH324),MAX(BV324:CC324),IF(AND(CI324&lt;&gt;0,CI324/RIGHT($CI$1,2)&gt;=0.5,CJ324=CI324),MAX(BV324:CC324),IF(AND(CE324=0,CF324=0,CG324=0,CH324=0),0,IF(CJ324/RIGHT($CJ$1,2)&lt;0.5,ROUND(BU324/RIGHT($CJ$1,2),0),MAX(BV324:CC324)))))))))</f>
        <v>1</v>
      </c>
      <c r="CO324" s="18" t="n">
        <f aca="false">CD324</f>
        <v>6</v>
      </c>
      <c r="CP324" s="15" t="n">
        <v>14</v>
      </c>
      <c r="CQ324" s="16" t="n">
        <f aca="false">IF((CO324-CP324)&lt;0,0,(CO324-CP324))</f>
        <v>0</v>
      </c>
      <c r="CR324" s="7"/>
    </row>
    <row r="325" customFormat="false" ht="12.75" hidden="false" customHeight="true" outlineLevel="0" collapsed="false">
      <c r="A325" s="7" t="s">
        <v>388</v>
      </c>
      <c r="B325" s="7" t="s">
        <v>424</v>
      </c>
      <c r="C325" s="8" t="n">
        <v>2000095</v>
      </c>
      <c r="D325" s="9"/>
      <c r="E325" s="9"/>
      <c r="F325" s="9"/>
      <c r="G325" s="9" t="n">
        <v>3</v>
      </c>
      <c r="H325" s="9"/>
      <c r="I325" s="9"/>
      <c r="J325" s="9"/>
      <c r="K325" s="9"/>
      <c r="L325" s="9"/>
      <c r="M325" s="9"/>
      <c r="N325" s="9" t="n">
        <v>1</v>
      </c>
      <c r="O325" s="9"/>
      <c r="P325" s="9"/>
      <c r="Q325" s="9"/>
      <c r="R325" s="9"/>
      <c r="S325" s="9"/>
      <c r="T325" s="9"/>
      <c r="U325" s="9" t="n">
        <v>1</v>
      </c>
      <c r="V325" s="9"/>
      <c r="W325" s="9"/>
      <c r="X325" s="9"/>
      <c r="Y325" s="9"/>
      <c r="Z325" s="9" t="n">
        <v>11</v>
      </c>
      <c r="AA325" s="9" t="n">
        <v>1</v>
      </c>
      <c r="AB325" s="9"/>
      <c r="AC325" s="9" t="n">
        <v>1</v>
      </c>
      <c r="AD325" s="9"/>
      <c r="AE325" s="9"/>
      <c r="AF325" s="9"/>
      <c r="AG325" s="9"/>
      <c r="AH325" s="9"/>
      <c r="AI325" s="9" t="n">
        <v>1</v>
      </c>
      <c r="AJ325" s="9"/>
      <c r="AK325" s="9"/>
      <c r="AL325" s="9"/>
      <c r="AM325" s="9" t="n">
        <v>1</v>
      </c>
      <c r="AN325" s="9" t="n">
        <v>3</v>
      </c>
      <c r="AO325" s="9"/>
      <c r="AP325" s="9" t="n">
        <v>1</v>
      </c>
      <c r="AQ325" s="9" t="n">
        <v>5</v>
      </c>
      <c r="AR325" s="9"/>
      <c r="AS325" s="9" t="n">
        <v>5</v>
      </c>
      <c r="AT325" s="9" t="n">
        <v>5</v>
      </c>
      <c r="AU325" s="9"/>
      <c r="AV325" s="9" t="n">
        <v>1</v>
      </c>
      <c r="AW325" s="9" t="n">
        <v>2</v>
      </c>
      <c r="AX325" s="9"/>
      <c r="AY325" s="9"/>
      <c r="AZ325" s="9" t="n">
        <v>1</v>
      </c>
      <c r="BA325" s="9"/>
      <c r="BB325" s="9" t="n">
        <v>2</v>
      </c>
      <c r="BC325" s="9" t="n">
        <v>1</v>
      </c>
      <c r="BD325" s="9" t="n">
        <v>2</v>
      </c>
      <c r="BE325" s="9"/>
      <c r="BF325" s="9" t="n">
        <v>1</v>
      </c>
      <c r="BG325" s="9" t="n">
        <v>1</v>
      </c>
      <c r="BH325" s="9"/>
      <c r="BI325" s="9"/>
      <c r="BJ325" s="9" t="n">
        <v>2</v>
      </c>
      <c r="BK325" s="9"/>
      <c r="BL325" s="9"/>
      <c r="BM325" s="9"/>
      <c r="BN325" s="9" t="n">
        <v>1</v>
      </c>
      <c r="BO325" s="9"/>
      <c r="BP325" s="9" t="n">
        <v>1</v>
      </c>
      <c r="BQ325" s="9" t="n">
        <v>2</v>
      </c>
      <c r="BR325" s="9"/>
      <c r="BS325" s="9"/>
      <c r="BT325" s="9"/>
      <c r="BU325" s="10" t="n">
        <v>56</v>
      </c>
      <c r="BV325" s="11" t="n">
        <f aca="false">IF(ISERROR(ROUND(MEDIAN(BQ325:BT325),0)),0,ROUND(MEDIAN(BQ325:BT325),0))</f>
        <v>2</v>
      </c>
      <c r="BW325" s="11" t="n">
        <f aca="false">IF(ISERROR(ROUND(MEDIAN(BM325:BT325),0)),0,ROUND(MEDIAN(BM325:BT325),0))</f>
        <v>1</v>
      </c>
      <c r="BX325" s="11" t="n">
        <f aca="false">IF(ISERROR(ROUND(MEDIAN(BI325:BT325),0)),0,ROUND(MEDIAN(BI325:BT325),0))</f>
        <v>2</v>
      </c>
      <c r="BY325" s="11" t="n">
        <f aca="false">IF(ISERROR(ROUND(MEDIAN(BE325:BT325),0)),0,ROUND(MEDIAN(BE325:BT325),0))</f>
        <v>1</v>
      </c>
      <c r="BZ325" s="11" t="n">
        <f aca="false">IF(ISERROR(ROUND(MEDIAN(AU325:BT325),0)),0,ROUND(MEDIAN(AU325:BT325),0))</f>
        <v>1</v>
      </c>
      <c r="CA325" s="12" t="n">
        <f aca="false">IF(ISERROR(ROUND(MEDIAN(U325:BT325),0)),0,ROUND(MEDIAN(U325:BT325),0))</f>
        <v>1</v>
      </c>
      <c r="CB325" s="12" t="n">
        <f aca="false">IF(ISERROR(ROUND(MEDIAN(BT325),0)),0,ROUND(MEDIAN(BT325),0))</f>
        <v>0</v>
      </c>
      <c r="CC325" s="12" t="n">
        <f aca="false">IF(ISERROR(ROUND(MEDIAN(D325:BT325),0)),0,ROUND(MEDIAN(D325:BT325),0))</f>
        <v>1</v>
      </c>
      <c r="CD325" s="12" t="n">
        <f aca="false">MAX(D325:BT325)</f>
        <v>11</v>
      </c>
      <c r="CE325" s="7" t="n">
        <f aca="false">COUNTA(BQ325:BT325)</f>
        <v>1</v>
      </c>
      <c r="CF325" s="7" t="n">
        <f aca="false">COUNTA(BM325:BT325)</f>
        <v>3</v>
      </c>
      <c r="CG325" s="7" t="n">
        <f aca="false">COUNTA(BI325:BT325)</f>
        <v>4</v>
      </c>
      <c r="CH325" s="7" t="n">
        <f aca="false">COUNTA(BE325:BT325)</f>
        <v>6</v>
      </c>
      <c r="CI325" s="7" t="n">
        <f aca="false">COUNTA(AU325:BT325)</f>
        <v>12</v>
      </c>
      <c r="CJ325" s="7" t="n">
        <f aca="false">COUNTA(U325:BT325)</f>
        <v>23</v>
      </c>
      <c r="CK325" s="7" t="n">
        <f aca="false">COUNTA(BT325)</f>
        <v>0</v>
      </c>
      <c r="CL325" s="7" t="n">
        <f aca="false">COUNTA(D325:BT325)</f>
        <v>25</v>
      </c>
      <c r="CM325" s="17" t="str">
        <f aca="false">IF(AND(CE325=1,CJ325=1,BT325&lt;&gt;""),"5.ENTRANTES",IF(AND(CE325&lt;&gt;0,CE325/RIGHT($CE$1,1)&gt;=0.5,CJ325=CE325),"4.RECENTES",IF(AND(CF325&lt;&gt;0,CF325/RIGHT($CF$1,1)&gt;=0.5,CJ325=CF325),"4.RECENTES",IF(AND(CG325&lt;&gt;0,CG325/RIGHT($CG$1,2)&gt;=0.5,CJ325=CG325),"4.RECENTES",IF(AND(CH325&lt;&gt;0,CH325/RIGHT($CH$1,2)&gt;=0.5,CJ325=CH325),"4.RECENTES",IF(AND(CI325&lt;&gt;0,CI325/RIGHT($CI$1,2)&gt;=0.5,CJ325=CI325),"4.RECENTES",IF(AND(CE325=0,CF325=0,CG325=0,CH325=0),"3.INATIVOS",IF(CJ325/RIGHT($CJ$1,2)&lt;0.5,"2.INTERMITENTES","1.ORDINÁRIOS"))))))))</f>
        <v>2.INTERMITENTES</v>
      </c>
      <c r="CN325" s="18" t="n">
        <f aca="false">IF(AND(CE325=1,CJ325=1,BT325&lt;&gt;""),BT325,IF(AND(CE325&lt;&gt;0,CE325/RIGHT($CE$1,1)&gt;=0.5,CJ325=CE325),MAX(BV325:CC325),IF(AND(CF325&lt;&gt;0,CF325/RIGHT($CF$1,1)&gt;=0.5,CJ325=CF325),MAX(BV325:CC325),IF(AND(CG325&lt;&gt;0,CG325/RIGHT($CG$1,2)&gt;=0.5,CJ325=CG325),MAX(BV325:CC325),IF(AND(CH325&lt;&gt;0,CH325/RIGHT($CH$1,2)&gt;=0.5,CJ325=CH325),MAX(BV325:CC325),IF(AND(CI325&lt;&gt;0,CI325/RIGHT($CI$1,2)&gt;=0.5,CJ325=CI325),MAX(BV325:CC325),IF(AND(CE325=0,CF325=0,CG325=0,CH325=0),0,IF(CJ325/RIGHT($CJ$1,2)&lt;0.5,ROUND(BU325/RIGHT($CJ$1,2),0),MAX(BV325:CC325)))))))))</f>
        <v>1</v>
      </c>
      <c r="CO325" s="18" t="n">
        <f aca="false">CD325</f>
        <v>11</v>
      </c>
      <c r="CP325" s="15" t="n">
        <v>14</v>
      </c>
      <c r="CQ325" s="16" t="n">
        <f aca="false">IF((CO325-CP325)&lt;0,0,(CO325-CP325))</f>
        <v>0</v>
      </c>
      <c r="CR325" s="7"/>
    </row>
    <row r="326" customFormat="false" ht="12.75" hidden="false" customHeight="true" outlineLevel="0" collapsed="false">
      <c r="A326" s="7" t="s">
        <v>388</v>
      </c>
      <c r="B326" s="7" t="s">
        <v>425</v>
      </c>
      <c r="C326" s="8" t="n">
        <v>321002001</v>
      </c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9"/>
      <c r="AX326" s="9"/>
      <c r="AY326" s="9"/>
      <c r="AZ326" s="9"/>
      <c r="BA326" s="9"/>
      <c r="BB326" s="9"/>
      <c r="BC326" s="9"/>
      <c r="BD326" s="9"/>
      <c r="BE326" s="9"/>
      <c r="BF326" s="9"/>
      <c r="BG326" s="9"/>
      <c r="BH326" s="9"/>
      <c r="BI326" s="9"/>
      <c r="BJ326" s="9"/>
      <c r="BK326" s="9"/>
      <c r="BL326" s="9"/>
      <c r="BM326" s="9" t="n">
        <v>21</v>
      </c>
      <c r="BN326" s="9" t="n">
        <v>1</v>
      </c>
      <c r="BO326" s="9"/>
      <c r="BP326" s="9"/>
      <c r="BQ326" s="9"/>
      <c r="BR326" s="9"/>
      <c r="BS326" s="9"/>
      <c r="BT326" s="9"/>
      <c r="BU326" s="10" t="n">
        <v>22</v>
      </c>
      <c r="BV326" s="11" t="n">
        <f aca="false">IF(ISERROR(ROUND(MEDIAN(BQ326:BT326),0)),0,ROUND(MEDIAN(BQ326:BT326),0))</f>
        <v>0</v>
      </c>
      <c r="BW326" s="11" t="n">
        <f aca="false">IF(ISERROR(ROUND(MEDIAN(BM326:BT326),0)),0,ROUND(MEDIAN(BM326:BT326),0))</f>
        <v>11</v>
      </c>
      <c r="BX326" s="11" t="n">
        <f aca="false">IF(ISERROR(ROUND(MEDIAN(BI326:BT326),0)),0,ROUND(MEDIAN(BI326:BT326),0))</f>
        <v>11</v>
      </c>
      <c r="BY326" s="11" t="n">
        <f aca="false">IF(ISERROR(ROUND(MEDIAN(BE326:BT326),0)),0,ROUND(MEDIAN(BE326:BT326),0))</f>
        <v>11</v>
      </c>
      <c r="BZ326" s="11" t="n">
        <f aca="false">IF(ISERROR(ROUND(MEDIAN(AU326:BT326),0)),0,ROUND(MEDIAN(AU326:BT326),0))</f>
        <v>11</v>
      </c>
      <c r="CA326" s="12" t="n">
        <f aca="false">IF(ISERROR(ROUND(MEDIAN(U326:BT326),0)),0,ROUND(MEDIAN(U326:BT326),0))</f>
        <v>11</v>
      </c>
      <c r="CB326" s="12" t="n">
        <f aca="false">IF(ISERROR(ROUND(MEDIAN(BT326),0)),0,ROUND(MEDIAN(BT326),0))</f>
        <v>0</v>
      </c>
      <c r="CC326" s="12" t="n">
        <f aca="false">IF(ISERROR(ROUND(MEDIAN(D326:BT326),0)),0,ROUND(MEDIAN(D326:BT326),0))</f>
        <v>11</v>
      </c>
      <c r="CD326" s="12" t="n">
        <f aca="false">MAX(D326:BT326)</f>
        <v>21</v>
      </c>
      <c r="CE326" s="7" t="n">
        <f aca="false">COUNTA(BQ326:BT326)</f>
        <v>0</v>
      </c>
      <c r="CF326" s="7" t="n">
        <f aca="false">COUNTA(BM326:BT326)</f>
        <v>2</v>
      </c>
      <c r="CG326" s="7" t="n">
        <f aca="false">COUNTA(BI326:BT326)</f>
        <v>2</v>
      </c>
      <c r="CH326" s="7" t="n">
        <f aca="false">COUNTA(BE326:BT326)</f>
        <v>2</v>
      </c>
      <c r="CI326" s="7" t="n">
        <f aca="false">COUNTA(AU326:BT326)</f>
        <v>2</v>
      </c>
      <c r="CJ326" s="7" t="n">
        <f aca="false">COUNTA(U326:BT326)</f>
        <v>2</v>
      </c>
      <c r="CK326" s="7" t="n">
        <f aca="false">COUNTA(BT326)</f>
        <v>0</v>
      </c>
      <c r="CL326" s="7" t="n">
        <f aca="false">COUNTA(D326:BT326)</f>
        <v>2</v>
      </c>
      <c r="CM326" s="17" t="str">
        <f aca="false">IF(AND(CE326=1,CJ326=1,BT326&lt;&gt;""),"5.ENTRANTES",IF(AND(CE326&lt;&gt;0,CE326/RIGHT($CE$1,1)&gt;=0.5,CJ326=CE326),"4.RECENTES",IF(AND(CF326&lt;&gt;0,CF326/RIGHT($CF$1,1)&gt;=0.5,CJ326=CF326),"4.RECENTES",IF(AND(CG326&lt;&gt;0,CG326/RIGHT($CG$1,2)&gt;=0.5,CJ326=CG326),"4.RECENTES",IF(AND(CH326&lt;&gt;0,CH326/RIGHT($CH$1,2)&gt;=0.5,CJ326=CH326),"4.RECENTES",IF(AND(CI326&lt;&gt;0,CI326/RIGHT($CI$1,2)&gt;=0.5,CJ326=CI326),"4.RECENTES",IF(AND(CE326=0,CF326=0,CG326=0,CH326=0),"3.INATIVOS",IF(CJ326/RIGHT($CJ$1,2)&lt;0.5,"2.INTERMITENTES","1.ORDINÁRIOS"))))))))</f>
        <v>2.INTERMITENTES</v>
      </c>
      <c r="CN326" s="18" t="n">
        <f aca="false">IF(AND(CE326=1,CJ326=1,BT326&lt;&gt;""),BT326,IF(AND(CE326&lt;&gt;0,CE326/RIGHT($CE$1,1)&gt;=0.5,CJ326=CE326),MAX(BV326:CC326),IF(AND(CF326&lt;&gt;0,CF326/RIGHT($CF$1,1)&gt;=0.5,CJ326=CF326),MAX(BV326:CC326),IF(AND(CG326&lt;&gt;0,CG326/RIGHT($CG$1,2)&gt;=0.5,CJ326=CG326),MAX(BV326:CC326),IF(AND(CH326&lt;&gt;0,CH326/RIGHT($CH$1,2)&gt;=0.5,CJ326=CH326),MAX(BV326:CC326),IF(AND(CI326&lt;&gt;0,CI326/RIGHT($CI$1,2)&gt;=0.5,CJ326=CI326),MAX(BV326:CC326),IF(AND(CE326=0,CF326=0,CG326=0,CH326=0),0,IF(CJ326/RIGHT($CJ$1,2)&lt;0.5,ROUND(BU326/RIGHT($CJ$1,2),0),MAX(BV326:CC326)))))))))</f>
        <v>0</v>
      </c>
      <c r="CO326" s="18" t="n">
        <f aca="false">CD326</f>
        <v>21</v>
      </c>
      <c r="CP326" s="15" t="n">
        <v>58</v>
      </c>
      <c r="CQ326" s="16" t="n">
        <f aca="false">IF((CO326-CP326)&lt;0,0,(CO326-CP326))</f>
        <v>0</v>
      </c>
      <c r="CR326" s="7"/>
    </row>
    <row r="327" customFormat="false" ht="12.75" hidden="false" customHeight="true" outlineLevel="0" collapsed="false">
      <c r="A327" s="7" t="s">
        <v>388</v>
      </c>
      <c r="B327" s="7" t="s">
        <v>426</v>
      </c>
      <c r="C327" s="8" t="n">
        <v>1001006</v>
      </c>
      <c r="D327" s="9"/>
      <c r="E327" s="9"/>
      <c r="F327" s="9" t="n">
        <v>4</v>
      </c>
      <c r="G327" s="9"/>
      <c r="H327" s="9" t="n">
        <v>7</v>
      </c>
      <c r="I327" s="9" t="n">
        <v>3</v>
      </c>
      <c r="J327" s="9" t="n">
        <v>2</v>
      </c>
      <c r="K327" s="9" t="n">
        <v>1</v>
      </c>
      <c r="L327" s="9" t="n">
        <v>6</v>
      </c>
      <c r="M327" s="9"/>
      <c r="N327" s="9"/>
      <c r="O327" s="9" t="n">
        <v>5</v>
      </c>
      <c r="P327" s="9"/>
      <c r="Q327" s="9" t="n">
        <v>6</v>
      </c>
      <c r="R327" s="9" t="n">
        <v>2</v>
      </c>
      <c r="S327" s="9" t="n">
        <v>4</v>
      </c>
      <c r="T327" s="9" t="n">
        <v>1</v>
      </c>
      <c r="U327" s="9" t="n">
        <v>6</v>
      </c>
      <c r="V327" s="9"/>
      <c r="W327" s="9" t="n">
        <v>2</v>
      </c>
      <c r="X327" s="9" t="n">
        <v>1</v>
      </c>
      <c r="Y327" s="9" t="n">
        <v>5</v>
      </c>
      <c r="Z327" s="9"/>
      <c r="AA327" s="9" t="n">
        <v>13</v>
      </c>
      <c r="AB327" s="9" t="n">
        <v>8</v>
      </c>
      <c r="AC327" s="9"/>
      <c r="AD327" s="9" t="n">
        <v>1</v>
      </c>
      <c r="AE327" s="9" t="n">
        <v>6</v>
      </c>
      <c r="AF327" s="9" t="n">
        <v>1</v>
      </c>
      <c r="AG327" s="9"/>
      <c r="AH327" s="9" t="n">
        <v>3</v>
      </c>
      <c r="AI327" s="9"/>
      <c r="AJ327" s="9" t="n">
        <v>7</v>
      </c>
      <c r="AK327" s="9"/>
      <c r="AL327" s="9" t="n">
        <v>2</v>
      </c>
      <c r="AM327" s="9" t="n">
        <v>2</v>
      </c>
      <c r="AN327" s="9" t="n">
        <v>3</v>
      </c>
      <c r="AO327" s="9" t="n">
        <v>1</v>
      </c>
      <c r="AP327" s="9"/>
      <c r="AQ327" s="9"/>
      <c r="AR327" s="9" t="n">
        <v>2</v>
      </c>
      <c r="AS327" s="9" t="n">
        <v>2</v>
      </c>
      <c r="AT327" s="9" t="n">
        <v>2</v>
      </c>
      <c r="AU327" s="9" t="n">
        <v>2</v>
      </c>
      <c r="AV327" s="9" t="n">
        <v>2</v>
      </c>
      <c r="AW327" s="9" t="n">
        <v>3</v>
      </c>
      <c r="AX327" s="9" t="n">
        <v>6</v>
      </c>
      <c r="AY327" s="9" t="n">
        <v>10</v>
      </c>
      <c r="AZ327" s="9" t="n">
        <v>2</v>
      </c>
      <c r="BA327" s="9" t="n">
        <v>1</v>
      </c>
      <c r="BB327" s="9" t="n">
        <v>1</v>
      </c>
      <c r="BC327" s="9" t="n">
        <v>2</v>
      </c>
      <c r="BD327" s="9" t="n">
        <v>6</v>
      </c>
      <c r="BE327" s="9" t="n">
        <v>3</v>
      </c>
      <c r="BF327" s="9" t="n">
        <v>10</v>
      </c>
      <c r="BG327" s="9" t="n">
        <v>1</v>
      </c>
      <c r="BH327" s="9" t="n">
        <v>2</v>
      </c>
      <c r="BI327" s="9" t="n">
        <v>2</v>
      </c>
      <c r="BJ327" s="9" t="n">
        <v>8</v>
      </c>
      <c r="BK327" s="9" t="n">
        <v>8</v>
      </c>
      <c r="BL327" s="9" t="n">
        <v>8</v>
      </c>
      <c r="BM327" s="9" t="n">
        <v>2</v>
      </c>
      <c r="BN327" s="9" t="n">
        <v>1</v>
      </c>
      <c r="BO327" s="9" t="n">
        <v>11</v>
      </c>
      <c r="BP327" s="9" t="n">
        <v>5</v>
      </c>
      <c r="BQ327" s="9" t="n">
        <v>1</v>
      </c>
      <c r="BR327" s="9"/>
      <c r="BS327" s="9"/>
      <c r="BT327" s="9" t="n">
        <v>4</v>
      </c>
      <c r="BU327" s="10" t="n">
        <v>209</v>
      </c>
      <c r="BV327" s="11" t="n">
        <f aca="false">IF(ISERROR(ROUND(MEDIAN(BQ327:BT327),0)),0,ROUND(MEDIAN(BQ327:BT327),0))</f>
        <v>3</v>
      </c>
      <c r="BW327" s="11" t="n">
        <f aca="false">IF(ISERROR(ROUND(MEDIAN(BM327:BT327),0)),0,ROUND(MEDIAN(BM327:BT327),0))</f>
        <v>3</v>
      </c>
      <c r="BX327" s="11" t="n">
        <f aca="false">IF(ISERROR(ROUND(MEDIAN(BI327:BT327),0)),0,ROUND(MEDIAN(BI327:BT327),0))</f>
        <v>5</v>
      </c>
      <c r="BY327" s="11" t="n">
        <f aca="false">IF(ISERROR(ROUND(MEDIAN(BE327:BT327),0)),0,ROUND(MEDIAN(BE327:BT327),0))</f>
        <v>4</v>
      </c>
      <c r="BZ327" s="11" t="n">
        <f aca="false">IF(ISERROR(ROUND(MEDIAN(AU327:BT327),0)),0,ROUND(MEDIAN(AU327:BT327),0))</f>
        <v>3</v>
      </c>
      <c r="CA327" s="12" t="n">
        <f aca="false">IF(ISERROR(ROUND(MEDIAN(U327:BT327),0)),0,ROUND(MEDIAN(U327:BT327),0))</f>
        <v>2</v>
      </c>
      <c r="CB327" s="12" t="n">
        <f aca="false">IF(ISERROR(ROUND(MEDIAN(BT327),0)),0,ROUND(MEDIAN(BT327),0))</f>
        <v>4</v>
      </c>
      <c r="CC327" s="12" t="n">
        <f aca="false">IF(ISERROR(ROUND(MEDIAN(D327:BT327),0)),0,ROUND(MEDIAN(D327:BT327),0))</f>
        <v>3</v>
      </c>
      <c r="CD327" s="12" t="n">
        <f aca="false">MAX(D327:BT327)</f>
        <v>13</v>
      </c>
      <c r="CE327" s="7" t="n">
        <f aca="false">COUNTA(BQ327:BT327)</f>
        <v>2</v>
      </c>
      <c r="CF327" s="7" t="n">
        <f aca="false">COUNTA(BM327:BT327)</f>
        <v>6</v>
      </c>
      <c r="CG327" s="7" t="n">
        <f aca="false">COUNTA(BI327:BT327)</f>
        <v>10</v>
      </c>
      <c r="CH327" s="7" t="n">
        <f aca="false">COUNTA(BE327:BT327)</f>
        <v>14</v>
      </c>
      <c r="CI327" s="7" t="n">
        <f aca="false">COUNTA(AU327:BT327)</f>
        <v>24</v>
      </c>
      <c r="CJ327" s="7" t="n">
        <f aca="false">COUNTA(U327:BT327)</f>
        <v>42</v>
      </c>
      <c r="CK327" s="7" t="n">
        <f aca="false">COUNTA(BT327)</f>
        <v>1</v>
      </c>
      <c r="CL327" s="7" t="n">
        <f aca="false">COUNTA(D327:BT327)</f>
        <v>53</v>
      </c>
      <c r="CM327" s="13" t="str">
        <f aca="false">IF(AND(CE327=1,CJ327=1,BT327&lt;&gt;""),"5.ENTRANTES",IF(AND(CE327&lt;&gt;0,CE327/RIGHT($CE$1,1)&gt;=0.5,CJ327=CE327),"4.RECENTES",IF(AND(CF327&lt;&gt;0,CF327/RIGHT($CF$1,1)&gt;=0.5,CJ327=CF327),"4.RECENTES",IF(AND(CG327&lt;&gt;0,CG327/RIGHT($CG$1,2)&gt;=0.5,CJ327=CG327),"4.RECENTES",IF(AND(CH327&lt;&gt;0,CH327/RIGHT($CH$1,2)&gt;=0.5,CJ327=CH327),"4.RECENTES",IF(AND(CI327&lt;&gt;0,CI327/RIGHT($CI$1,2)&gt;=0.5,CJ327=CI327),"4.RECENTES",IF(AND(CE327=0,CF327=0,CG327=0,CH327=0),"3.INATIVOS",IF(CJ327/RIGHT($CJ$1,2)&lt;0.5,"2.INTERMITENTES","1.ORDINÁRIOS"))))))))</f>
        <v>1.ORDINÁRIOS</v>
      </c>
      <c r="CN327" s="14" t="n">
        <f aca="false">IF(AND(CE327=1,CJ327=1,BT327&lt;&gt;""),BT327,IF(AND(CE327&lt;&gt;0,CE327/RIGHT($CE$1,1)&gt;=0.5,CJ327=CE327),MAX(BV327:CC327),IF(AND(CF327&lt;&gt;0,CF327/RIGHT($CF$1,1)&gt;=0.5,CJ327=CF327),MAX(BV327:CC327),IF(AND(CG327&lt;&gt;0,CG327/RIGHT($CG$1,2)&gt;=0.5,CJ327=CG327),MAX(BV327:CC327),IF(AND(CH327&lt;&gt;0,CH327/RIGHT($CH$1,2)&gt;=0.5,CJ327=CH327),MAX(BV327:CC327),IF(AND(CI327&lt;&gt;0,CI327/RIGHT($CI$1,2)&gt;=0.5,CJ327=CI327),MAX(BV327:CC327),IF(AND(CE327=0,CF327=0,CG327=0,CH327=0),0,IF(CJ327/RIGHT($CJ$1,2)&lt;0.5,ROUND(BU327/RIGHT($CJ$1,2),0),MAX(BV327:CC327)))))))))</f>
        <v>5</v>
      </c>
      <c r="CO327" s="14" t="n">
        <f aca="false">CN327*3</f>
        <v>15</v>
      </c>
      <c r="CP327" s="15" t="n">
        <v>9</v>
      </c>
      <c r="CQ327" s="16" t="n">
        <f aca="false">IF((CO327-CP327)&lt;0,0,(CO327-CP327))</f>
        <v>6</v>
      </c>
      <c r="CR327" s="7"/>
    </row>
    <row r="328" customFormat="false" ht="12.75" hidden="false" customHeight="true" outlineLevel="0" collapsed="false">
      <c r="A328" s="7" t="s">
        <v>388</v>
      </c>
      <c r="B328" s="7" t="s">
        <v>427</v>
      </c>
      <c r="C328" s="8" t="n">
        <v>5000052</v>
      </c>
      <c r="D328" s="9" t="n">
        <v>6</v>
      </c>
      <c r="E328" s="9" t="n">
        <v>44</v>
      </c>
      <c r="F328" s="9" t="n">
        <v>32</v>
      </c>
      <c r="G328" s="9" t="n">
        <v>41</v>
      </c>
      <c r="H328" s="9" t="n">
        <v>36</v>
      </c>
      <c r="I328" s="9" t="n">
        <v>46</v>
      </c>
      <c r="J328" s="9" t="n">
        <v>38</v>
      </c>
      <c r="K328" s="9" t="n">
        <v>34</v>
      </c>
      <c r="L328" s="9" t="n">
        <v>47</v>
      </c>
      <c r="M328" s="9" t="n">
        <v>35</v>
      </c>
      <c r="N328" s="9" t="n">
        <v>33</v>
      </c>
      <c r="O328" s="9" t="n">
        <v>24</v>
      </c>
      <c r="P328" s="9" t="n">
        <v>56</v>
      </c>
      <c r="Q328" s="9" t="n">
        <v>32</v>
      </c>
      <c r="R328" s="9" t="n">
        <v>39</v>
      </c>
      <c r="S328" s="9" t="n">
        <v>35</v>
      </c>
      <c r="T328" s="9" t="n">
        <v>27</v>
      </c>
      <c r="U328" s="9" t="n">
        <v>32</v>
      </c>
      <c r="V328" s="9" t="n">
        <v>31</v>
      </c>
      <c r="W328" s="9" t="n">
        <v>37</v>
      </c>
      <c r="X328" s="9" t="n">
        <v>47</v>
      </c>
      <c r="Y328" s="9" t="n">
        <v>31</v>
      </c>
      <c r="Z328" s="9" t="n">
        <v>32</v>
      </c>
      <c r="AA328" s="9" t="n">
        <v>38</v>
      </c>
      <c r="AB328" s="9" t="n">
        <v>47</v>
      </c>
      <c r="AC328" s="9" t="n">
        <v>31</v>
      </c>
      <c r="AD328" s="9" t="n">
        <v>43</v>
      </c>
      <c r="AE328" s="9" t="n">
        <v>30</v>
      </c>
      <c r="AF328" s="9" t="n">
        <v>32</v>
      </c>
      <c r="AG328" s="9" t="n">
        <v>35</v>
      </c>
      <c r="AH328" s="9" t="n">
        <v>31</v>
      </c>
      <c r="AI328" s="9" t="n">
        <v>41</v>
      </c>
      <c r="AJ328" s="9" t="n">
        <v>44</v>
      </c>
      <c r="AK328" s="9" t="n">
        <v>28</v>
      </c>
      <c r="AL328" s="9" t="n">
        <v>42</v>
      </c>
      <c r="AM328" s="9" t="n">
        <v>44</v>
      </c>
      <c r="AN328" s="9" t="n">
        <v>54</v>
      </c>
      <c r="AO328" s="9" t="n">
        <v>29</v>
      </c>
      <c r="AP328" s="9" t="n">
        <v>49</v>
      </c>
      <c r="AQ328" s="9" t="n">
        <v>48</v>
      </c>
      <c r="AR328" s="9" t="n">
        <v>48</v>
      </c>
      <c r="AS328" s="9" t="n">
        <v>43</v>
      </c>
      <c r="AT328" s="9" t="n">
        <v>29</v>
      </c>
      <c r="AU328" s="9" t="n">
        <v>40</v>
      </c>
      <c r="AV328" s="9" t="n">
        <v>41</v>
      </c>
      <c r="AW328" s="9" t="n">
        <v>41</v>
      </c>
      <c r="AX328" s="9" t="n">
        <v>54</v>
      </c>
      <c r="AY328" s="9" t="n">
        <v>44</v>
      </c>
      <c r="AZ328" s="9" t="n">
        <v>42</v>
      </c>
      <c r="BA328" s="9" t="n">
        <v>42</v>
      </c>
      <c r="BB328" s="9" t="n">
        <v>42</v>
      </c>
      <c r="BC328" s="9" t="n">
        <v>55</v>
      </c>
      <c r="BD328" s="9" t="n">
        <v>58</v>
      </c>
      <c r="BE328" s="9" t="n">
        <v>73</v>
      </c>
      <c r="BF328" s="9" t="n">
        <v>53</v>
      </c>
      <c r="BG328" s="9" t="n">
        <v>50</v>
      </c>
      <c r="BH328" s="9" t="n">
        <v>62</v>
      </c>
      <c r="BI328" s="9" t="n">
        <v>60</v>
      </c>
      <c r="BJ328" s="9" t="n">
        <v>55</v>
      </c>
      <c r="BK328" s="9" t="n">
        <v>58</v>
      </c>
      <c r="BL328" s="9" t="n">
        <v>43</v>
      </c>
      <c r="BM328" s="9" t="n">
        <v>33</v>
      </c>
      <c r="BN328" s="9" t="n">
        <v>60</v>
      </c>
      <c r="BO328" s="9" t="n">
        <v>69</v>
      </c>
      <c r="BP328" s="9" t="n">
        <v>60</v>
      </c>
      <c r="BQ328" s="9" t="n">
        <v>57</v>
      </c>
      <c r="BR328" s="9" t="n">
        <v>35</v>
      </c>
      <c r="BS328" s="9" t="n">
        <v>50</v>
      </c>
      <c r="BT328" s="9" t="n">
        <v>56</v>
      </c>
      <c r="BU328" s="10" t="n">
        <v>2934</v>
      </c>
      <c r="BV328" s="11" t="n">
        <f aca="false">IF(ISERROR(ROUND(MEDIAN(BQ328:BT328),0)),0,ROUND(MEDIAN(BQ328:BT328),0))</f>
        <v>53</v>
      </c>
      <c r="BW328" s="11" t="n">
        <f aca="false">IF(ISERROR(ROUND(MEDIAN(BM328:BT328),0)),0,ROUND(MEDIAN(BM328:BT328),0))</f>
        <v>57</v>
      </c>
      <c r="BX328" s="11" t="n">
        <f aca="false">IF(ISERROR(ROUND(MEDIAN(BI328:BT328),0)),0,ROUND(MEDIAN(BI328:BT328),0))</f>
        <v>57</v>
      </c>
      <c r="BY328" s="11" t="n">
        <f aca="false">IF(ISERROR(ROUND(MEDIAN(BE328:BT328),0)),0,ROUND(MEDIAN(BE328:BT328),0))</f>
        <v>57</v>
      </c>
      <c r="BZ328" s="11" t="n">
        <f aca="false">IF(ISERROR(ROUND(MEDIAN(AU328:BT328),0)),0,ROUND(MEDIAN(AU328:BT328),0))</f>
        <v>54</v>
      </c>
      <c r="CA328" s="12" t="n">
        <f aca="false">IF(ISERROR(ROUND(MEDIAN(U328:BT328),0)),0,ROUND(MEDIAN(U328:BT328),0))</f>
        <v>43</v>
      </c>
      <c r="CB328" s="12" t="n">
        <f aca="false">IF(ISERROR(ROUND(MEDIAN(BT328),0)),0,ROUND(MEDIAN(BT328),0))</f>
        <v>56</v>
      </c>
      <c r="CC328" s="12" t="n">
        <f aca="false">IF(ISERROR(ROUND(MEDIAN(D328:BT328),0)),0,ROUND(MEDIAN(D328:BT328),0))</f>
        <v>42</v>
      </c>
      <c r="CD328" s="12" t="n">
        <f aca="false">MAX(D328:BT328)</f>
        <v>73</v>
      </c>
      <c r="CE328" s="7" t="n">
        <f aca="false">COUNTA(BQ328:BT328)</f>
        <v>4</v>
      </c>
      <c r="CF328" s="7" t="n">
        <f aca="false">COUNTA(BM328:BT328)</f>
        <v>8</v>
      </c>
      <c r="CG328" s="7" t="n">
        <f aca="false">COUNTA(BI328:BT328)</f>
        <v>12</v>
      </c>
      <c r="CH328" s="7" t="n">
        <f aca="false">COUNTA(BE328:BT328)</f>
        <v>16</v>
      </c>
      <c r="CI328" s="7" t="n">
        <f aca="false">COUNTA(AU328:BT328)</f>
        <v>26</v>
      </c>
      <c r="CJ328" s="7" t="n">
        <f aca="false">COUNTA(U328:BT328)</f>
        <v>52</v>
      </c>
      <c r="CK328" s="7" t="n">
        <f aca="false">COUNTA(BT328)</f>
        <v>1</v>
      </c>
      <c r="CL328" s="7" t="n">
        <f aca="false">COUNTA(D328:BT328)</f>
        <v>69</v>
      </c>
      <c r="CM328" s="13" t="str">
        <f aca="false">IF(AND(CE328=1,CJ328=1,BT328&lt;&gt;""),"5.ENTRANTES",IF(AND(CE328&lt;&gt;0,CE328/RIGHT($CE$1,1)&gt;=0.5,CJ328=CE328),"4.RECENTES",IF(AND(CF328&lt;&gt;0,CF328/RIGHT($CF$1,1)&gt;=0.5,CJ328=CF328),"4.RECENTES",IF(AND(CG328&lt;&gt;0,CG328/RIGHT($CG$1,2)&gt;=0.5,CJ328=CG328),"4.RECENTES",IF(AND(CH328&lt;&gt;0,CH328/RIGHT($CH$1,2)&gt;=0.5,CJ328=CH328),"4.RECENTES",IF(AND(CI328&lt;&gt;0,CI328/RIGHT($CI$1,2)&gt;=0.5,CJ328=CI328),"4.RECENTES",IF(AND(CE328=0,CF328=0,CG328=0,CH328=0),"3.INATIVOS",IF(CJ328/RIGHT($CJ$1,2)&lt;0.5,"2.INTERMITENTES","1.ORDINÁRIOS"))))))))</f>
        <v>1.ORDINÁRIOS</v>
      </c>
      <c r="CN328" s="14" t="n">
        <f aca="false">IF(AND(CE328=1,CJ328=1,BT328&lt;&gt;""),BT328,IF(AND(CE328&lt;&gt;0,CE328/RIGHT($CE$1,1)&gt;=0.5,CJ328=CE328),MAX(BV328:CC328),IF(AND(CF328&lt;&gt;0,CF328/RIGHT($CF$1,1)&gt;=0.5,CJ328=CF328),MAX(BV328:CC328),IF(AND(CG328&lt;&gt;0,CG328/RIGHT($CG$1,2)&gt;=0.5,CJ328=CG328),MAX(BV328:CC328),IF(AND(CH328&lt;&gt;0,CH328/RIGHT($CH$1,2)&gt;=0.5,CJ328=CH328),MAX(BV328:CC328),IF(AND(CI328&lt;&gt;0,CI328/RIGHT($CI$1,2)&gt;=0.5,CJ328=CI328),MAX(BV328:CC328),IF(AND(CE328=0,CF328=0,CG328=0,CH328=0),0,IF(CJ328/RIGHT($CJ$1,2)&lt;0.5,ROUND(BU328/RIGHT($CJ$1,2),0),MAX(BV328:CC328)))))))))</f>
        <v>57</v>
      </c>
      <c r="CO328" s="14" t="n">
        <f aca="false">CN328*3</f>
        <v>171</v>
      </c>
      <c r="CP328" s="15" t="n">
        <v>84</v>
      </c>
      <c r="CQ328" s="16" t="n">
        <f aca="false">IF((CO328-CP328)&lt;0,0,(CO328-CP328))</f>
        <v>87</v>
      </c>
      <c r="CR328" s="7"/>
    </row>
    <row r="329" customFormat="false" ht="12.75" hidden="false" customHeight="true" outlineLevel="0" collapsed="false">
      <c r="A329" s="7" t="s">
        <v>428</v>
      </c>
      <c r="B329" s="7" t="s">
        <v>429</v>
      </c>
      <c r="C329" s="8" t="n">
        <v>2000138</v>
      </c>
      <c r="D329" s="9"/>
      <c r="E329" s="9" t="n">
        <v>8</v>
      </c>
      <c r="F329" s="9" t="n">
        <v>20</v>
      </c>
      <c r="G329" s="9" t="n">
        <v>5</v>
      </c>
      <c r="H329" s="9"/>
      <c r="I329" s="9" t="n">
        <v>16</v>
      </c>
      <c r="J329" s="9" t="n">
        <v>11</v>
      </c>
      <c r="K329" s="9" t="n">
        <v>3</v>
      </c>
      <c r="L329" s="9" t="n">
        <v>9</v>
      </c>
      <c r="M329" s="9" t="n">
        <v>15</v>
      </c>
      <c r="N329" s="9" t="n">
        <v>1</v>
      </c>
      <c r="O329" s="9" t="n">
        <v>14</v>
      </c>
      <c r="P329" s="9" t="n">
        <v>8</v>
      </c>
      <c r="Q329" s="9" t="n">
        <v>25</v>
      </c>
      <c r="R329" s="9"/>
      <c r="S329" s="9" t="n">
        <v>4</v>
      </c>
      <c r="T329" s="9" t="n">
        <v>11</v>
      </c>
      <c r="U329" s="9" t="n">
        <v>2</v>
      </c>
      <c r="V329" s="9" t="n">
        <v>32</v>
      </c>
      <c r="W329" s="9" t="n">
        <v>6</v>
      </c>
      <c r="X329" s="9"/>
      <c r="Y329" s="9"/>
      <c r="Z329" s="9" t="n">
        <v>7</v>
      </c>
      <c r="AA329" s="9"/>
      <c r="AB329" s="9" t="n">
        <v>1</v>
      </c>
      <c r="AC329" s="9"/>
      <c r="AD329" s="9" t="n">
        <v>8</v>
      </c>
      <c r="AE329" s="9" t="n">
        <v>3</v>
      </c>
      <c r="AF329" s="9" t="n">
        <v>17</v>
      </c>
      <c r="AG329" s="9" t="n">
        <v>2</v>
      </c>
      <c r="AH329" s="9" t="n">
        <v>10</v>
      </c>
      <c r="AI329" s="9" t="n">
        <v>9</v>
      </c>
      <c r="AJ329" s="9" t="n">
        <v>4</v>
      </c>
      <c r="AK329" s="9" t="n">
        <v>7</v>
      </c>
      <c r="AL329" s="9"/>
      <c r="AM329" s="9" t="n">
        <v>9</v>
      </c>
      <c r="AN329" s="9" t="n">
        <v>35</v>
      </c>
      <c r="AO329" s="9" t="n">
        <v>3</v>
      </c>
      <c r="AP329" s="9" t="n">
        <v>2</v>
      </c>
      <c r="AQ329" s="9"/>
      <c r="AR329" s="9" t="n">
        <v>2</v>
      </c>
      <c r="AS329" s="9" t="n">
        <v>18</v>
      </c>
      <c r="AT329" s="9" t="n">
        <v>5</v>
      </c>
      <c r="AU329" s="9" t="n">
        <v>1</v>
      </c>
      <c r="AV329" s="9" t="n">
        <v>3</v>
      </c>
      <c r="AW329" s="9" t="n">
        <v>17</v>
      </c>
      <c r="AX329" s="9"/>
      <c r="AY329" s="9" t="n">
        <v>21</v>
      </c>
      <c r="AZ329" s="9"/>
      <c r="BA329" s="9" t="n">
        <v>26</v>
      </c>
      <c r="BB329" s="9" t="n">
        <v>21</v>
      </c>
      <c r="BC329" s="9" t="n">
        <v>28</v>
      </c>
      <c r="BD329" s="9" t="n">
        <v>6</v>
      </c>
      <c r="BE329" s="9" t="n">
        <v>2</v>
      </c>
      <c r="BF329" s="9" t="n">
        <v>15</v>
      </c>
      <c r="BG329" s="9"/>
      <c r="BH329" s="9" t="n">
        <v>15</v>
      </c>
      <c r="BI329" s="9" t="n">
        <v>17</v>
      </c>
      <c r="BJ329" s="9" t="n">
        <v>35</v>
      </c>
      <c r="BK329" s="9" t="n">
        <v>1</v>
      </c>
      <c r="BL329" s="9" t="n">
        <v>4</v>
      </c>
      <c r="BM329" s="9" t="n">
        <v>3</v>
      </c>
      <c r="BN329" s="9" t="n">
        <v>1</v>
      </c>
      <c r="BO329" s="9"/>
      <c r="BP329" s="9" t="n">
        <v>24</v>
      </c>
      <c r="BQ329" s="9" t="n">
        <v>5</v>
      </c>
      <c r="BR329" s="9"/>
      <c r="BS329" s="9" t="n">
        <v>2</v>
      </c>
      <c r="BT329" s="9"/>
      <c r="BU329" s="10" t="n">
        <v>579</v>
      </c>
      <c r="BV329" s="11" t="n">
        <f aca="false">IF(ISERROR(ROUND(MEDIAN(BQ329:BT329),0)),0,ROUND(MEDIAN(BQ329:BT329),0))</f>
        <v>4</v>
      </c>
      <c r="BW329" s="11" t="n">
        <f aca="false">IF(ISERROR(ROUND(MEDIAN(BM329:BT329),0)),0,ROUND(MEDIAN(BM329:BT329),0))</f>
        <v>3</v>
      </c>
      <c r="BX329" s="11" t="n">
        <f aca="false">IF(ISERROR(ROUND(MEDIAN(BI329:BT329),0)),0,ROUND(MEDIAN(BI329:BT329),0))</f>
        <v>4</v>
      </c>
      <c r="BY329" s="11" t="n">
        <f aca="false">IF(ISERROR(ROUND(MEDIAN(BE329:BT329),0)),0,ROUND(MEDIAN(BE329:BT329),0))</f>
        <v>5</v>
      </c>
      <c r="BZ329" s="11" t="n">
        <f aca="false">IF(ISERROR(ROUND(MEDIAN(AU329:BT329),0)),0,ROUND(MEDIAN(AU329:BT329),0))</f>
        <v>11</v>
      </c>
      <c r="CA329" s="12" t="n">
        <f aca="false">IF(ISERROR(ROUND(MEDIAN(U329:BT329),0)),0,ROUND(MEDIAN(U329:BT329),0))</f>
        <v>7</v>
      </c>
      <c r="CB329" s="12" t="n">
        <f aca="false">IF(ISERROR(ROUND(MEDIAN(BT329),0)),0,ROUND(MEDIAN(BT329),0))</f>
        <v>0</v>
      </c>
      <c r="CC329" s="12" t="n">
        <f aca="false">IF(ISERROR(ROUND(MEDIAN(D329:BT329),0)),0,ROUND(MEDIAN(D329:BT329),0))</f>
        <v>8</v>
      </c>
      <c r="CD329" s="12" t="n">
        <f aca="false">MAX(D329:BT329)</f>
        <v>35</v>
      </c>
      <c r="CE329" s="7" t="n">
        <f aca="false">COUNTA(BQ329:BT329)</f>
        <v>2</v>
      </c>
      <c r="CF329" s="7" t="n">
        <f aca="false">COUNTA(BM329:BT329)</f>
        <v>5</v>
      </c>
      <c r="CG329" s="7" t="n">
        <f aca="false">COUNTA(BI329:BT329)</f>
        <v>9</v>
      </c>
      <c r="CH329" s="7" t="n">
        <f aca="false">COUNTA(BE329:BT329)</f>
        <v>12</v>
      </c>
      <c r="CI329" s="7" t="n">
        <f aca="false">COUNTA(AU329:BT329)</f>
        <v>20</v>
      </c>
      <c r="CJ329" s="7" t="n">
        <f aca="false">COUNTA(U329:BT329)</f>
        <v>40</v>
      </c>
      <c r="CK329" s="7" t="n">
        <f aca="false">COUNTA(BT329)</f>
        <v>0</v>
      </c>
      <c r="CL329" s="7" t="n">
        <f aca="false">COUNTA(D329:BT329)</f>
        <v>54</v>
      </c>
      <c r="CM329" s="13" t="str">
        <f aca="false">IF(AND(CE329=1,CJ329=1,BT329&lt;&gt;""),"5.ENTRANTES",IF(AND(CE329&lt;&gt;0,CE329/RIGHT($CE$1,1)&gt;=0.5,CJ329=CE329),"4.RECENTES",IF(AND(CF329&lt;&gt;0,CF329/RIGHT($CF$1,1)&gt;=0.5,CJ329=CF329),"4.RECENTES",IF(AND(CG329&lt;&gt;0,CG329/RIGHT($CG$1,2)&gt;=0.5,CJ329=CG329),"4.RECENTES",IF(AND(CH329&lt;&gt;0,CH329/RIGHT($CH$1,2)&gt;=0.5,CJ329=CH329),"4.RECENTES",IF(AND(CI329&lt;&gt;0,CI329/RIGHT($CI$1,2)&gt;=0.5,CJ329=CI329),"4.RECENTES",IF(AND(CE329=0,CF329=0,CG329=0,CH329=0),"3.INATIVOS",IF(CJ329/RIGHT($CJ$1,2)&lt;0.5,"2.INTERMITENTES","1.ORDINÁRIOS"))))))))</f>
        <v>1.ORDINÁRIOS</v>
      </c>
      <c r="CN329" s="14" t="n">
        <f aca="false">IF(AND(CE329=1,CJ329=1,BT329&lt;&gt;""),BT329,IF(AND(CE329&lt;&gt;0,CE329/RIGHT($CE$1,1)&gt;=0.5,CJ329=CE329),MAX(BV329:CC329),IF(AND(CF329&lt;&gt;0,CF329/RIGHT($CF$1,1)&gt;=0.5,CJ329=CF329),MAX(BV329:CC329),IF(AND(CG329&lt;&gt;0,CG329/RIGHT($CG$1,2)&gt;=0.5,CJ329=CG329),MAX(BV329:CC329),IF(AND(CH329&lt;&gt;0,CH329/RIGHT($CH$1,2)&gt;=0.5,CJ329=CH329),MAX(BV329:CC329),IF(AND(CI329&lt;&gt;0,CI329/RIGHT($CI$1,2)&gt;=0.5,CJ329=CI329),MAX(BV329:CC329),IF(AND(CE329=0,CF329=0,CG329=0,CH329=0),0,IF(CJ329/RIGHT($CJ$1,2)&lt;0.5,ROUND(BU329/RIGHT($CJ$1,2),0),MAX(BV329:CC329)))))))))</f>
        <v>11</v>
      </c>
      <c r="CO329" s="14" t="n">
        <f aca="false">CN329*3</f>
        <v>33</v>
      </c>
      <c r="CP329" s="15" t="n">
        <v>14</v>
      </c>
      <c r="CQ329" s="16" t="n">
        <f aca="false">IF((CO329-CP329)&lt;0,0,(CO329-CP329))</f>
        <v>19</v>
      </c>
      <c r="CR329" s="7"/>
    </row>
    <row r="330" customFormat="false" ht="12.75" hidden="false" customHeight="true" outlineLevel="0" collapsed="false">
      <c r="A330" s="7" t="s">
        <v>428</v>
      </c>
      <c r="B330" s="7" t="s">
        <v>430</v>
      </c>
      <c r="C330" s="8" t="n">
        <v>2000137</v>
      </c>
      <c r="D330" s="9"/>
      <c r="E330" s="9"/>
      <c r="F330" s="9" t="n">
        <v>13</v>
      </c>
      <c r="G330" s="9" t="n">
        <v>1</v>
      </c>
      <c r="H330" s="9"/>
      <c r="I330" s="9"/>
      <c r="J330" s="9" t="n">
        <v>1</v>
      </c>
      <c r="K330" s="9"/>
      <c r="L330" s="9"/>
      <c r="M330" s="9"/>
      <c r="N330" s="9"/>
      <c r="O330" s="9" t="n">
        <v>1</v>
      </c>
      <c r="P330" s="9"/>
      <c r="Q330" s="9"/>
      <c r="R330" s="9" t="n">
        <v>1</v>
      </c>
      <c r="S330" s="9"/>
      <c r="T330" s="9"/>
      <c r="U330" s="9"/>
      <c r="V330" s="9"/>
      <c r="W330" s="9"/>
      <c r="X330" s="9" t="n">
        <v>4</v>
      </c>
      <c r="Y330" s="9"/>
      <c r="Z330" s="9" t="n">
        <v>4</v>
      </c>
      <c r="AA330" s="9" t="n">
        <v>1</v>
      </c>
      <c r="AB330" s="9"/>
      <c r="AC330" s="9" t="n">
        <v>7</v>
      </c>
      <c r="AD330" s="9" t="n">
        <v>7</v>
      </c>
      <c r="AE330" s="9"/>
      <c r="AF330" s="9" t="n">
        <v>7</v>
      </c>
      <c r="AG330" s="9" t="n">
        <v>1</v>
      </c>
      <c r="AH330" s="9"/>
      <c r="AI330" s="9"/>
      <c r="AJ330" s="9" t="n">
        <v>15</v>
      </c>
      <c r="AK330" s="9" t="n">
        <v>7</v>
      </c>
      <c r="AL330" s="9" t="n">
        <v>7</v>
      </c>
      <c r="AM330" s="9"/>
      <c r="AN330" s="9" t="n">
        <v>1</v>
      </c>
      <c r="AO330" s="9" t="n">
        <v>7</v>
      </c>
      <c r="AP330" s="9"/>
      <c r="AQ330" s="9" t="n">
        <v>2</v>
      </c>
      <c r="AR330" s="9"/>
      <c r="AS330" s="9"/>
      <c r="AT330" s="9"/>
      <c r="AU330" s="9"/>
      <c r="AV330" s="9"/>
      <c r="AW330" s="9"/>
      <c r="AX330" s="9"/>
      <c r="AY330" s="9" t="n">
        <v>7</v>
      </c>
      <c r="AZ330" s="9" t="n">
        <v>8</v>
      </c>
      <c r="BA330" s="9" t="n">
        <v>1</v>
      </c>
      <c r="BB330" s="9"/>
      <c r="BC330" s="9" t="n">
        <v>2</v>
      </c>
      <c r="BD330" s="9" t="n">
        <v>1</v>
      </c>
      <c r="BE330" s="9"/>
      <c r="BF330" s="9" t="n">
        <v>1</v>
      </c>
      <c r="BG330" s="9"/>
      <c r="BH330" s="9" t="n">
        <v>7</v>
      </c>
      <c r="BI330" s="9"/>
      <c r="BJ330" s="9"/>
      <c r="BK330" s="9"/>
      <c r="BL330" s="9" t="n">
        <v>1</v>
      </c>
      <c r="BM330" s="9"/>
      <c r="BN330" s="9"/>
      <c r="BO330" s="9" t="n">
        <v>1</v>
      </c>
      <c r="BP330" s="9" t="n">
        <v>1</v>
      </c>
      <c r="BQ330" s="9"/>
      <c r="BR330" s="9"/>
      <c r="BS330" s="9"/>
      <c r="BT330" s="9"/>
      <c r="BU330" s="10" t="n">
        <v>117</v>
      </c>
      <c r="BV330" s="11" t="n">
        <f aca="false">IF(ISERROR(ROUND(MEDIAN(BQ330:BT330),0)),0,ROUND(MEDIAN(BQ330:BT330),0))</f>
        <v>0</v>
      </c>
      <c r="BW330" s="11" t="n">
        <f aca="false">IF(ISERROR(ROUND(MEDIAN(BM330:BT330),0)),0,ROUND(MEDIAN(BM330:BT330),0))</f>
        <v>1</v>
      </c>
      <c r="BX330" s="11" t="n">
        <f aca="false">IF(ISERROR(ROUND(MEDIAN(BI330:BT330),0)),0,ROUND(MEDIAN(BI330:BT330),0))</f>
        <v>1</v>
      </c>
      <c r="BY330" s="11" t="n">
        <f aca="false">IF(ISERROR(ROUND(MEDIAN(BE330:BT330),0)),0,ROUND(MEDIAN(BE330:BT330),0))</f>
        <v>1</v>
      </c>
      <c r="BZ330" s="11" t="n">
        <f aca="false">IF(ISERROR(ROUND(MEDIAN(AU330:BT330),0)),0,ROUND(MEDIAN(AU330:BT330),0))</f>
        <v>1</v>
      </c>
      <c r="CA330" s="12" t="n">
        <f aca="false">IF(ISERROR(ROUND(MEDIAN(U330:BT330),0)),0,ROUND(MEDIAN(U330:BT330),0))</f>
        <v>4</v>
      </c>
      <c r="CB330" s="12" t="n">
        <f aca="false">IF(ISERROR(ROUND(MEDIAN(BT330),0)),0,ROUND(MEDIAN(BT330),0))</f>
        <v>0</v>
      </c>
      <c r="CC330" s="12" t="n">
        <f aca="false">IF(ISERROR(ROUND(MEDIAN(D330:BT330),0)),0,ROUND(MEDIAN(D330:BT330),0))</f>
        <v>2</v>
      </c>
      <c r="CD330" s="12" t="n">
        <f aca="false">MAX(D330:BT330)</f>
        <v>15</v>
      </c>
      <c r="CE330" s="7" t="n">
        <f aca="false">COUNTA(BQ330:BT330)</f>
        <v>0</v>
      </c>
      <c r="CF330" s="7" t="n">
        <f aca="false">COUNTA(BM330:BT330)</f>
        <v>2</v>
      </c>
      <c r="CG330" s="7" t="n">
        <f aca="false">COUNTA(BI330:BT330)</f>
        <v>3</v>
      </c>
      <c r="CH330" s="7" t="n">
        <f aca="false">COUNTA(BE330:BT330)</f>
        <v>5</v>
      </c>
      <c r="CI330" s="7" t="n">
        <f aca="false">COUNTA(AU330:BT330)</f>
        <v>10</v>
      </c>
      <c r="CJ330" s="7" t="n">
        <f aca="false">COUNTA(U330:BT330)</f>
        <v>23</v>
      </c>
      <c r="CK330" s="7" t="n">
        <f aca="false">COUNTA(BT330)</f>
        <v>0</v>
      </c>
      <c r="CL330" s="7" t="n">
        <f aca="false">COUNTA(D330:BT330)</f>
        <v>28</v>
      </c>
      <c r="CM330" s="17" t="str">
        <f aca="false">IF(AND(CE330=1,CJ330=1,BT330&lt;&gt;""),"5.ENTRANTES",IF(AND(CE330&lt;&gt;0,CE330/RIGHT($CE$1,1)&gt;=0.5,CJ330=CE330),"4.RECENTES",IF(AND(CF330&lt;&gt;0,CF330/RIGHT($CF$1,1)&gt;=0.5,CJ330=CF330),"4.RECENTES",IF(AND(CG330&lt;&gt;0,CG330/RIGHT($CG$1,2)&gt;=0.5,CJ330=CG330),"4.RECENTES",IF(AND(CH330&lt;&gt;0,CH330/RIGHT($CH$1,2)&gt;=0.5,CJ330=CH330),"4.RECENTES",IF(AND(CI330&lt;&gt;0,CI330/RIGHT($CI$1,2)&gt;=0.5,CJ330=CI330),"4.RECENTES",IF(AND(CE330=0,CF330=0,CG330=0,CH330=0),"3.INATIVOS",IF(CJ330/RIGHT($CJ$1,2)&lt;0.5,"2.INTERMITENTES","1.ORDINÁRIOS"))))))))</f>
        <v>2.INTERMITENTES</v>
      </c>
      <c r="CN330" s="18" t="n">
        <f aca="false">IF(AND(CE330=1,CJ330=1,BT330&lt;&gt;""),BT330,IF(AND(CE330&lt;&gt;0,CE330/RIGHT($CE$1,1)&gt;=0.5,CJ330=CE330),MAX(BV330:CC330),IF(AND(CF330&lt;&gt;0,CF330/RIGHT($CF$1,1)&gt;=0.5,CJ330=CF330),MAX(BV330:CC330),IF(AND(CG330&lt;&gt;0,CG330/RIGHT($CG$1,2)&gt;=0.5,CJ330=CG330),MAX(BV330:CC330),IF(AND(CH330&lt;&gt;0,CH330/RIGHT($CH$1,2)&gt;=0.5,CJ330=CH330),MAX(BV330:CC330),IF(AND(CI330&lt;&gt;0,CI330/RIGHT($CI$1,2)&gt;=0.5,CJ330=CI330),MAX(BV330:CC330),IF(AND(CE330=0,CF330=0,CG330=0,CH330=0),0,IF(CJ330/RIGHT($CJ$1,2)&lt;0.5,ROUND(BU330/RIGHT($CJ$1,2),0),MAX(BV330:CC330)))))))))</f>
        <v>2</v>
      </c>
      <c r="CO330" s="18" t="n">
        <f aca="false">CD330</f>
        <v>15</v>
      </c>
      <c r="CP330" s="15" t="n">
        <v>26</v>
      </c>
      <c r="CQ330" s="16" t="n">
        <f aca="false">IF((CO330-CP330)&lt;0,0,(CO330-CP330))</f>
        <v>0</v>
      </c>
      <c r="CR330" s="7"/>
    </row>
    <row r="331" customFormat="false" ht="12.75" hidden="false" customHeight="true" outlineLevel="0" collapsed="false">
      <c r="A331" s="7" t="s">
        <v>428</v>
      </c>
      <c r="B331" s="7" t="s">
        <v>431</v>
      </c>
      <c r="C331" s="8" t="n">
        <v>5000048</v>
      </c>
      <c r="D331" s="9"/>
      <c r="E331" s="9"/>
      <c r="F331" s="9"/>
      <c r="G331" s="9" t="n">
        <v>13</v>
      </c>
      <c r="H331" s="9"/>
      <c r="I331" s="9"/>
      <c r="J331" s="9" t="n">
        <v>3</v>
      </c>
      <c r="K331" s="9" t="n">
        <v>4</v>
      </c>
      <c r="L331" s="9" t="n">
        <v>6</v>
      </c>
      <c r="M331" s="9" t="n">
        <v>3</v>
      </c>
      <c r="N331" s="9"/>
      <c r="O331" s="9" t="n">
        <v>2</v>
      </c>
      <c r="P331" s="9" t="n">
        <v>5</v>
      </c>
      <c r="Q331" s="9"/>
      <c r="R331" s="9" t="n">
        <v>6</v>
      </c>
      <c r="S331" s="9"/>
      <c r="T331" s="9" t="n">
        <v>6</v>
      </c>
      <c r="U331" s="9" t="n">
        <v>4</v>
      </c>
      <c r="V331" s="9"/>
      <c r="W331" s="9" t="n">
        <v>9</v>
      </c>
      <c r="X331" s="9"/>
      <c r="Y331" s="9" t="n">
        <v>10</v>
      </c>
      <c r="Z331" s="9"/>
      <c r="AA331" s="9" t="n">
        <v>8</v>
      </c>
      <c r="AB331" s="9"/>
      <c r="AC331" s="9" t="n">
        <v>2</v>
      </c>
      <c r="AD331" s="9" t="n">
        <v>6</v>
      </c>
      <c r="AE331" s="9"/>
      <c r="AF331" s="9"/>
      <c r="AG331" s="9"/>
      <c r="AH331" s="9" t="n">
        <v>2</v>
      </c>
      <c r="AI331" s="9"/>
      <c r="AJ331" s="9" t="n">
        <v>5</v>
      </c>
      <c r="AK331" s="9"/>
      <c r="AL331" s="9" t="n">
        <v>3</v>
      </c>
      <c r="AM331" s="9" t="n">
        <v>7</v>
      </c>
      <c r="AN331" s="9"/>
      <c r="AO331" s="9"/>
      <c r="AP331" s="9"/>
      <c r="AQ331" s="9" t="n">
        <v>11</v>
      </c>
      <c r="AR331" s="9"/>
      <c r="AS331" s="9" t="n">
        <v>6</v>
      </c>
      <c r="AT331" s="9" t="n">
        <v>1</v>
      </c>
      <c r="AU331" s="9"/>
      <c r="AV331" s="9" t="n">
        <v>8</v>
      </c>
      <c r="AW331" s="9" t="n">
        <v>1</v>
      </c>
      <c r="AX331" s="9"/>
      <c r="AY331" s="9"/>
      <c r="AZ331" s="9" t="n">
        <v>7</v>
      </c>
      <c r="BA331" s="9"/>
      <c r="BB331" s="9"/>
      <c r="BC331" s="9"/>
      <c r="BD331" s="9" t="n">
        <v>3</v>
      </c>
      <c r="BE331" s="9"/>
      <c r="BF331" s="9"/>
      <c r="BG331" s="9"/>
      <c r="BH331" s="9" t="n">
        <v>2</v>
      </c>
      <c r="BI331" s="9"/>
      <c r="BJ331" s="9"/>
      <c r="BK331" s="9"/>
      <c r="BL331" s="9"/>
      <c r="BM331" s="9"/>
      <c r="BN331" s="9"/>
      <c r="BO331" s="9"/>
      <c r="BP331" s="9" t="n">
        <v>2</v>
      </c>
      <c r="BQ331" s="9"/>
      <c r="BR331" s="9"/>
      <c r="BS331" s="9" t="n">
        <v>3</v>
      </c>
      <c r="BT331" s="9"/>
      <c r="BU331" s="10" t="n">
        <v>148</v>
      </c>
      <c r="BV331" s="11" t="n">
        <f aca="false">IF(ISERROR(ROUND(MEDIAN(BQ331:BT331),0)),0,ROUND(MEDIAN(BQ331:BT331),0))</f>
        <v>3</v>
      </c>
      <c r="BW331" s="11" t="n">
        <f aca="false">IF(ISERROR(ROUND(MEDIAN(BM331:BT331),0)),0,ROUND(MEDIAN(BM331:BT331),0))</f>
        <v>3</v>
      </c>
      <c r="BX331" s="11" t="n">
        <f aca="false">IF(ISERROR(ROUND(MEDIAN(BI331:BT331),0)),0,ROUND(MEDIAN(BI331:BT331),0))</f>
        <v>3</v>
      </c>
      <c r="BY331" s="11" t="n">
        <f aca="false">IF(ISERROR(ROUND(MEDIAN(BE331:BT331),0)),0,ROUND(MEDIAN(BE331:BT331),0))</f>
        <v>2</v>
      </c>
      <c r="BZ331" s="11" t="n">
        <f aca="false">IF(ISERROR(ROUND(MEDIAN(AU331:BT331),0)),0,ROUND(MEDIAN(AU331:BT331),0))</f>
        <v>3</v>
      </c>
      <c r="CA331" s="12" t="n">
        <f aca="false">IF(ISERROR(ROUND(MEDIAN(U331:BT331),0)),0,ROUND(MEDIAN(U331:BT331),0))</f>
        <v>5</v>
      </c>
      <c r="CB331" s="12" t="n">
        <f aca="false">IF(ISERROR(ROUND(MEDIAN(BT331),0)),0,ROUND(MEDIAN(BT331),0))</f>
        <v>0</v>
      </c>
      <c r="CC331" s="12" t="n">
        <f aca="false">IF(ISERROR(ROUND(MEDIAN(D331:BT331),0)),0,ROUND(MEDIAN(D331:BT331),0))</f>
        <v>5</v>
      </c>
      <c r="CD331" s="12" t="n">
        <f aca="false">MAX(D331:BT331)</f>
        <v>13</v>
      </c>
      <c r="CE331" s="7" t="n">
        <f aca="false">COUNTA(BQ331:BT331)</f>
        <v>1</v>
      </c>
      <c r="CF331" s="7" t="n">
        <f aca="false">COUNTA(BM331:BT331)</f>
        <v>2</v>
      </c>
      <c r="CG331" s="7" t="n">
        <f aca="false">COUNTA(BI331:BT331)</f>
        <v>2</v>
      </c>
      <c r="CH331" s="7" t="n">
        <f aca="false">COUNTA(BE331:BT331)</f>
        <v>3</v>
      </c>
      <c r="CI331" s="7" t="n">
        <f aca="false">COUNTA(AU331:BT331)</f>
        <v>7</v>
      </c>
      <c r="CJ331" s="7" t="n">
        <f aca="false">COUNTA(U331:BT331)</f>
        <v>20</v>
      </c>
      <c r="CK331" s="7" t="n">
        <f aca="false">COUNTA(BT331)</f>
        <v>0</v>
      </c>
      <c r="CL331" s="7" t="n">
        <f aca="false">COUNTA(D331:BT331)</f>
        <v>29</v>
      </c>
      <c r="CM331" s="17" t="str">
        <f aca="false">IF(AND(CE331=1,CJ331=1,BT331&lt;&gt;""),"5.ENTRANTES",IF(AND(CE331&lt;&gt;0,CE331/RIGHT($CE$1,1)&gt;=0.5,CJ331=CE331),"4.RECENTES",IF(AND(CF331&lt;&gt;0,CF331/RIGHT($CF$1,1)&gt;=0.5,CJ331=CF331),"4.RECENTES",IF(AND(CG331&lt;&gt;0,CG331/RIGHT($CG$1,2)&gt;=0.5,CJ331=CG331),"4.RECENTES",IF(AND(CH331&lt;&gt;0,CH331/RIGHT($CH$1,2)&gt;=0.5,CJ331=CH331),"4.RECENTES",IF(AND(CI331&lt;&gt;0,CI331/RIGHT($CI$1,2)&gt;=0.5,CJ331=CI331),"4.RECENTES",IF(AND(CE331=0,CF331=0,CG331=0,CH331=0),"3.INATIVOS",IF(CJ331/RIGHT($CJ$1,2)&lt;0.5,"2.INTERMITENTES","1.ORDINÁRIOS"))))))))</f>
        <v>2.INTERMITENTES</v>
      </c>
      <c r="CN331" s="18" t="n">
        <f aca="false">IF(AND(CE331=1,CJ331=1,BT331&lt;&gt;""),BT331,IF(AND(CE331&lt;&gt;0,CE331/RIGHT($CE$1,1)&gt;=0.5,CJ331=CE331),MAX(BV331:CC331),IF(AND(CF331&lt;&gt;0,CF331/RIGHT($CF$1,1)&gt;=0.5,CJ331=CF331),MAX(BV331:CC331),IF(AND(CG331&lt;&gt;0,CG331/RIGHT($CG$1,2)&gt;=0.5,CJ331=CG331),MAX(BV331:CC331),IF(AND(CH331&lt;&gt;0,CH331/RIGHT($CH$1,2)&gt;=0.5,CJ331=CH331),MAX(BV331:CC331),IF(AND(CI331&lt;&gt;0,CI331/RIGHT($CI$1,2)&gt;=0.5,CJ331=CI331),MAX(BV331:CC331),IF(AND(CE331=0,CF331=0,CG331=0,CH331=0),0,IF(CJ331/RIGHT($CJ$1,2)&lt;0.5,ROUND(BU331/RIGHT($CJ$1,2),0),MAX(BV331:CC331)))))))))</f>
        <v>3</v>
      </c>
      <c r="CO331" s="18" t="n">
        <f aca="false">CD331</f>
        <v>13</v>
      </c>
      <c r="CP331" s="15" t="n">
        <v>13</v>
      </c>
      <c r="CQ331" s="16" t="n">
        <f aca="false">IF((CO331-CP331)&lt;0,0,(CO331-CP331))</f>
        <v>0</v>
      </c>
      <c r="CR331" s="7"/>
    </row>
    <row r="332" customFormat="false" ht="12.75" hidden="false" customHeight="true" outlineLevel="0" collapsed="false">
      <c r="A332" s="7" t="s">
        <v>428</v>
      </c>
      <c r="B332" s="7" t="s">
        <v>432</v>
      </c>
      <c r="C332" s="8" t="n">
        <v>9000005</v>
      </c>
      <c r="D332" s="9" t="n">
        <v>1</v>
      </c>
      <c r="E332" s="9" t="n">
        <v>4</v>
      </c>
      <c r="F332" s="9" t="n">
        <v>7</v>
      </c>
      <c r="G332" s="9" t="n">
        <v>8</v>
      </c>
      <c r="H332" s="9" t="n">
        <v>7</v>
      </c>
      <c r="I332" s="9" t="n">
        <v>13</v>
      </c>
      <c r="J332" s="9" t="n">
        <v>4</v>
      </c>
      <c r="K332" s="9" t="n">
        <v>5</v>
      </c>
      <c r="L332" s="9" t="n">
        <v>8</v>
      </c>
      <c r="M332" s="9" t="n">
        <v>2</v>
      </c>
      <c r="N332" s="9" t="n">
        <v>5</v>
      </c>
      <c r="O332" s="9" t="n">
        <v>5</v>
      </c>
      <c r="P332" s="9" t="n">
        <v>5</v>
      </c>
      <c r="Q332" s="9" t="n">
        <v>4</v>
      </c>
      <c r="R332" s="9" t="n">
        <v>7</v>
      </c>
      <c r="S332" s="9" t="n">
        <v>7</v>
      </c>
      <c r="T332" s="9" t="n">
        <v>6</v>
      </c>
      <c r="U332" s="9" t="n">
        <v>8</v>
      </c>
      <c r="V332" s="9" t="n">
        <v>11</v>
      </c>
      <c r="W332" s="9" t="n">
        <v>8</v>
      </c>
      <c r="X332" s="9" t="n">
        <v>1</v>
      </c>
      <c r="Y332" s="9" t="n">
        <v>3</v>
      </c>
      <c r="Z332" s="9" t="n">
        <v>4</v>
      </c>
      <c r="AA332" s="9" t="n">
        <v>4</v>
      </c>
      <c r="AB332" s="9" t="n">
        <v>4</v>
      </c>
      <c r="AC332" s="9" t="n">
        <v>5</v>
      </c>
      <c r="AD332" s="9" t="n">
        <v>3</v>
      </c>
      <c r="AE332" s="9" t="n">
        <v>8</v>
      </c>
      <c r="AF332" s="9" t="n">
        <v>3</v>
      </c>
      <c r="AG332" s="9" t="n">
        <v>13</v>
      </c>
      <c r="AH332" s="9" t="n">
        <v>10</v>
      </c>
      <c r="AI332" s="9" t="n">
        <v>7</v>
      </c>
      <c r="AJ332" s="9" t="n">
        <v>6</v>
      </c>
      <c r="AK332" s="9" t="n">
        <v>5</v>
      </c>
      <c r="AL332" s="9" t="n">
        <v>4</v>
      </c>
      <c r="AM332" s="9" t="n">
        <v>4</v>
      </c>
      <c r="AN332" s="9" t="n">
        <v>5</v>
      </c>
      <c r="AO332" s="9" t="n">
        <v>2</v>
      </c>
      <c r="AP332" s="9" t="n">
        <v>3</v>
      </c>
      <c r="AQ332" s="9"/>
      <c r="AR332" s="9" t="n">
        <v>7</v>
      </c>
      <c r="AS332" s="9" t="n">
        <v>6</v>
      </c>
      <c r="AT332" s="9" t="n">
        <v>4</v>
      </c>
      <c r="AU332" s="9" t="n">
        <v>7</v>
      </c>
      <c r="AV332" s="9" t="n">
        <v>5</v>
      </c>
      <c r="AW332" s="9" t="n">
        <v>5</v>
      </c>
      <c r="AX332" s="9" t="n">
        <v>3</v>
      </c>
      <c r="AY332" s="9" t="n">
        <v>4</v>
      </c>
      <c r="AZ332" s="9" t="n">
        <v>3</v>
      </c>
      <c r="BA332" s="9" t="n">
        <v>4</v>
      </c>
      <c r="BB332" s="9" t="n">
        <v>6</v>
      </c>
      <c r="BC332" s="9"/>
      <c r="BD332" s="9" t="n">
        <v>3</v>
      </c>
      <c r="BE332" s="9" t="n">
        <v>4</v>
      </c>
      <c r="BF332" s="9" t="n">
        <v>5</v>
      </c>
      <c r="BG332" s="9" t="n">
        <v>3</v>
      </c>
      <c r="BH332" s="9" t="n">
        <v>4</v>
      </c>
      <c r="BI332" s="9" t="n">
        <v>6</v>
      </c>
      <c r="BJ332" s="9" t="n">
        <v>4</v>
      </c>
      <c r="BK332" s="9" t="n">
        <v>3</v>
      </c>
      <c r="BL332" s="9" t="n">
        <v>1</v>
      </c>
      <c r="BM332" s="9" t="n">
        <v>3</v>
      </c>
      <c r="BN332" s="9" t="n">
        <v>6</v>
      </c>
      <c r="BO332" s="9" t="n">
        <v>4</v>
      </c>
      <c r="BP332" s="9" t="n">
        <v>1</v>
      </c>
      <c r="BQ332" s="9" t="n">
        <v>1</v>
      </c>
      <c r="BR332" s="9" t="n">
        <v>5</v>
      </c>
      <c r="BS332" s="9" t="n">
        <v>1</v>
      </c>
      <c r="BT332" s="9" t="n">
        <v>2</v>
      </c>
      <c r="BU332" s="10" t="n">
        <v>329</v>
      </c>
      <c r="BV332" s="11" t="n">
        <f aca="false">IF(ISERROR(ROUND(MEDIAN(BQ332:BT332),0)),0,ROUND(MEDIAN(BQ332:BT332),0))</f>
        <v>2</v>
      </c>
      <c r="BW332" s="11" t="n">
        <f aca="false">IF(ISERROR(ROUND(MEDIAN(BM332:BT332),0)),0,ROUND(MEDIAN(BM332:BT332),0))</f>
        <v>3</v>
      </c>
      <c r="BX332" s="11" t="n">
        <f aca="false">IF(ISERROR(ROUND(MEDIAN(BI332:BT332),0)),0,ROUND(MEDIAN(BI332:BT332),0))</f>
        <v>3</v>
      </c>
      <c r="BY332" s="11" t="n">
        <f aca="false">IF(ISERROR(ROUND(MEDIAN(BE332:BT332),0)),0,ROUND(MEDIAN(BE332:BT332),0))</f>
        <v>4</v>
      </c>
      <c r="BZ332" s="11" t="n">
        <f aca="false">IF(ISERROR(ROUND(MEDIAN(AU332:BT332),0)),0,ROUND(MEDIAN(AU332:BT332),0))</f>
        <v>4</v>
      </c>
      <c r="CA332" s="12" t="n">
        <f aca="false">IF(ISERROR(ROUND(MEDIAN(U332:BT332),0)),0,ROUND(MEDIAN(U332:BT332),0))</f>
        <v>4</v>
      </c>
      <c r="CB332" s="12" t="n">
        <f aca="false">IF(ISERROR(ROUND(MEDIAN(BT332),0)),0,ROUND(MEDIAN(BT332),0))</f>
        <v>2</v>
      </c>
      <c r="CC332" s="12" t="n">
        <f aca="false">IF(ISERROR(ROUND(MEDIAN(D332:BT332),0)),0,ROUND(MEDIAN(D332:BT332),0))</f>
        <v>4</v>
      </c>
      <c r="CD332" s="12" t="n">
        <f aca="false">MAX(D332:BT332)</f>
        <v>13</v>
      </c>
      <c r="CE332" s="7" t="n">
        <f aca="false">COUNTA(BQ332:BT332)</f>
        <v>4</v>
      </c>
      <c r="CF332" s="7" t="n">
        <f aca="false">COUNTA(BM332:BT332)</f>
        <v>8</v>
      </c>
      <c r="CG332" s="7" t="n">
        <f aca="false">COUNTA(BI332:BT332)</f>
        <v>12</v>
      </c>
      <c r="CH332" s="7" t="n">
        <f aca="false">COUNTA(BE332:BT332)</f>
        <v>16</v>
      </c>
      <c r="CI332" s="7" t="n">
        <f aca="false">COUNTA(AU332:BT332)</f>
        <v>25</v>
      </c>
      <c r="CJ332" s="7" t="n">
        <f aca="false">COUNTA(U332:BT332)</f>
        <v>50</v>
      </c>
      <c r="CK332" s="7" t="n">
        <f aca="false">COUNTA(BT332)</f>
        <v>1</v>
      </c>
      <c r="CL332" s="7" t="n">
        <f aca="false">COUNTA(D332:BT332)</f>
        <v>67</v>
      </c>
      <c r="CM332" s="13" t="str">
        <f aca="false">IF(AND(CE332=1,CJ332=1,BT332&lt;&gt;""),"5.ENTRANTES",IF(AND(CE332&lt;&gt;0,CE332/RIGHT($CE$1,1)&gt;=0.5,CJ332=CE332),"4.RECENTES",IF(AND(CF332&lt;&gt;0,CF332/RIGHT($CF$1,1)&gt;=0.5,CJ332=CF332),"4.RECENTES",IF(AND(CG332&lt;&gt;0,CG332/RIGHT($CG$1,2)&gt;=0.5,CJ332=CG332),"4.RECENTES",IF(AND(CH332&lt;&gt;0,CH332/RIGHT($CH$1,2)&gt;=0.5,CJ332=CH332),"4.RECENTES",IF(AND(CI332&lt;&gt;0,CI332/RIGHT($CI$1,2)&gt;=0.5,CJ332=CI332),"4.RECENTES",IF(AND(CE332=0,CF332=0,CG332=0,CH332=0),"3.INATIVOS",IF(CJ332/RIGHT($CJ$1,2)&lt;0.5,"2.INTERMITENTES","1.ORDINÁRIOS"))))))))</f>
        <v>1.ORDINÁRIOS</v>
      </c>
      <c r="CN332" s="14" t="n">
        <f aca="false">IF(AND(CE332=1,CJ332=1,BT332&lt;&gt;""),BT332,IF(AND(CE332&lt;&gt;0,CE332/RIGHT($CE$1,1)&gt;=0.5,CJ332=CE332),MAX(BV332:CC332),IF(AND(CF332&lt;&gt;0,CF332/RIGHT($CF$1,1)&gt;=0.5,CJ332=CF332),MAX(BV332:CC332),IF(AND(CG332&lt;&gt;0,CG332/RIGHT($CG$1,2)&gt;=0.5,CJ332=CG332),MAX(BV332:CC332),IF(AND(CH332&lt;&gt;0,CH332/RIGHT($CH$1,2)&gt;=0.5,CJ332=CH332),MAX(BV332:CC332),IF(AND(CI332&lt;&gt;0,CI332/RIGHT($CI$1,2)&gt;=0.5,CJ332=CI332),MAX(BV332:CC332),IF(AND(CE332=0,CF332=0,CG332=0,CH332=0),0,IF(CJ332/RIGHT($CJ$1,2)&lt;0.5,ROUND(BU332/RIGHT($CJ$1,2),0),MAX(BV332:CC332)))))))))</f>
        <v>4</v>
      </c>
      <c r="CO332" s="14" t="n">
        <f aca="false">CN332*3</f>
        <v>12</v>
      </c>
      <c r="CP332" s="15" t="n">
        <v>14</v>
      </c>
      <c r="CQ332" s="16" t="n">
        <f aca="false">IF((CO332-CP332)&lt;0,0,(CO332-CP332))</f>
        <v>0</v>
      </c>
      <c r="CR332" s="7"/>
    </row>
    <row r="333" customFormat="false" ht="12.75" hidden="false" customHeight="true" outlineLevel="0" collapsed="false">
      <c r="A333" s="7" t="s">
        <v>428</v>
      </c>
      <c r="B333" s="7" t="s">
        <v>433</v>
      </c>
      <c r="C333" s="8" t="n">
        <v>2000048</v>
      </c>
      <c r="D333" s="9" t="n">
        <v>1</v>
      </c>
      <c r="E333" s="9" t="n">
        <v>14</v>
      </c>
      <c r="F333" s="9" t="n">
        <v>10</v>
      </c>
      <c r="G333" s="9" t="n">
        <v>19</v>
      </c>
      <c r="H333" s="9" t="n">
        <v>9</v>
      </c>
      <c r="I333" s="9" t="n">
        <v>6</v>
      </c>
      <c r="J333" s="9" t="n">
        <v>14</v>
      </c>
      <c r="K333" s="9" t="n">
        <v>9</v>
      </c>
      <c r="L333" s="9" t="n">
        <v>17</v>
      </c>
      <c r="M333" s="9" t="n">
        <v>7</v>
      </c>
      <c r="N333" s="9" t="n">
        <v>9</v>
      </c>
      <c r="O333" s="9" t="n">
        <v>11</v>
      </c>
      <c r="P333" s="9" t="n">
        <v>17</v>
      </c>
      <c r="Q333" s="9" t="n">
        <v>5</v>
      </c>
      <c r="R333" s="9" t="n">
        <v>10</v>
      </c>
      <c r="S333" s="9" t="n">
        <v>12</v>
      </c>
      <c r="T333" s="9" t="n">
        <v>10</v>
      </c>
      <c r="U333" s="9" t="n">
        <v>9</v>
      </c>
      <c r="V333" s="9" t="n">
        <v>5</v>
      </c>
      <c r="W333" s="9" t="n">
        <v>8</v>
      </c>
      <c r="X333" s="9" t="n">
        <v>11</v>
      </c>
      <c r="Y333" s="9" t="n">
        <v>18</v>
      </c>
      <c r="Z333" s="9" t="n">
        <v>4</v>
      </c>
      <c r="AA333" s="9" t="n">
        <v>7</v>
      </c>
      <c r="AB333" s="9" t="n">
        <v>15</v>
      </c>
      <c r="AC333" s="9" t="n">
        <v>9</v>
      </c>
      <c r="AD333" s="9" t="n">
        <v>11</v>
      </c>
      <c r="AE333" s="9" t="n">
        <v>9</v>
      </c>
      <c r="AF333" s="9" t="n">
        <v>9</v>
      </c>
      <c r="AG333" s="9" t="n">
        <v>13</v>
      </c>
      <c r="AH333" s="9" t="n">
        <v>8</v>
      </c>
      <c r="AI333" s="9" t="n">
        <v>9</v>
      </c>
      <c r="AJ333" s="9" t="n">
        <v>13</v>
      </c>
      <c r="AK333" s="9" t="n">
        <v>11</v>
      </c>
      <c r="AL333" s="9" t="n">
        <v>12</v>
      </c>
      <c r="AM333" s="9" t="n">
        <v>10</v>
      </c>
      <c r="AN333" s="9" t="n">
        <v>12</v>
      </c>
      <c r="AO333" s="9" t="n">
        <v>11</v>
      </c>
      <c r="AP333" s="9" t="n">
        <v>18</v>
      </c>
      <c r="AQ333" s="9" t="n">
        <v>8</v>
      </c>
      <c r="AR333" s="9" t="n">
        <v>11</v>
      </c>
      <c r="AS333" s="9" t="n">
        <v>8</v>
      </c>
      <c r="AT333" s="9" t="n">
        <v>14</v>
      </c>
      <c r="AU333" s="9" t="n">
        <v>9</v>
      </c>
      <c r="AV333" s="9" t="n">
        <v>7</v>
      </c>
      <c r="AW333" s="9" t="n">
        <v>4</v>
      </c>
      <c r="AX333" s="9" t="n">
        <v>11</v>
      </c>
      <c r="AY333" s="9" t="n">
        <v>8</v>
      </c>
      <c r="AZ333" s="9" t="n">
        <v>6</v>
      </c>
      <c r="BA333" s="9" t="n">
        <v>5</v>
      </c>
      <c r="BB333" s="9" t="n">
        <v>11</v>
      </c>
      <c r="BC333" s="9" t="n">
        <v>11</v>
      </c>
      <c r="BD333" s="9" t="n">
        <v>6</v>
      </c>
      <c r="BE333" s="9" t="n">
        <v>6</v>
      </c>
      <c r="BF333" s="9" t="n">
        <v>7</v>
      </c>
      <c r="BG333" s="9" t="n">
        <v>10</v>
      </c>
      <c r="BH333" s="9" t="n">
        <v>9</v>
      </c>
      <c r="BI333" s="9" t="n">
        <v>10</v>
      </c>
      <c r="BJ333" s="9" t="n">
        <v>4</v>
      </c>
      <c r="BK333" s="9" t="n">
        <v>6</v>
      </c>
      <c r="BL333" s="9" t="n">
        <v>9</v>
      </c>
      <c r="BM333" s="9" t="n">
        <v>8</v>
      </c>
      <c r="BN333" s="9" t="n">
        <v>9</v>
      </c>
      <c r="BO333" s="9" t="n">
        <v>7</v>
      </c>
      <c r="BP333" s="9" t="n">
        <v>9</v>
      </c>
      <c r="BQ333" s="9" t="n">
        <v>5</v>
      </c>
      <c r="BR333" s="9" t="n">
        <v>8</v>
      </c>
      <c r="BS333" s="9" t="n">
        <v>5</v>
      </c>
      <c r="BT333" s="9" t="n">
        <v>5</v>
      </c>
      <c r="BU333" s="10" t="n">
        <v>648</v>
      </c>
      <c r="BV333" s="11" t="n">
        <f aca="false">IF(ISERROR(ROUND(MEDIAN(BQ333:BT333),0)),0,ROUND(MEDIAN(BQ333:BT333),0))</f>
        <v>5</v>
      </c>
      <c r="BW333" s="11" t="n">
        <f aca="false">IF(ISERROR(ROUND(MEDIAN(BM333:BT333),0)),0,ROUND(MEDIAN(BM333:BT333),0))</f>
        <v>8</v>
      </c>
      <c r="BX333" s="11" t="n">
        <f aca="false">IF(ISERROR(ROUND(MEDIAN(BI333:BT333),0)),0,ROUND(MEDIAN(BI333:BT333),0))</f>
        <v>8</v>
      </c>
      <c r="BY333" s="11" t="n">
        <f aca="false">IF(ISERROR(ROUND(MEDIAN(BE333:BT333),0)),0,ROUND(MEDIAN(BE333:BT333),0))</f>
        <v>8</v>
      </c>
      <c r="BZ333" s="11" t="n">
        <f aca="false">IF(ISERROR(ROUND(MEDIAN(AU333:BT333),0)),0,ROUND(MEDIAN(AU333:BT333),0))</f>
        <v>8</v>
      </c>
      <c r="CA333" s="12" t="n">
        <f aca="false">IF(ISERROR(ROUND(MEDIAN(U333:BT333),0)),0,ROUND(MEDIAN(U333:BT333),0))</f>
        <v>9</v>
      </c>
      <c r="CB333" s="12" t="n">
        <f aca="false">IF(ISERROR(ROUND(MEDIAN(BT333),0)),0,ROUND(MEDIAN(BT333),0))</f>
        <v>5</v>
      </c>
      <c r="CC333" s="12" t="n">
        <f aca="false">IF(ISERROR(ROUND(MEDIAN(D333:BT333),0)),0,ROUND(MEDIAN(D333:BT333),0))</f>
        <v>9</v>
      </c>
      <c r="CD333" s="12" t="n">
        <f aca="false">MAX(D333:BT333)</f>
        <v>19</v>
      </c>
      <c r="CE333" s="7" t="n">
        <f aca="false">COUNTA(BQ333:BT333)</f>
        <v>4</v>
      </c>
      <c r="CF333" s="7" t="n">
        <f aca="false">COUNTA(BM333:BT333)</f>
        <v>8</v>
      </c>
      <c r="CG333" s="7" t="n">
        <f aca="false">COUNTA(BI333:BT333)</f>
        <v>12</v>
      </c>
      <c r="CH333" s="7" t="n">
        <f aca="false">COUNTA(BE333:BT333)</f>
        <v>16</v>
      </c>
      <c r="CI333" s="7" t="n">
        <f aca="false">COUNTA(AU333:BT333)</f>
        <v>26</v>
      </c>
      <c r="CJ333" s="7" t="n">
        <f aca="false">COUNTA(U333:BT333)</f>
        <v>52</v>
      </c>
      <c r="CK333" s="7" t="n">
        <f aca="false">COUNTA(BT333)</f>
        <v>1</v>
      </c>
      <c r="CL333" s="7" t="n">
        <f aca="false">COUNTA(D333:BT333)</f>
        <v>69</v>
      </c>
      <c r="CM333" s="13" t="str">
        <f aca="false">IF(AND(CE333=1,CJ333=1,BT333&lt;&gt;""),"5.ENTRANTES",IF(AND(CE333&lt;&gt;0,CE333/RIGHT($CE$1,1)&gt;=0.5,CJ333=CE333),"4.RECENTES",IF(AND(CF333&lt;&gt;0,CF333/RIGHT($CF$1,1)&gt;=0.5,CJ333=CF333),"4.RECENTES",IF(AND(CG333&lt;&gt;0,CG333/RIGHT($CG$1,2)&gt;=0.5,CJ333=CG333),"4.RECENTES",IF(AND(CH333&lt;&gt;0,CH333/RIGHT($CH$1,2)&gt;=0.5,CJ333=CH333),"4.RECENTES",IF(AND(CI333&lt;&gt;0,CI333/RIGHT($CI$1,2)&gt;=0.5,CJ333=CI333),"4.RECENTES",IF(AND(CE333=0,CF333=0,CG333=0,CH333=0),"3.INATIVOS",IF(CJ333/RIGHT($CJ$1,2)&lt;0.5,"2.INTERMITENTES","1.ORDINÁRIOS"))))))))</f>
        <v>1.ORDINÁRIOS</v>
      </c>
      <c r="CN333" s="14" t="n">
        <f aca="false">IF(AND(CE333=1,CJ333=1,BT333&lt;&gt;""),BT333,IF(AND(CE333&lt;&gt;0,CE333/RIGHT($CE$1,1)&gt;=0.5,CJ333=CE333),MAX(BV333:CC333),IF(AND(CF333&lt;&gt;0,CF333/RIGHT($CF$1,1)&gt;=0.5,CJ333=CF333),MAX(BV333:CC333),IF(AND(CG333&lt;&gt;0,CG333/RIGHT($CG$1,2)&gt;=0.5,CJ333=CG333),MAX(BV333:CC333),IF(AND(CH333&lt;&gt;0,CH333/RIGHT($CH$1,2)&gt;=0.5,CJ333=CH333),MAX(BV333:CC333),IF(AND(CI333&lt;&gt;0,CI333/RIGHT($CI$1,2)&gt;=0.5,CJ333=CI333),MAX(BV333:CC333),IF(AND(CE333=0,CF333=0,CG333=0,CH333=0),0,IF(CJ333/RIGHT($CJ$1,2)&lt;0.5,ROUND(BU333/RIGHT($CJ$1,2),0),MAX(BV333:CC333)))))))))</f>
        <v>9</v>
      </c>
      <c r="CO333" s="14" t="n">
        <f aca="false">CN333*3</f>
        <v>27</v>
      </c>
      <c r="CP333" s="15" t="n">
        <v>26</v>
      </c>
      <c r="CQ333" s="16" t="n">
        <f aca="false">IF((CO333-CP333)&lt;0,0,(CO333-CP333))</f>
        <v>1</v>
      </c>
      <c r="CR333" s="7"/>
    </row>
    <row r="334" customFormat="false" ht="12.75" hidden="false" customHeight="true" outlineLevel="0" collapsed="false">
      <c r="A334" s="7" t="s">
        <v>428</v>
      </c>
      <c r="B334" s="7" t="s">
        <v>434</v>
      </c>
      <c r="C334" s="8" t="n">
        <v>304002002</v>
      </c>
      <c r="D334" s="9"/>
      <c r="E334" s="9"/>
      <c r="F334" s="9" t="n">
        <v>15</v>
      </c>
      <c r="G334" s="9"/>
      <c r="H334" s="9"/>
      <c r="I334" s="9"/>
      <c r="J334" s="9"/>
      <c r="K334" s="9"/>
      <c r="L334" s="9" t="n">
        <v>26</v>
      </c>
      <c r="M334" s="9"/>
      <c r="N334" s="9"/>
      <c r="O334" s="9"/>
      <c r="P334" s="9"/>
      <c r="Q334" s="9" t="n">
        <v>5</v>
      </c>
      <c r="R334" s="9" t="n">
        <v>10</v>
      </c>
      <c r="S334" s="9"/>
      <c r="T334" s="9" t="n">
        <v>8</v>
      </c>
      <c r="U334" s="9" t="n">
        <v>7</v>
      </c>
      <c r="V334" s="9" t="n">
        <v>7</v>
      </c>
      <c r="W334" s="9"/>
      <c r="X334" s="9" t="n">
        <v>10</v>
      </c>
      <c r="Y334" s="9" t="n">
        <v>7</v>
      </c>
      <c r="Z334" s="9"/>
      <c r="AA334" s="9" t="n">
        <v>3</v>
      </c>
      <c r="AB334" s="9"/>
      <c r="AC334" s="9"/>
      <c r="AD334" s="9"/>
      <c r="AE334" s="9"/>
      <c r="AF334" s="9"/>
      <c r="AG334" s="9" t="n">
        <v>10</v>
      </c>
      <c r="AH334" s="9" t="n">
        <v>2</v>
      </c>
      <c r="AI334" s="9" t="n">
        <v>2</v>
      </c>
      <c r="AJ334" s="9" t="n">
        <v>2</v>
      </c>
      <c r="AK334" s="9"/>
      <c r="AL334" s="9" t="n">
        <v>4</v>
      </c>
      <c r="AM334" s="9"/>
      <c r="AN334" s="9" t="n">
        <v>8</v>
      </c>
      <c r="AO334" s="9"/>
      <c r="AP334" s="9" t="n">
        <v>1</v>
      </c>
      <c r="AQ334" s="9" t="n">
        <v>11</v>
      </c>
      <c r="AR334" s="9" t="n">
        <v>5</v>
      </c>
      <c r="AS334" s="9"/>
      <c r="AT334" s="9"/>
      <c r="AU334" s="9"/>
      <c r="AV334" s="9"/>
      <c r="AW334" s="9"/>
      <c r="AX334" s="9" t="n">
        <v>10</v>
      </c>
      <c r="AY334" s="9" t="n">
        <v>3</v>
      </c>
      <c r="AZ334" s="9"/>
      <c r="BA334" s="9" t="n">
        <v>4</v>
      </c>
      <c r="BB334" s="9" t="n">
        <v>3</v>
      </c>
      <c r="BC334" s="9" t="n">
        <v>6</v>
      </c>
      <c r="BD334" s="9" t="n">
        <v>20</v>
      </c>
      <c r="BE334" s="9" t="n">
        <v>8</v>
      </c>
      <c r="BF334" s="9"/>
      <c r="BG334" s="9" t="n">
        <v>7</v>
      </c>
      <c r="BH334" s="9" t="n">
        <v>8</v>
      </c>
      <c r="BI334" s="9" t="n">
        <v>3</v>
      </c>
      <c r="BJ334" s="9"/>
      <c r="BK334" s="9" t="n">
        <v>8</v>
      </c>
      <c r="BL334" s="9"/>
      <c r="BM334" s="9" t="n">
        <v>8</v>
      </c>
      <c r="BN334" s="9"/>
      <c r="BO334" s="9"/>
      <c r="BP334" s="9" t="n">
        <v>3</v>
      </c>
      <c r="BQ334" s="9"/>
      <c r="BR334" s="9" t="n">
        <v>2</v>
      </c>
      <c r="BS334" s="9" t="n">
        <v>9</v>
      </c>
      <c r="BT334" s="9" t="n">
        <v>5</v>
      </c>
      <c r="BU334" s="10" t="n">
        <v>250</v>
      </c>
      <c r="BV334" s="11" t="n">
        <f aca="false">IF(ISERROR(ROUND(MEDIAN(BQ334:BT334),0)),0,ROUND(MEDIAN(BQ334:BT334),0))</f>
        <v>5</v>
      </c>
      <c r="BW334" s="11" t="n">
        <f aca="false">IF(ISERROR(ROUND(MEDIAN(BM334:BT334),0)),0,ROUND(MEDIAN(BM334:BT334),0))</f>
        <v>5</v>
      </c>
      <c r="BX334" s="11" t="n">
        <f aca="false">IF(ISERROR(ROUND(MEDIAN(BI334:BT334),0)),0,ROUND(MEDIAN(BI334:BT334),0))</f>
        <v>5</v>
      </c>
      <c r="BY334" s="11" t="n">
        <f aca="false">IF(ISERROR(ROUND(MEDIAN(BE334:BT334),0)),0,ROUND(MEDIAN(BE334:BT334),0))</f>
        <v>8</v>
      </c>
      <c r="BZ334" s="11" t="n">
        <f aca="false">IF(ISERROR(ROUND(MEDIAN(AU334:BT334),0)),0,ROUND(MEDIAN(AU334:BT334),0))</f>
        <v>7</v>
      </c>
      <c r="CA334" s="12" t="n">
        <f aca="false">IF(ISERROR(ROUND(MEDIAN(U334:BT334),0)),0,ROUND(MEDIAN(U334:BT334),0))</f>
        <v>7</v>
      </c>
      <c r="CB334" s="12" t="n">
        <f aca="false">IF(ISERROR(ROUND(MEDIAN(BT334),0)),0,ROUND(MEDIAN(BT334),0))</f>
        <v>5</v>
      </c>
      <c r="CC334" s="12" t="n">
        <f aca="false">IF(ISERROR(ROUND(MEDIAN(D334:BT334),0)),0,ROUND(MEDIAN(D334:BT334),0))</f>
        <v>7</v>
      </c>
      <c r="CD334" s="12" t="n">
        <f aca="false">MAX(D334:BT334)</f>
        <v>26</v>
      </c>
      <c r="CE334" s="7" t="n">
        <f aca="false">COUNTA(BQ334:BT334)</f>
        <v>3</v>
      </c>
      <c r="CF334" s="7" t="n">
        <f aca="false">COUNTA(BM334:BT334)</f>
        <v>5</v>
      </c>
      <c r="CG334" s="7" t="n">
        <f aca="false">COUNTA(BI334:BT334)</f>
        <v>7</v>
      </c>
      <c r="CH334" s="7" t="n">
        <f aca="false">COUNTA(BE334:BT334)</f>
        <v>10</v>
      </c>
      <c r="CI334" s="7" t="n">
        <f aca="false">COUNTA(AU334:BT334)</f>
        <v>16</v>
      </c>
      <c r="CJ334" s="7" t="n">
        <f aca="false">COUNTA(U334:BT334)</f>
        <v>30</v>
      </c>
      <c r="CK334" s="7" t="n">
        <f aca="false">COUNTA(BT334)</f>
        <v>1</v>
      </c>
      <c r="CL334" s="7" t="n">
        <f aca="false">COUNTA(D334:BT334)</f>
        <v>35</v>
      </c>
      <c r="CM334" s="13" t="str">
        <f aca="false">IF(AND(CE334=1,CJ334=1,BT334&lt;&gt;""),"5.ENTRANTES",IF(AND(CE334&lt;&gt;0,CE334/RIGHT($CE$1,1)&gt;=0.5,CJ334=CE334),"4.RECENTES",IF(AND(CF334&lt;&gt;0,CF334/RIGHT($CF$1,1)&gt;=0.5,CJ334=CF334),"4.RECENTES",IF(AND(CG334&lt;&gt;0,CG334/RIGHT($CG$1,2)&gt;=0.5,CJ334=CG334),"4.RECENTES",IF(AND(CH334&lt;&gt;0,CH334/RIGHT($CH$1,2)&gt;=0.5,CJ334=CH334),"4.RECENTES",IF(AND(CI334&lt;&gt;0,CI334/RIGHT($CI$1,2)&gt;=0.5,CJ334=CI334),"4.RECENTES",IF(AND(CE334=0,CF334=0,CG334=0,CH334=0),"3.INATIVOS",IF(CJ334/RIGHT($CJ$1,2)&lt;0.5,"2.INTERMITENTES","1.ORDINÁRIOS"))))))))</f>
        <v>1.ORDINÁRIOS</v>
      </c>
      <c r="CN334" s="14" t="n">
        <f aca="false">IF(AND(CE334=1,CJ334=1,BT334&lt;&gt;""),BT334,IF(AND(CE334&lt;&gt;0,CE334/RIGHT($CE$1,1)&gt;=0.5,CJ334=CE334),MAX(BV334:CC334),IF(AND(CF334&lt;&gt;0,CF334/RIGHT($CF$1,1)&gt;=0.5,CJ334=CF334),MAX(BV334:CC334),IF(AND(CG334&lt;&gt;0,CG334/RIGHT($CG$1,2)&gt;=0.5,CJ334=CG334),MAX(BV334:CC334),IF(AND(CH334&lt;&gt;0,CH334/RIGHT($CH$1,2)&gt;=0.5,CJ334=CH334),MAX(BV334:CC334),IF(AND(CI334&lt;&gt;0,CI334/RIGHT($CI$1,2)&gt;=0.5,CJ334=CI334),MAX(BV334:CC334),IF(AND(CE334=0,CF334=0,CG334=0,CH334=0),0,IF(CJ334/RIGHT($CJ$1,2)&lt;0.5,ROUND(BU334/RIGHT($CJ$1,2),0),MAX(BV334:CC334)))))))))</f>
        <v>8</v>
      </c>
      <c r="CO334" s="14" t="n">
        <f aca="false">CN334*3</f>
        <v>24</v>
      </c>
      <c r="CP334" s="15" t="n">
        <v>15</v>
      </c>
      <c r="CQ334" s="16" t="n">
        <f aca="false">IF((CO334-CP334)&lt;0,0,(CO334-CP334))</f>
        <v>9</v>
      </c>
      <c r="CR334" s="7"/>
    </row>
    <row r="335" customFormat="false" ht="12.75" hidden="false" customHeight="true" outlineLevel="0" collapsed="false">
      <c r="A335" s="7" t="s">
        <v>428</v>
      </c>
      <c r="B335" s="7" t="s">
        <v>435</v>
      </c>
      <c r="C335" s="8" t="n">
        <v>2000094</v>
      </c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 t="n">
        <v>6</v>
      </c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9"/>
      <c r="AX335" s="9"/>
      <c r="AY335" s="9"/>
      <c r="AZ335" s="9"/>
      <c r="BA335" s="9"/>
      <c r="BB335" s="9"/>
      <c r="BC335" s="9"/>
      <c r="BD335" s="9"/>
      <c r="BE335" s="9"/>
      <c r="BF335" s="9"/>
      <c r="BG335" s="9"/>
      <c r="BH335" s="9"/>
      <c r="BI335" s="9"/>
      <c r="BJ335" s="9"/>
      <c r="BK335" s="9"/>
      <c r="BL335" s="9"/>
      <c r="BM335" s="9"/>
      <c r="BN335" s="9"/>
      <c r="BO335" s="9"/>
      <c r="BP335" s="9"/>
      <c r="BQ335" s="9"/>
      <c r="BR335" s="9"/>
      <c r="BS335" s="9"/>
      <c r="BT335" s="9"/>
      <c r="BU335" s="10" t="n">
        <v>6</v>
      </c>
      <c r="BV335" s="11" t="n">
        <f aca="false">IF(ISERROR(ROUND(MEDIAN(BQ335:BT335),0)),0,ROUND(MEDIAN(BQ335:BT335),0))</f>
        <v>0</v>
      </c>
      <c r="BW335" s="11" t="n">
        <f aca="false">IF(ISERROR(ROUND(MEDIAN(BM335:BT335),0)),0,ROUND(MEDIAN(BM335:BT335),0))</f>
        <v>0</v>
      </c>
      <c r="BX335" s="11" t="n">
        <f aca="false">IF(ISERROR(ROUND(MEDIAN(BI335:BT335),0)),0,ROUND(MEDIAN(BI335:BT335),0))</f>
        <v>0</v>
      </c>
      <c r="BY335" s="11" t="n">
        <f aca="false">IF(ISERROR(ROUND(MEDIAN(BE335:BT335),0)),0,ROUND(MEDIAN(BE335:BT335),0))</f>
        <v>0</v>
      </c>
      <c r="BZ335" s="11" t="n">
        <f aca="false">IF(ISERROR(ROUND(MEDIAN(AU335:BT335),0)),0,ROUND(MEDIAN(AU335:BT335),0))</f>
        <v>0</v>
      </c>
      <c r="CA335" s="12" t="n">
        <f aca="false">IF(ISERROR(ROUND(MEDIAN(U335:BT335),0)),0,ROUND(MEDIAN(U335:BT335),0))</f>
        <v>6</v>
      </c>
      <c r="CB335" s="12" t="n">
        <f aca="false">IF(ISERROR(ROUND(MEDIAN(BT335),0)),0,ROUND(MEDIAN(BT335),0))</f>
        <v>0</v>
      </c>
      <c r="CC335" s="12" t="n">
        <f aca="false">IF(ISERROR(ROUND(MEDIAN(D335:BT335),0)),0,ROUND(MEDIAN(D335:BT335),0))</f>
        <v>6</v>
      </c>
      <c r="CD335" s="12" t="n">
        <f aca="false">MAX(D335:BT335)</f>
        <v>6</v>
      </c>
      <c r="CE335" s="7" t="n">
        <f aca="false">COUNTA(BQ335:BT335)</f>
        <v>0</v>
      </c>
      <c r="CF335" s="7" t="n">
        <f aca="false">COUNTA(BM335:BT335)</f>
        <v>0</v>
      </c>
      <c r="CG335" s="7" t="n">
        <f aca="false">COUNTA(BI335:BT335)</f>
        <v>0</v>
      </c>
      <c r="CH335" s="7" t="n">
        <f aca="false">COUNTA(BE335:BT335)</f>
        <v>0</v>
      </c>
      <c r="CI335" s="7" t="n">
        <f aca="false">COUNTA(AU335:BT335)</f>
        <v>0</v>
      </c>
      <c r="CJ335" s="7" t="n">
        <f aca="false">COUNTA(U335:BT335)</f>
        <v>1</v>
      </c>
      <c r="CK335" s="7" t="n">
        <f aca="false">COUNTA(BT335)</f>
        <v>0</v>
      </c>
      <c r="CL335" s="7" t="n">
        <f aca="false">COUNTA(D335:BT335)</f>
        <v>1</v>
      </c>
      <c r="CM335" s="19" t="str">
        <f aca="false">IF(AND(CE335=1,CJ335=1,BT335&lt;&gt;""),"5.ENTRANTES",IF(AND(CE335&lt;&gt;0,CE335/RIGHT($CE$1,1)&gt;=0.5,CJ335=CE335),"4.RECENTES",IF(AND(CF335&lt;&gt;0,CF335/RIGHT($CF$1,1)&gt;=0.5,CJ335=CF335),"4.RECENTES",IF(AND(CG335&lt;&gt;0,CG335/RIGHT($CG$1,2)&gt;=0.5,CJ335=CG335),"4.RECENTES",IF(AND(CH335&lt;&gt;0,CH335/RIGHT($CH$1,2)&gt;=0.5,CJ335=CH335),"4.RECENTES",IF(AND(CI335&lt;&gt;0,CI335/RIGHT($CI$1,2)&gt;=0.5,CJ335=CI335),"4.RECENTES",IF(AND(CE335=0,CF335=0,CG335=0,CH335=0),"3.INATIVOS",IF(CJ335/RIGHT($CJ$1,2)&lt;0.5,"2.INTERMITENTES","1.ORDINÁRIOS"))))))))</f>
        <v>3.INATIVOS</v>
      </c>
      <c r="CN335" s="20" t="n">
        <f aca="false">IF(AND(CE335=1,CJ335=1,BT335&lt;&gt;""),BT335,IF(AND(CE335&lt;&gt;0,CE335/RIGHT($CE$1,1)&gt;=0.5,CJ335=CE335),MAX(BV335:CC335),IF(AND(CF335&lt;&gt;0,CF335/RIGHT($CF$1,1)&gt;=0.5,CJ335=CF335),MAX(BV335:CC335),IF(AND(CG335&lt;&gt;0,CG335/RIGHT($CG$1,2)&gt;=0.5,CJ335=CG335),MAX(BV335:CC335),IF(AND(CH335&lt;&gt;0,CH335/RIGHT($CH$1,2)&gt;=0.5,CJ335=CH335),MAX(BV335:CC335),IF(AND(CI335&lt;&gt;0,CI335/RIGHT($CI$1,2)&gt;=0.5,CJ335=CI335),MAX(BV335:CC335),IF(AND(CE335=0,CF335=0,CG335=0,CH335=0),0,IF(CJ335/RIGHT($CJ$1,2)&lt;0.5,ROUND(BU335/RIGHT($CJ$1,2),0),MAX(BV335:CC335)))))))))</f>
        <v>0</v>
      </c>
      <c r="CO335" s="20" t="n">
        <f aca="false">CN335*3</f>
        <v>0</v>
      </c>
      <c r="CP335" s="15" t="n">
        <v>50</v>
      </c>
      <c r="CQ335" s="16" t="n">
        <f aca="false">IF((CO335-CP335)&lt;0,0,(CO335-CP335))</f>
        <v>0</v>
      </c>
      <c r="CR335" s="7"/>
    </row>
    <row r="336" customFormat="false" ht="12.75" hidden="false" customHeight="true" outlineLevel="0" collapsed="false">
      <c r="A336" s="7" t="s">
        <v>436</v>
      </c>
      <c r="B336" s="7" t="s">
        <v>437</v>
      </c>
      <c r="C336" s="8" t="n">
        <v>3000008</v>
      </c>
      <c r="D336" s="9" t="n">
        <v>30</v>
      </c>
      <c r="E336" s="9" t="n">
        <v>420</v>
      </c>
      <c r="F336" s="9" t="n">
        <v>243</v>
      </c>
      <c r="G336" s="9" t="n">
        <v>540</v>
      </c>
      <c r="H336" s="9" t="n">
        <v>330</v>
      </c>
      <c r="I336" s="9" t="n">
        <v>390</v>
      </c>
      <c r="J336" s="9" t="n">
        <v>630</v>
      </c>
      <c r="K336" s="9" t="n">
        <v>330</v>
      </c>
      <c r="L336" s="9" t="n">
        <v>540</v>
      </c>
      <c r="M336" s="9" t="n">
        <v>571</v>
      </c>
      <c r="N336" s="9" t="n">
        <v>420</v>
      </c>
      <c r="O336" s="9" t="n">
        <v>540</v>
      </c>
      <c r="P336" s="9" t="n">
        <v>330</v>
      </c>
      <c r="Q336" s="9" t="n">
        <v>540</v>
      </c>
      <c r="R336" s="9" t="n">
        <v>840</v>
      </c>
      <c r="S336" s="9" t="n">
        <v>450</v>
      </c>
      <c r="T336" s="9" t="n">
        <v>390</v>
      </c>
      <c r="U336" s="9" t="n">
        <v>568</v>
      </c>
      <c r="V336" s="9" t="n">
        <v>480</v>
      </c>
      <c r="W336" s="9" t="n">
        <v>422</v>
      </c>
      <c r="X336" s="9" t="n">
        <v>420</v>
      </c>
      <c r="Y336" s="9" t="n">
        <v>360</v>
      </c>
      <c r="Z336" s="9" t="n">
        <v>420</v>
      </c>
      <c r="AA336" s="9" t="n">
        <v>642</v>
      </c>
      <c r="AB336" s="9" t="n">
        <v>730</v>
      </c>
      <c r="AC336" s="9" t="n">
        <v>360</v>
      </c>
      <c r="AD336" s="9" t="n">
        <v>450</v>
      </c>
      <c r="AE336" s="9" t="n">
        <v>540</v>
      </c>
      <c r="AF336" s="9" t="n">
        <v>720</v>
      </c>
      <c r="AG336" s="9" t="n">
        <v>660</v>
      </c>
      <c r="AH336" s="9" t="n">
        <v>608</v>
      </c>
      <c r="AI336" s="9" t="n">
        <v>540</v>
      </c>
      <c r="AJ336" s="9" t="n">
        <v>570</v>
      </c>
      <c r="AK336" s="9" t="n">
        <v>240</v>
      </c>
      <c r="AL336" s="9" t="n">
        <v>650</v>
      </c>
      <c r="AM336" s="9" t="n">
        <v>176</v>
      </c>
      <c r="AN336" s="9" t="n">
        <v>960</v>
      </c>
      <c r="AO336" s="9" t="n">
        <v>450</v>
      </c>
      <c r="AP336" s="9" t="n">
        <v>630</v>
      </c>
      <c r="AQ336" s="9" t="n">
        <v>390</v>
      </c>
      <c r="AR336" s="9" t="n">
        <v>540</v>
      </c>
      <c r="AS336" s="9" t="n">
        <v>300</v>
      </c>
      <c r="AT336" s="9" t="n">
        <v>680</v>
      </c>
      <c r="AU336" s="9" t="n">
        <v>400</v>
      </c>
      <c r="AV336" s="9" t="n">
        <v>302</v>
      </c>
      <c r="AW336" s="9" t="n">
        <v>580</v>
      </c>
      <c r="AX336" s="9" t="n">
        <v>476</v>
      </c>
      <c r="AY336" s="9" t="n">
        <v>451</v>
      </c>
      <c r="AZ336" s="9" t="n">
        <v>301</v>
      </c>
      <c r="BA336" s="9" t="n">
        <v>210</v>
      </c>
      <c r="BB336" s="9" t="n">
        <v>510</v>
      </c>
      <c r="BC336" s="9" t="n">
        <v>450</v>
      </c>
      <c r="BD336" s="9" t="n">
        <v>420</v>
      </c>
      <c r="BE336" s="9" t="n">
        <v>240</v>
      </c>
      <c r="BF336" s="9" t="n">
        <v>540</v>
      </c>
      <c r="BG336" s="9" t="n">
        <v>390</v>
      </c>
      <c r="BH336" s="9" t="n">
        <v>480</v>
      </c>
      <c r="BI336" s="9" t="n">
        <v>390</v>
      </c>
      <c r="BJ336" s="9" t="n">
        <v>480</v>
      </c>
      <c r="BK336" s="9" t="n">
        <v>280</v>
      </c>
      <c r="BL336" s="9" t="n">
        <v>480</v>
      </c>
      <c r="BM336" s="9" t="n">
        <v>330</v>
      </c>
      <c r="BN336" s="9" t="n">
        <v>420</v>
      </c>
      <c r="BO336" s="9" t="n">
        <v>270</v>
      </c>
      <c r="BP336" s="9" t="n">
        <v>510</v>
      </c>
      <c r="BQ336" s="9" t="n">
        <v>390</v>
      </c>
      <c r="BR336" s="9" t="n">
        <v>300</v>
      </c>
      <c r="BS336" s="9" t="n">
        <v>300</v>
      </c>
      <c r="BT336" s="9" t="n">
        <v>210</v>
      </c>
      <c r="BU336" s="10" t="n">
        <v>31150</v>
      </c>
      <c r="BV336" s="11" t="n">
        <f aca="false">IF(ISERROR(ROUND(MEDIAN(BQ336:BT336),0)),0,ROUND(MEDIAN(BQ336:BT336),0))</f>
        <v>300</v>
      </c>
      <c r="BW336" s="11" t="n">
        <f aca="false">IF(ISERROR(ROUND(MEDIAN(BM336:BT336),0)),0,ROUND(MEDIAN(BM336:BT336),0))</f>
        <v>315</v>
      </c>
      <c r="BX336" s="11" t="n">
        <f aca="false">IF(ISERROR(ROUND(MEDIAN(BI336:BT336),0)),0,ROUND(MEDIAN(BI336:BT336),0))</f>
        <v>360</v>
      </c>
      <c r="BY336" s="11" t="n">
        <f aca="false">IF(ISERROR(ROUND(MEDIAN(BE336:BT336),0)),0,ROUND(MEDIAN(BE336:BT336),0))</f>
        <v>390</v>
      </c>
      <c r="BZ336" s="11" t="n">
        <f aca="false">IF(ISERROR(ROUND(MEDIAN(AU336:BT336),0)),0,ROUND(MEDIAN(AU336:BT336),0))</f>
        <v>395</v>
      </c>
      <c r="CA336" s="12" t="n">
        <f aca="false">IF(ISERROR(ROUND(MEDIAN(U336:BT336),0)),0,ROUND(MEDIAN(U336:BT336),0))</f>
        <v>450</v>
      </c>
      <c r="CB336" s="12" t="n">
        <f aca="false">IF(ISERROR(ROUND(MEDIAN(BT336),0)),0,ROUND(MEDIAN(BT336),0))</f>
        <v>210</v>
      </c>
      <c r="CC336" s="12" t="n">
        <f aca="false">IF(ISERROR(ROUND(MEDIAN(D336:BT336),0)),0,ROUND(MEDIAN(D336:BT336),0))</f>
        <v>450</v>
      </c>
      <c r="CD336" s="12" t="n">
        <f aca="false">MAX(D336:BT336)</f>
        <v>960</v>
      </c>
      <c r="CE336" s="7" t="n">
        <f aca="false">COUNTA(BQ336:BT336)</f>
        <v>4</v>
      </c>
      <c r="CF336" s="7" t="n">
        <f aca="false">COUNTA(BM336:BT336)</f>
        <v>8</v>
      </c>
      <c r="CG336" s="7" t="n">
        <f aca="false">COUNTA(BI336:BT336)</f>
        <v>12</v>
      </c>
      <c r="CH336" s="7" t="n">
        <f aca="false">COUNTA(BE336:BT336)</f>
        <v>16</v>
      </c>
      <c r="CI336" s="7" t="n">
        <f aca="false">COUNTA(AU336:BT336)</f>
        <v>26</v>
      </c>
      <c r="CJ336" s="7" t="n">
        <f aca="false">COUNTA(U336:BT336)</f>
        <v>52</v>
      </c>
      <c r="CK336" s="7" t="n">
        <f aca="false">COUNTA(BT336)</f>
        <v>1</v>
      </c>
      <c r="CL336" s="7" t="n">
        <f aca="false">COUNTA(D336:BT336)</f>
        <v>69</v>
      </c>
      <c r="CM336" s="13" t="str">
        <f aca="false">IF(AND(CE336=1,CJ336=1,BT336&lt;&gt;""),"5.ENTRANTES",IF(AND(CE336&lt;&gt;0,CE336/RIGHT($CE$1,1)&gt;=0.5,CJ336=CE336),"4.RECENTES",IF(AND(CF336&lt;&gt;0,CF336/RIGHT($CF$1,1)&gt;=0.5,CJ336=CF336),"4.RECENTES",IF(AND(CG336&lt;&gt;0,CG336/RIGHT($CG$1,2)&gt;=0.5,CJ336=CG336),"4.RECENTES",IF(AND(CH336&lt;&gt;0,CH336/RIGHT($CH$1,2)&gt;=0.5,CJ336=CH336),"4.RECENTES",IF(AND(CI336&lt;&gt;0,CI336/RIGHT($CI$1,2)&gt;=0.5,CJ336=CI336),"4.RECENTES",IF(AND(CE336=0,CF336=0,CG336=0,CH336=0),"3.INATIVOS",IF(CJ336/RIGHT($CJ$1,2)&lt;0.5,"2.INTERMITENTES","1.ORDINÁRIOS"))))))))</f>
        <v>1.ORDINÁRIOS</v>
      </c>
      <c r="CN336" s="14" t="n">
        <f aca="false">IF(AND(CE336=1,CJ336=1,BT336&lt;&gt;""),BT336,IF(AND(CE336&lt;&gt;0,CE336/RIGHT($CE$1,1)&gt;=0.5,CJ336=CE336),MAX(BV336:CC336),IF(AND(CF336&lt;&gt;0,CF336/RIGHT($CF$1,1)&gt;=0.5,CJ336=CF336),MAX(BV336:CC336),IF(AND(CG336&lt;&gt;0,CG336/RIGHT($CG$1,2)&gt;=0.5,CJ336=CG336),MAX(BV336:CC336),IF(AND(CH336&lt;&gt;0,CH336/RIGHT($CH$1,2)&gt;=0.5,CJ336=CH336),MAX(BV336:CC336),IF(AND(CI336&lt;&gt;0,CI336/RIGHT($CI$1,2)&gt;=0.5,CJ336=CI336),MAX(BV336:CC336),IF(AND(CE336=0,CF336=0,CG336=0,CH336=0),0,IF(CJ336/RIGHT($CJ$1,2)&lt;0.5,ROUND(BU336/RIGHT($CJ$1,2),0),MAX(BV336:CC336)))))))))</f>
        <v>450</v>
      </c>
      <c r="CO336" s="14" t="n">
        <f aca="false">CN336*3</f>
        <v>1350</v>
      </c>
      <c r="CP336" s="15" t="n">
        <v>870</v>
      </c>
      <c r="CQ336" s="16" t="n">
        <f aca="false">IF((CO336-CP336)&lt;0,0,(CO336-CP336))</f>
        <v>480</v>
      </c>
      <c r="CR336" s="7"/>
    </row>
    <row r="337" customFormat="false" ht="12.75" hidden="false" customHeight="true" outlineLevel="0" collapsed="false">
      <c r="A337" s="7" t="s">
        <v>436</v>
      </c>
      <c r="B337" s="7" t="s">
        <v>438</v>
      </c>
      <c r="C337" s="8" t="n">
        <v>321001230</v>
      </c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  <c r="AX337" s="9"/>
      <c r="AY337" s="9"/>
      <c r="AZ337" s="9"/>
      <c r="BA337" s="9"/>
      <c r="BB337" s="9"/>
      <c r="BC337" s="9"/>
      <c r="BD337" s="9"/>
      <c r="BE337" s="9"/>
      <c r="BF337" s="9"/>
      <c r="BG337" s="9"/>
      <c r="BH337" s="9" t="n">
        <v>5</v>
      </c>
      <c r="BI337" s="9"/>
      <c r="BJ337" s="9" t="n">
        <v>2</v>
      </c>
      <c r="BK337" s="9"/>
      <c r="BL337" s="9" t="n">
        <v>2</v>
      </c>
      <c r="BM337" s="9"/>
      <c r="BN337" s="9"/>
      <c r="BO337" s="9"/>
      <c r="BP337" s="9" t="n">
        <v>4</v>
      </c>
      <c r="BQ337" s="9"/>
      <c r="BR337" s="9"/>
      <c r="BS337" s="9"/>
      <c r="BT337" s="9"/>
      <c r="BU337" s="10" t="n">
        <v>13</v>
      </c>
      <c r="BV337" s="11" t="n">
        <f aca="false">IF(ISERROR(ROUND(MEDIAN(BQ337:BT337),0)),0,ROUND(MEDIAN(BQ337:BT337),0))</f>
        <v>0</v>
      </c>
      <c r="BW337" s="11" t="n">
        <f aca="false">IF(ISERROR(ROUND(MEDIAN(BM337:BT337),0)),0,ROUND(MEDIAN(BM337:BT337),0))</f>
        <v>4</v>
      </c>
      <c r="BX337" s="11" t="n">
        <f aca="false">IF(ISERROR(ROUND(MEDIAN(BI337:BT337),0)),0,ROUND(MEDIAN(BI337:BT337),0))</f>
        <v>2</v>
      </c>
      <c r="BY337" s="11" t="n">
        <f aca="false">IF(ISERROR(ROUND(MEDIAN(BE337:BT337),0)),0,ROUND(MEDIAN(BE337:BT337),0))</f>
        <v>3</v>
      </c>
      <c r="BZ337" s="11" t="n">
        <f aca="false">IF(ISERROR(ROUND(MEDIAN(AU337:BT337),0)),0,ROUND(MEDIAN(AU337:BT337),0))</f>
        <v>3</v>
      </c>
      <c r="CA337" s="12" t="n">
        <f aca="false">IF(ISERROR(ROUND(MEDIAN(U337:BT337),0)),0,ROUND(MEDIAN(U337:BT337),0))</f>
        <v>3</v>
      </c>
      <c r="CB337" s="12" t="n">
        <f aca="false">IF(ISERROR(ROUND(MEDIAN(BT337),0)),0,ROUND(MEDIAN(BT337),0))</f>
        <v>0</v>
      </c>
      <c r="CC337" s="12" t="n">
        <f aca="false">IF(ISERROR(ROUND(MEDIAN(D337:BT337),0)),0,ROUND(MEDIAN(D337:BT337),0))</f>
        <v>3</v>
      </c>
      <c r="CD337" s="12" t="n">
        <f aca="false">MAX(D337:BT337)</f>
        <v>5</v>
      </c>
      <c r="CE337" s="7" t="n">
        <f aca="false">COUNTA(BQ337:BT337)</f>
        <v>0</v>
      </c>
      <c r="CF337" s="7" t="n">
        <f aca="false">COUNTA(BM337:BT337)</f>
        <v>1</v>
      </c>
      <c r="CG337" s="7" t="n">
        <f aca="false">COUNTA(BI337:BT337)</f>
        <v>3</v>
      </c>
      <c r="CH337" s="7" t="n">
        <f aca="false">COUNTA(BE337:BT337)</f>
        <v>4</v>
      </c>
      <c r="CI337" s="7" t="n">
        <f aca="false">COUNTA(AU337:BT337)</f>
        <v>4</v>
      </c>
      <c r="CJ337" s="7" t="n">
        <f aca="false">COUNTA(U337:BT337)</f>
        <v>4</v>
      </c>
      <c r="CK337" s="7" t="n">
        <f aca="false">COUNTA(BT337)</f>
        <v>0</v>
      </c>
      <c r="CL337" s="7" t="n">
        <f aca="false">COUNTA(D337:BT337)</f>
        <v>4</v>
      </c>
      <c r="CM337" s="17" t="str">
        <f aca="false">IF(AND(CE337=1,CJ337=1,BT337&lt;&gt;""),"5.ENTRANTES",IF(AND(CE337&lt;&gt;0,CE337/RIGHT($CE$1,1)&gt;=0.5,CJ337=CE337),"4.RECENTES",IF(AND(CF337&lt;&gt;0,CF337/RIGHT($CF$1,1)&gt;=0.5,CJ337=CF337),"4.RECENTES",IF(AND(CG337&lt;&gt;0,CG337/RIGHT($CG$1,2)&gt;=0.5,CJ337=CG337),"4.RECENTES",IF(AND(CH337&lt;&gt;0,CH337/RIGHT($CH$1,2)&gt;=0.5,CJ337=CH337),"4.RECENTES",IF(AND(CI337&lt;&gt;0,CI337/RIGHT($CI$1,2)&gt;=0.5,CJ337=CI337),"4.RECENTES",IF(AND(CE337=0,CF337=0,CG337=0,CH337=0),"3.INATIVOS",IF(CJ337/RIGHT($CJ$1,2)&lt;0.5,"2.INTERMITENTES","1.ORDINÁRIOS"))))))))</f>
        <v>2.INTERMITENTES</v>
      </c>
      <c r="CN337" s="18" t="n">
        <f aca="false">IF(AND(CE337=1,CJ337=1,BT337&lt;&gt;""),BT337,IF(AND(CE337&lt;&gt;0,CE337/RIGHT($CE$1,1)&gt;=0.5,CJ337=CE337),MAX(BV337:CC337),IF(AND(CF337&lt;&gt;0,CF337/RIGHT($CF$1,1)&gt;=0.5,CJ337=CF337),MAX(BV337:CC337),IF(AND(CG337&lt;&gt;0,CG337/RIGHT($CG$1,2)&gt;=0.5,CJ337=CG337),MAX(BV337:CC337),IF(AND(CH337&lt;&gt;0,CH337/RIGHT($CH$1,2)&gt;=0.5,CJ337=CH337),MAX(BV337:CC337),IF(AND(CI337&lt;&gt;0,CI337/RIGHT($CI$1,2)&gt;=0.5,CJ337=CI337),MAX(BV337:CC337),IF(AND(CE337=0,CF337=0,CG337=0,CH337=0),0,IF(CJ337/RIGHT($CJ$1,2)&lt;0.5,ROUND(BU337/RIGHT($CJ$1,2),0),MAX(BV337:CC337)))))))))</f>
        <v>0</v>
      </c>
      <c r="CO337" s="18" t="n">
        <f aca="false">CD337</f>
        <v>5</v>
      </c>
      <c r="CP337" s="15" t="n">
        <v>1</v>
      </c>
      <c r="CQ337" s="16" t="n">
        <f aca="false">IF((CO337-CP337)&lt;0,0,(CO337-CP337))</f>
        <v>4</v>
      </c>
      <c r="CR337" s="7"/>
    </row>
    <row r="338" customFormat="false" ht="12.75" hidden="false" customHeight="true" outlineLevel="0" collapsed="false">
      <c r="A338" s="7" t="s">
        <v>439</v>
      </c>
      <c r="B338" s="7" t="s">
        <v>440</v>
      </c>
      <c r="C338" s="8" t="n">
        <v>321001457</v>
      </c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9"/>
      <c r="AX338" s="9"/>
      <c r="AY338" s="9"/>
      <c r="AZ338" s="9"/>
      <c r="BA338" s="9"/>
      <c r="BB338" s="9"/>
      <c r="BC338" s="9"/>
      <c r="BD338" s="9"/>
      <c r="BE338" s="9"/>
      <c r="BF338" s="9"/>
      <c r="BG338" s="9"/>
      <c r="BH338" s="9"/>
      <c r="BI338" s="9" t="n">
        <v>6</v>
      </c>
      <c r="BJ338" s="9"/>
      <c r="BK338" s="9"/>
      <c r="BL338" s="9"/>
      <c r="BM338" s="9"/>
      <c r="BN338" s="9"/>
      <c r="BO338" s="9"/>
      <c r="BP338" s="9"/>
      <c r="BQ338" s="9"/>
      <c r="BR338" s="9"/>
      <c r="BS338" s="9"/>
      <c r="BT338" s="9"/>
      <c r="BU338" s="10" t="n">
        <v>6</v>
      </c>
      <c r="BV338" s="11" t="n">
        <f aca="false">IF(ISERROR(ROUND(MEDIAN(BQ338:BT338),0)),0,ROUND(MEDIAN(BQ338:BT338),0))</f>
        <v>0</v>
      </c>
      <c r="BW338" s="11" t="n">
        <f aca="false">IF(ISERROR(ROUND(MEDIAN(BM338:BT338),0)),0,ROUND(MEDIAN(BM338:BT338),0))</f>
        <v>0</v>
      </c>
      <c r="BX338" s="11" t="n">
        <f aca="false">IF(ISERROR(ROUND(MEDIAN(BI338:BT338),0)),0,ROUND(MEDIAN(BI338:BT338),0))</f>
        <v>6</v>
      </c>
      <c r="BY338" s="11" t="n">
        <f aca="false">IF(ISERROR(ROUND(MEDIAN(BE338:BT338),0)),0,ROUND(MEDIAN(BE338:BT338),0))</f>
        <v>6</v>
      </c>
      <c r="BZ338" s="11" t="n">
        <f aca="false">IF(ISERROR(ROUND(MEDIAN(AU338:BT338),0)),0,ROUND(MEDIAN(AU338:BT338),0))</f>
        <v>6</v>
      </c>
      <c r="CA338" s="12" t="n">
        <f aca="false">IF(ISERROR(ROUND(MEDIAN(U338:BT338),0)),0,ROUND(MEDIAN(U338:BT338),0))</f>
        <v>6</v>
      </c>
      <c r="CB338" s="12" t="n">
        <f aca="false">IF(ISERROR(ROUND(MEDIAN(BT338),0)),0,ROUND(MEDIAN(BT338),0))</f>
        <v>0</v>
      </c>
      <c r="CC338" s="12" t="n">
        <f aca="false">IF(ISERROR(ROUND(MEDIAN(D338:BT338),0)),0,ROUND(MEDIAN(D338:BT338),0))</f>
        <v>6</v>
      </c>
      <c r="CD338" s="12" t="n">
        <f aca="false">MAX(D338:BT338)</f>
        <v>6</v>
      </c>
      <c r="CE338" s="7" t="n">
        <f aca="false">COUNTA(BQ338:BT338)</f>
        <v>0</v>
      </c>
      <c r="CF338" s="7" t="n">
        <f aca="false">COUNTA(BM338:BT338)</f>
        <v>0</v>
      </c>
      <c r="CG338" s="7" t="n">
        <f aca="false">COUNTA(BI338:BT338)</f>
        <v>1</v>
      </c>
      <c r="CH338" s="7" t="n">
        <f aca="false">COUNTA(BE338:BT338)</f>
        <v>1</v>
      </c>
      <c r="CI338" s="7" t="n">
        <f aca="false">COUNTA(AU338:BT338)</f>
        <v>1</v>
      </c>
      <c r="CJ338" s="7" t="n">
        <f aca="false">COUNTA(U338:BT338)</f>
        <v>1</v>
      </c>
      <c r="CK338" s="7" t="n">
        <f aca="false">COUNTA(BT338)</f>
        <v>0</v>
      </c>
      <c r="CL338" s="7" t="n">
        <f aca="false">COUNTA(D338:BT338)</f>
        <v>1</v>
      </c>
      <c r="CM338" s="17" t="str">
        <f aca="false">IF(AND(CE338=1,CJ338=1,BT338&lt;&gt;""),"5.ENTRANTES",IF(AND(CE338&lt;&gt;0,CE338/RIGHT($CE$1,1)&gt;=0.5,CJ338=CE338),"4.RECENTES",IF(AND(CF338&lt;&gt;0,CF338/RIGHT($CF$1,1)&gt;=0.5,CJ338=CF338),"4.RECENTES",IF(AND(CG338&lt;&gt;0,CG338/RIGHT($CG$1,2)&gt;=0.5,CJ338=CG338),"4.RECENTES",IF(AND(CH338&lt;&gt;0,CH338/RIGHT($CH$1,2)&gt;=0.5,CJ338=CH338),"4.RECENTES",IF(AND(CI338&lt;&gt;0,CI338/RIGHT($CI$1,2)&gt;=0.5,CJ338=CI338),"4.RECENTES",IF(AND(CE338=0,CF338=0,CG338=0,CH338=0),"3.INATIVOS",IF(CJ338/RIGHT($CJ$1,2)&lt;0.5,"2.INTERMITENTES","1.ORDINÁRIOS"))))))))</f>
        <v>2.INTERMITENTES</v>
      </c>
      <c r="CN338" s="18" t="n">
        <f aca="false">IF(AND(CE338=1,CJ338=1,BT338&lt;&gt;""),BT338,IF(AND(CE338&lt;&gt;0,CE338/RIGHT($CE$1,1)&gt;=0.5,CJ338=CE338),MAX(BV338:CC338),IF(AND(CF338&lt;&gt;0,CF338/RIGHT($CF$1,1)&gt;=0.5,CJ338=CF338),MAX(BV338:CC338),IF(AND(CG338&lt;&gt;0,CG338/RIGHT($CG$1,2)&gt;=0.5,CJ338=CG338),MAX(BV338:CC338),IF(AND(CH338&lt;&gt;0,CH338/RIGHT($CH$1,2)&gt;=0.5,CJ338=CH338),MAX(BV338:CC338),IF(AND(CI338&lt;&gt;0,CI338/RIGHT($CI$1,2)&gt;=0.5,CJ338=CI338),MAX(BV338:CC338),IF(AND(CE338=0,CF338=0,CG338=0,CH338=0),0,IF(CJ338/RIGHT($CJ$1,2)&lt;0.5,ROUND(BU338/RIGHT($CJ$1,2),0),MAX(BV338:CC338)))))))))</f>
        <v>0</v>
      </c>
      <c r="CO338" s="18" t="n">
        <f aca="false">CD338</f>
        <v>6</v>
      </c>
      <c r="CP338" s="15" t="n">
        <v>30</v>
      </c>
      <c r="CQ338" s="16" t="n">
        <f aca="false">IF((CO338-CP338)&lt;0,0,(CO338-CP338))</f>
        <v>0</v>
      </c>
      <c r="CR338" s="7"/>
    </row>
    <row r="339" customFormat="false" ht="12.75" hidden="false" customHeight="true" outlineLevel="0" collapsed="false">
      <c r="A339" s="7" t="s">
        <v>439</v>
      </c>
      <c r="B339" s="7" t="s">
        <v>441</v>
      </c>
      <c r="C339" s="8" t="n">
        <v>8001010</v>
      </c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  <c r="AX339" s="9"/>
      <c r="AY339" s="9"/>
      <c r="AZ339" s="9"/>
      <c r="BA339" s="9"/>
      <c r="BB339" s="9"/>
      <c r="BC339" s="9"/>
      <c r="BD339" s="9"/>
      <c r="BE339" s="9"/>
      <c r="BF339" s="9"/>
      <c r="BG339" s="9"/>
      <c r="BH339" s="9"/>
      <c r="BI339" s="9" t="n">
        <v>10</v>
      </c>
      <c r="BJ339" s="9" t="n">
        <v>3</v>
      </c>
      <c r="BK339" s="9" t="n">
        <v>1</v>
      </c>
      <c r="BL339" s="9" t="n">
        <v>2</v>
      </c>
      <c r="BM339" s="9"/>
      <c r="BN339" s="9" t="n">
        <v>2</v>
      </c>
      <c r="BO339" s="9" t="n">
        <v>1</v>
      </c>
      <c r="BP339" s="9" t="n">
        <v>5</v>
      </c>
      <c r="BQ339" s="9" t="n">
        <v>2</v>
      </c>
      <c r="BR339" s="9" t="n">
        <v>2</v>
      </c>
      <c r="BS339" s="9" t="n">
        <v>2</v>
      </c>
      <c r="BT339" s="9" t="n">
        <v>1</v>
      </c>
      <c r="BU339" s="10" t="n">
        <v>31</v>
      </c>
      <c r="BV339" s="11" t="n">
        <f aca="false">IF(ISERROR(ROUND(MEDIAN(BQ339:BT339),0)),0,ROUND(MEDIAN(BQ339:BT339),0))</f>
        <v>2</v>
      </c>
      <c r="BW339" s="11" t="n">
        <f aca="false">IF(ISERROR(ROUND(MEDIAN(BM339:BT339),0)),0,ROUND(MEDIAN(BM339:BT339),0))</f>
        <v>2</v>
      </c>
      <c r="BX339" s="11" t="n">
        <f aca="false">IF(ISERROR(ROUND(MEDIAN(BI339:BT339),0)),0,ROUND(MEDIAN(BI339:BT339),0))</f>
        <v>2</v>
      </c>
      <c r="BY339" s="11" t="n">
        <f aca="false">IF(ISERROR(ROUND(MEDIAN(BE339:BT339),0)),0,ROUND(MEDIAN(BE339:BT339),0))</f>
        <v>2</v>
      </c>
      <c r="BZ339" s="11" t="n">
        <f aca="false">IF(ISERROR(ROUND(MEDIAN(AU339:BT339),0)),0,ROUND(MEDIAN(AU339:BT339),0))</f>
        <v>2</v>
      </c>
      <c r="CA339" s="12" t="n">
        <f aca="false">IF(ISERROR(ROUND(MEDIAN(U339:BT339),0)),0,ROUND(MEDIAN(U339:BT339),0))</f>
        <v>2</v>
      </c>
      <c r="CB339" s="12" t="n">
        <f aca="false">IF(ISERROR(ROUND(MEDIAN(BT339),0)),0,ROUND(MEDIAN(BT339),0))</f>
        <v>1</v>
      </c>
      <c r="CC339" s="12" t="n">
        <f aca="false">IF(ISERROR(ROUND(MEDIAN(D339:BT339),0)),0,ROUND(MEDIAN(D339:BT339),0))</f>
        <v>2</v>
      </c>
      <c r="CD339" s="12" t="n">
        <f aca="false">MAX(D339:BT339)</f>
        <v>10</v>
      </c>
      <c r="CE339" s="7" t="n">
        <f aca="false">COUNTA(BQ339:BT339)</f>
        <v>4</v>
      </c>
      <c r="CF339" s="7" t="n">
        <f aca="false">COUNTA(BM339:BT339)</f>
        <v>7</v>
      </c>
      <c r="CG339" s="7" t="n">
        <f aca="false">COUNTA(BI339:BT339)</f>
        <v>11</v>
      </c>
      <c r="CH339" s="7" t="n">
        <f aca="false">COUNTA(BE339:BT339)</f>
        <v>11</v>
      </c>
      <c r="CI339" s="7" t="n">
        <f aca="false">COUNTA(AU339:BT339)</f>
        <v>11</v>
      </c>
      <c r="CJ339" s="7" t="n">
        <f aca="false">COUNTA(U339:BT339)</f>
        <v>11</v>
      </c>
      <c r="CK339" s="7" t="n">
        <f aca="false">COUNTA(BT339)</f>
        <v>1</v>
      </c>
      <c r="CL339" s="7" t="n">
        <f aca="false">COUNTA(D339:BT339)</f>
        <v>11</v>
      </c>
      <c r="CM339" s="21" t="str">
        <f aca="false">IF(AND(CE339=1,CJ339=1,BT339&lt;&gt;""),"5.ENTRANTES",IF(AND(CE339&lt;&gt;0,CE339/RIGHT($CE$1,1)&gt;=0.5,CJ339=CE339),"4.RECENTES",IF(AND(CF339&lt;&gt;0,CF339/RIGHT($CF$1,1)&gt;=0.5,CJ339=CF339),"4.RECENTES",IF(AND(CG339&lt;&gt;0,CG339/RIGHT($CG$1,2)&gt;=0.5,CJ339=CG339),"4.RECENTES",IF(AND(CH339&lt;&gt;0,CH339/RIGHT($CH$1,2)&gt;=0.5,CJ339=CH339),"4.RECENTES",IF(AND(CI339&lt;&gt;0,CI339/RIGHT($CI$1,2)&gt;=0.5,CJ339=CI339),"4.RECENTES",IF(AND(CE339=0,CF339=0,CG339=0,CH339=0),"3.INATIVOS",IF(CJ339/RIGHT($CJ$1,2)&lt;0.5,"2.INTERMITENTES","1.ORDINÁRIOS"))))))))</f>
        <v>4.RECENTES</v>
      </c>
      <c r="CN339" s="22" t="n">
        <f aca="false">IF(AND(CE339=1,CJ339=1,BT339&lt;&gt;""),BT339,IF(AND(CE339&lt;&gt;0,CE339/RIGHT($CE$1,1)&gt;=0.5,CJ339=CE339),MAX(BV339:CC339),IF(AND(CF339&lt;&gt;0,CF339/RIGHT($CF$1,1)&gt;=0.5,CJ339=CF339),MAX(BV339:CC339),IF(AND(CG339&lt;&gt;0,CG339/RIGHT($CG$1,2)&gt;=0.5,CJ339=CG339),MAX(BV339:CC339),IF(AND(CH339&lt;&gt;0,CH339/RIGHT($CH$1,2)&gt;=0.5,CJ339=CH339),MAX(BV339:CC339),IF(AND(CI339&lt;&gt;0,CI339/RIGHT($CI$1,2)&gt;=0.5,CJ339=CI339),MAX(BV339:CC339),IF(AND(CE339=0,CF339=0,CG339=0,CH339=0),0,IF(CJ339/RIGHT($CJ$1,2)&lt;0.5,ROUND(BU339/RIGHT($CJ$1,2),0),MAX(BV339:CC339)))))))))</f>
        <v>2</v>
      </c>
      <c r="CO339" s="22" t="n">
        <f aca="false">CN339*3</f>
        <v>6</v>
      </c>
      <c r="CP339" s="15" t="n">
        <v>27</v>
      </c>
      <c r="CQ339" s="16" t="n">
        <f aca="false">IF((CO339-CP339)&lt;0,0,(CO339-CP339))</f>
        <v>0</v>
      </c>
      <c r="CR339" s="7"/>
    </row>
    <row r="340" customFormat="false" ht="12.75" hidden="false" customHeight="true" outlineLevel="0" collapsed="false">
      <c r="A340" s="7" t="s">
        <v>442</v>
      </c>
      <c r="B340" s="7" t="s">
        <v>443</v>
      </c>
      <c r="C340" s="8" t="n">
        <v>321001392</v>
      </c>
      <c r="D340" s="9"/>
      <c r="E340" s="9"/>
      <c r="F340" s="9"/>
      <c r="G340" s="9"/>
      <c r="H340" s="9"/>
      <c r="I340" s="9"/>
      <c r="J340" s="9"/>
      <c r="K340" s="9" t="n">
        <v>30</v>
      </c>
      <c r="L340" s="9"/>
      <c r="M340" s="9"/>
      <c r="N340" s="9"/>
      <c r="O340" s="9" t="n">
        <v>70</v>
      </c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 t="n">
        <v>30</v>
      </c>
      <c r="AM340" s="9"/>
      <c r="AN340" s="9"/>
      <c r="AO340" s="9"/>
      <c r="AP340" s="9" t="n">
        <v>6</v>
      </c>
      <c r="AQ340" s="9"/>
      <c r="AR340" s="9"/>
      <c r="AS340" s="9"/>
      <c r="AT340" s="9"/>
      <c r="AU340" s="9"/>
      <c r="AV340" s="9"/>
      <c r="AW340" s="9"/>
      <c r="AX340" s="9"/>
      <c r="AY340" s="9"/>
      <c r="AZ340" s="9"/>
      <c r="BA340" s="9"/>
      <c r="BB340" s="9"/>
      <c r="BC340" s="9"/>
      <c r="BD340" s="9"/>
      <c r="BE340" s="9"/>
      <c r="BF340" s="9"/>
      <c r="BG340" s="9"/>
      <c r="BH340" s="9"/>
      <c r="BI340" s="9"/>
      <c r="BJ340" s="9"/>
      <c r="BK340" s="9"/>
      <c r="BL340" s="9"/>
      <c r="BM340" s="9"/>
      <c r="BN340" s="9"/>
      <c r="BO340" s="9"/>
      <c r="BP340" s="9"/>
      <c r="BQ340" s="9"/>
      <c r="BR340" s="9"/>
      <c r="BS340" s="9"/>
      <c r="BT340" s="9"/>
      <c r="BU340" s="10" t="n">
        <v>136</v>
      </c>
      <c r="BV340" s="11" t="n">
        <f aca="false">IF(ISERROR(ROUND(MEDIAN(BQ340:BT340),0)),0,ROUND(MEDIAN(BQ340:BT340),0))</f>
        <v>0</v>
      </c>
      <c r="BW340" s="11" t="n">
        <f aca="false">IF(ISERROR(ROUND(MEDIAN(BM340:BT340),0)),0,ROUND(MEDIAN(BM340:BT340),0))</f>
        <v>0</v>
      </c>
      <c r="BX340" s="11" t="n">
        <f aca="false">IF(ISERROR(ROUND(MEDIAN(BI340:BT340),0)),0,ROUND(MEDIAN(BI340:BT340),0))</f>
        <v>0</v>
      </c>
      <c r="BY340" s="11" t="n">
        <f aca="false">IF(ISERROR(ROUND(MEDIAN(BE340:BT340),0)),0,ROUND(MEDIAN(BE340:BT340),0))</f>
        <v>0</v>
      </c>
      <c r="BZ340" s="11" t="n">
        <f aca="false">IF(ISERROR(ROUND(MEDIAN(AU340:BT340),0)),0,ROUND(MEDIAN(AU340:BT340),0))</f>
        <v>0</v>
      </c>
      <c r="CA340" s="12" t="n">
        <f aca="false">IF(ISERROR(ROUND(MEDIAN(U340:BT340),0)),0,ROUND(MEDIAN(U340:BT340),0))</f>
        <v>18</v>
      </c>
      <c r="CB340" s="12" t="n">
        <f aca="false">IF(ISERROR(ROUND(MEDIAN(BT340),0)),0,ROUND(MEDIAN(BT340),0))</f>
        <v>0</v>
      </c>
      <c r="CC340" s="12" t="n">
        <f aca="false">IF(ISERROR(ROUND(MEDIAN(D340:BT340),0)),0,ROUND(MEDIAN(D340:BT340),0))</f>
        <v>30</v>
      </c>
      <c r="CD340" s="12" t="n">
        <f aca="false">MAX(D340:BT340)</f>
        <v>70</v>
      </c>
      <c r="CE340" s="7" t="n">
        <f aca="false">COUNTA(BQ340:BT340)</f>
        <v>0</v>
      </c>
      <c r="CF340" s="7" t="n">
        <f aca="false">COUNTA(BM340:BT340)</f>
        <v>0</v>
      </c>
      <c r="CG340" s="7" t="n">
        <f aca="false">COUNTA(BI340:BT340)</f>
        <v>0</v>
      </c>
      <c r="CH340" s="7" t="n">
        <f aca="false">COUNTA(BE340:BT340)</f>
        <v>0</v>
      </c>
      <c r="CI340" s="7" t="n">
        <f aca="false">COUNTA(AU340:BT340)</f>
        <v>0</v>
      </c>
      <c r="CJ340" s="7" t="n">
        <f aca="false">COUNTA(U340:BT340)</f>
        <v>2</v>
      </c>
      <c r="CK340" s="7" t="n">
        <f aca="false">COUNTA(BT340)</f>
        <v>0</v>
      </c>
      <c r="CL340" s="7" t="n">
        <f aca="false">COUNTA(D340:BT340)</f>
        <v>4</v>
      </c>
      <c r="CM340" s="19" t="str">
        <f aca="false">IF(AND(CE340=1,CJ340=1,BT340&lt;&gt;""),"5.ENTRANTES",IF(AND(CE340&lt;&gt;0,CE340/RIGHT($CE$1,1)&gt;=0.5,CJ340=CE340),"4.RECENTES",IF(AND(CF340&lt;&gt;0,CF340/RIGHT($CF$1,1)&gt;=0.5,CJ340=CF340),"4.RECENTES",IF(AND(CG340&lt;&gt;0,CG340/RIGHT($CG$1,2)&gt;=0.5,CJ340=CG340),"4.RECENTES",IF(AND(CH340&lt;&gt;0,CH340/RIGHT($CH$1,2)&gt;=0.5,CJ340=CH340),"4.RECENTES",IF(AND(CI340&lt;&gt;0,CI340/RIGHT($CI$1,2)&gt;=0.5,CJ340=CI340),"4.RECENTES",IF(AND(CE340=0,CF340=0,CG340=0,CH340=0),"3.INATIVOS",IF(CJ340/RIGHT($CJ$1,2)&lt;0.5,"2.INTERMITENTES","1.ORDINÁRIOS"))))))))</f>
        <v>3.INATIVOS</v>
      </c>
      <c r="CN340" s="20" t="n">
        <f aca="false">IF(AND(CE340=1,CJ340=1,BT340&lt;&gt;""),BT340,IF(AND(CE340&lt;&gt;0,CE340/RIGHT($CE$1,1)&gt;=0.5,CJ340=CE340),MAX(BV340:CC340),IF(AND(CF340&lt;&gt;0,CF340/RIGHT($CF$1,1)&gt;=0.5,CJ340=CF340),MAX(BV340:CC340),IF(AND(CG340&lt;&gt;0,CG340/RIGHT($CG$1,2)&gt;=0.5,CJ340=CG340),MAX(BV340:CC340),IF(AND(CH340&lt;&gt;0,CH340/RIGHT($CH$1,2)&gt;=0.5,CJ340=CH340),MAX(BV340:CC340),IF(AND(CI340&lt;&gt;0,CI340/RIGHT($CI$1,2)&gt;=0.5,CJ340=CI340),MAX(BV340:CC340),IF(AND(CE340=0,CF340=0,CG340=0,CH340=0),0,IF(CJ340/RIGHT($CJ$1,2)&lt;0.5,ROUND(BU340/RIGHT($CJ$1,2),0),MAX(BV340:CC340)))))))))</f>
        <v>0</v>
      </c>
      <c r="CO340" s="20" t="n">
        <f aca="false">CN340*3</f>
        <v>0</v>
      </c>
      <c r="CP340" s="15" t="n">
        <v>0</v>
      </c>
      <c r="CQ340" s="16" t="n">
        <f aca="false">IF((CO340-CP340)&lt;0,0,(CO340-CP340))</f>
        <v>0</v>
      </c>
      <c r="CR340" s="7"/>
    </row>
    <row r="341" customFormat="false" ht="12.75" hidden="false" customHeight="true" outlineLevel="0" collapsed="false">
      <c r="A341" s="7" t="s">
        <v>442</v>
      </c>
      <c r="B341" s="7" t="s">
        <v>444</v>
      </c>
      <c r="C341" s="8" t="n">
        <v>23001002</v>
      </c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 t="n">
        <v>5</v>
      </c>
      <c r="P341" s="9"/>
      <c r="Q341" s="9"/>
      <c r="R341" s="9"/>
      <c r="S341" s="9"/>
      <c r="T341" s="9"/>
      <c r="U341" s="9"/>
      <c r="V341" s="9" t="n">
        <v>1</v>
      </c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  <c r="AX341" s="9"/>
      <c r="AY341" s="9"/>
      <c r="AZ341" s="9"/>
      <c r="BA341" s="9"/>
      <c r="BB341" s="9"/>
      <c r="BC341" s="9"/>
      <c r="BD341" s="9"/>
      <c r="BE341" s="9"/>
      <c r="BF341" s="9"/>
      <c r="BG341" s="9"/>
      <c r="BH341" s="9"/>
      <c r="BI341" s="9"/>
      <c r="BJ341" s="9"/>
      <c r="BK341" s="9"/>
      <c r="BL341" s="9"/>
      <c r="BM341" s="9"/>
      <c r="BN341" s="9"/>
      <c r="BO341" s="9"/>
      <c r="BP341" s="9"/>
      <c r="BQ341" s="9"/>
      <c r="BR341" s="9"/>
      <c r="BS341" s="9"/>
      <c r="BT341" s="9"/>
      <c r="BU341" s="10" t="n">
        <v>6</v>
      </c>
      <c r="BV341" s="11" t="n">
        <f aca="false">IF(ISERROR(ROUND(MEDIAN(BQ341:BT341),0)),0,ROUND(MEDIAN(BQ341:BT341),0))</f>
        <v>0</v>
      </c>
      <c r="BW341" s="11" t="n">
        <f aca="false">IF(ISERROR(ROUND(MEDIAN(BM341:BT341),0)),0,ROUND(MEDIAN(BM341:BT341),0))</f>
        <v>0</v>
      </c>
      <c r="BX341" s="11" t="n">
        <f aca="false">IF(ISERROR(ROUND(MEDIAN(BI341:BT341),0)),0,ROUND(MEDIAN(BI341:BT341),0))</f>
        <v>0</v>
      </c>
      <c r="BY341" s="11" t="n">
        <f aca="false">IF(ISERROR(ROUND(MEDIAN(BE341:BT341),0)),0,ROUND(MEDIAN(BE341:BT341),0))</f>
        <v>0</v>
      </c>
      <c r="BZ341" s="11" t="n">
        <f aca="false">IF(ISERROR(ROUND(MEDIAN(AU341:BT341),0)),0,ROUND(MEDIAN(AU341:BT341),0))</f>
        <v>0</v>
      </c>
      <c r="CA341" s="12" t="n">
        <f aca="false">IF(ISERROR(ROUND(MEDIAN(U341:BT341),0)),0,ROUND(MEDIAN(U341:BT341),0))</f>
        <v>1</v>
      </c>
      <c r="CB341" s="12" t="n">
        <f aca="false">IF(ISERROR(ROUND(MEDIAN(BT341),0)),0,ROUND(MEDIAN(BT341),0))</f>
        <v>0</v>
      </c>
      <c r="CC341" s="12" t="n">
        <f aca="false">IF(ISERROR(ROUND(MEDIAN(D341:BT341),0)),0,ROUND(MEDIAN(D341:BT341),0))</f>
        <v>3</v>
      </c>
      <c r="CD341" s="12" t="n">
        <f aca="false">MAX(D341:BT341)</f>
        <v>5</v>
      </c>
      <c r="CE341" s="7" t="n">
        <f aca="false">COUNTA(BQ341:BT341)</f>
        <v>0</v>
      </c>
      <c r="CF341" s="7" t="n">
        <f aca="false">COUNTA(BM341:BT341)</f>
        <v>0</v>
      </c>
      <c r="CG341" s="7" t="n">
        <f aca="false">COUNTA(BI341:BT341)</f>
        <v>0</v>
      </c>
      <c r="CH341" s="7" t="n">
        <f aca="false">COUNTA(BE341:BT341)</f>
        <v>0</v>
      </c>
      <c r="CI341" s="7" t="n">
        <f aca="false">COUNTA(AU341:BT341)</f>
        <v>0</v>
      </c>
      <c r="CJ341" s="7" t="n">
        <f aca="false">COUNTA(U341:BT341)</f>
        <v>1</v>
      </c>
      <c r="CK341" s="7" t="n">
        <f aca="false">COUNTA(BT341)</f>
        <v>0</v>
      </c>
      <c r="CL341" s="7" t="n">
        <f aca="false">COUNTA(D341:BT341)</f>
        <v>2</v>
      </c>
      <c r="CM341" s="19" t="str">
        <f aca="false">IF(AND(CE341=1,CJ341=1,BT341&lt;&gt;""),"5.ENTRANTES",IF(AND(CE341&lt;&gt;0,CE341/RIGHT($CE$1,1)&gt;=0.5,CJ341=CE341),"4.RECENTES",IF(AND(CF341&lt;&gt;0,CF341/RIGHT($CF$1,1)&gt;=0.5,CJ341=CF341),"4.RECENTES",IF(AND(CG341&lt;&gt;0,CG341/RIGHT($CG$1,2)&gt;=0.5,CJ341=CG341),"4.RECENTES",IF(AND(CH341&lt;&gt;0,CH341/RIGHT($CH$1,2)&gt;=0.5,CJ341=CH341),"4.RECENTES",IF(AND(CI341&lt;&gt;0,CI341/RIGHT($CI$1,2)&gt;=0.5,CJ341=CI341),"4.RECENTES",IF(AND(CE341=0,CF341=0,CG341=0,CH341=0),"3.INATIVOS",IF(CJ341/RIGHT($CJ$1,2)&lt;0.5,"2.INTERMITENTES","1.ORDINÁRIOS"))))))))</f>
        <v>3.INATIVOS</v>
      </c>
      <c r="CN341" s="20" t="n">
        <f aca="false">IF(AND(CE341=1,CJ341=1,BT341&lt;&gt;""),BT341,IF(AND(CE341&lt;&gt;0,CE341/RIGHT($CE$1,1)&gt;=0.5,CJ341=CE341),MAX(BV341:CC341),IF(AND(CF341&lt;&gt;0,CF341/RIGHT($CF$1,1)&gt;=0.5,CJ341=CF341),MAX(BV341:CC341),IF(AND(CG341&lt;&gt;0,CG341/RIGHT($CG$1,2)&gt;=0.5,CJ341=CG341),MAX(BV341:CC341),IF(AND(CH341&lt;&gt;0,CH341/RIGHT($CH$1,2)&gt;=0.5,CJ341=CH341),MAX(BV341:CC341),IF(AND(CI341&lt;&gt;0,CI341/RIGHT($CI$1,2)&gt;=0.5,CJ341=CI341),MAX(BV341:CC341),IF(AND(CE341=0,CF341=0,CG341=0,CH341=0),0,IF(CJ341/RIGHT($CJ$1,2)&lt;0.5,ROUND(BU341/RIGHT($CJ$1,2),0),MAX(BV341:CC341)))))))))</f>
        <v>0</v>
      </c>
      <c r="CO341" s="20" t="n">
        <f aca="false">CN341*3</f>
        <v>0</v>
      </c>
      <c r="CP341" s="15" t="n">
        <v>0</v>
      </c>
      <c r="CQ341" s="16" t="n">
        <f aca="false">IF((CO341-CP341)&lt;0,0,(CO341-CP341))</f>
        <v>0</v>
      </c>
      <c r="CR341" s="7"/>
    </row>
    <row r="342" customFormat="false" ht="12.75" hidden="false" customHeight="true" outlineLevel="0" collapsed="false">
      <c r="A342" s="7" t="s">
        <v>442</v>
      </c>
      <c r="B342" s="7" t="s">
        <v>445</v>
      </c>
      <c r="C342" s="8" t="n">
        <v>23001003</v>
      </c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  <c r="AX342" s="9"/>
      <c r="AY342" s="9"/>
      <c r="AZ342" s="9"/>
      <c r="BA342" s="9"/>
      <c r="BB342" s="9"/>
      <c r="BC342" s="9"/>
      <c r="BD342" s="9"/>
      <c r="BE342" s="9"/>
      <c r="BF342" s="9"/>
      <c r="BG342" s="9"/>
      <c r="BH342" s="9"/>
      <c r="BI342" s="9"/>
      <c r="BJ342" s="9"/>
      <c r="BK342" s="9"/>
      <c r="BL342" s="9"/>
      <c r="BM342" s="9"/>
      <c r="BN342" s="9"/>
      <c r="BO342" s="9"/>
      <c r="BP342" s="9"/>
      <c r="BQ342" s="9"/>
      <c r="BR342" s="9" t="n">
        <v>3</v>
      </c>
      <c r="BS342" s="9"/>
      <c r="BT342" s="9"/>
      <c r="BU342" s="10" t="n">
        <v>3</v>
      </c>
      <c r="BV342" s="11" t="n">
        <f aca="false">IF(ISERROR(ROUND(MEDIAN(BQ342:BT342),0)),0,ROUND(MEDIAN(BQ342:BT342),0))</f>
        <v>3</v>
      </c>
      <c r="BW342" s="11" t="n">
        <f aca="false">IF(ISERROR(ROUND(MEDIAN(BM342:BT342),0)),0,ROUND(MEDIAN(BM342:BT342),0))</f>
        <v>3</v>
      </c>
      <c r="BX342" s="11" t="n">
        <f aca="false">IF(ISERROR(ROUND(MEDIAN(BI342:BT342),0)),0,ROUND(MEDIAN(BI342:BT342),0))</f>
        <v>3</v>
      </c>
      <c r="BY342" s="11" t="n">
        <f aca="false">IF(ISERROR(ROUND(MEDIAN(BE342:BT342),0)),0,ROUND(MEDIAN(BE342:BT342),0))</f>
        <v>3</v>
      </c>
      <c r="BZ342" s="11" t="n">
        <f aca="false">IF(ISERROR(ROUND(MEDIAN(AU342:BT342),0)),0,ROUND(MEDIAN(AU342:BT342),0))</f>
        <v>3</v>
      </c>
      <c r="CA342" s="12" t="n">
        <f aca="false">IF(ISERROR(ROUND(MEDIAN(U342:BT342),0)),0,ROUND(MEDIAN(U342:BT342),0))</f>
        <v>3</v>
      </c>
      <c r="CB342" s="12" t="n">
        <f aca="false">IF(ISERROR(ROUND(MEDIAN(BT342),0)),0,ROUND(MEDIAN(BT342),0))</f>
        <v>0</v>
      </c>
      <c r="CC342" s="12" t="n">
        <f aca="false">IF(ISERROR(ROUND(MEDIAN(D342:BT342),0)),0,ROUND(MEDIAN(D342:BT342),0))</f>
        <v>3</v>
      </c>
      <c r="CD342" s="12" t="n">
        <f aca="false">MAX(D342:BT342)</f>
        <v>3</v>
      </c>
      <c r="CE342" s="7" t="n">
        <f aca="false">COUNTA(BQ342:BT342)</f>
        <v>1</v>
      </c>
      <c r="CF342" s="7" t="n">
        <f aca="false">COUNTA(BM342:BT342)</f>
        <v>1</v>
      </c>
      <c r="CG342" s="7" t="n">
        <f aca="false">COUNTA(BI342:BT342)</f>
        <v>1</v>
      </c>
      <c r="CH342" s="7" t="n">
        <f aca="false">COUNTA(BE342:BT342)</f>
        <v>1</v>
      </c>
      <c r="CI342" s="7" t="n">
        <f aca="false">COUNTA(AU342:BT342)</f>
        <v>1</v>
      </c>
      <c r="CJ342" s="7" t="n">
        <f aca="false">COUNTA(U342:BT342)</f>
        <v>1</v>
      </c>
      <c r="CK342" s="7" t="n">
        <f aca="false">COUNTA(BT342)</f>
        <v>0</v>
      </c>
      <c r="CL342" s="7" t="n">
        <f aca="false">COUNTA(D342:BT342)</f>
        <v>1</v>
      </c>
      <c r="CM342" s="17" t="str">
        <f aca="false">IF(AND(CE342=1,CJ342=1,BT342&lt;&gt;""),"5.ENTRANTES",IF(AND(CE342&lt;&gt;0,CE342/RIGHT($CE$1,1)&gt;=0.5,CJ342=CE342),"4.RECENTES",IF(AND(CF342&lt;&gt;0,CF342/RIGHT($CF$1,1)&gt;=0.5,CJ342=CF342),"4.RECENTES",IF(AND(CG342&lt;&gt;0,CG342/RIGHT($CG$1,2)&gt;=0.5,CJ342=CG342),"4.RECENTES",IF(AND(CH342&lt;&gt;0,CH342/RIGHT($CH$1,2)&gt;=0.5,CJ342=CH342),"4.RECENTES",IF(AND(CI342&lt;&gt;0,CI342/RIGHT($CI$1,2)&gt;=0.5,CJ342=CI342),"4.RECENTES",IF(AND(CE342=0,CF342=0,CG342=0,CH342=0),"3.INATIVOS",IF(CJ342/RIGHT($CJ$1,2)&lt;0.5,"2.INTERMITENTES","1.ORDINÁRIOS"))))))))</f>
        <v>2.INTERMITENTES</v>
      </c>
      <c r="CN342" s="18" t="n">
        <f aca="false">IF(AND(CE342=1,CJ342=1,BT342&lt;&gt;""),BT342,IF(AND(CE342&lt;&gt;0,CE342/RIGHT($CE$1,1)&gt;=0.5,CJ342=CE342),MAX(BV342:CC342),IF(AND(CF342&lt;&gt;0,CF342/RIGHT($CF$1,1)&gt;=0.5,CJ342=CF342),MAX(BV342:CC342),IF(AND(CG342&lt;&gt;0,CG342/RIGHT($CG$1,2)&gt;=0.5,CJ342=CG342),MAX(BV342:CC342),IF(AND(CH342&lt;&gt;0,CH342/RIGHT($CH$1,2)&gt;=0.5,CJ342=CH342),MAX(BV342:CC342),IF(AND(CI342&lt;&gt;0,CI342/RIGHT($CI$1,2)&gt;=0.5,CJ342=CI342),MAX(BV342:CC342),IF(AND(CE342=0,CF342=0,CG342=0,CH342=0),0,IF(CJ342/RIGHT($CJ$1,2)&lt;0.5,ROUND(BU342/RIGHT($CJ$1,2),0),MAX(BV342:CC342)))))))))</f>
        <v>0</v>
      </c>
      <c r="CO342" s="18" t="n">
        <f aca="false">CD342</f>
        <v>3</v>
      </c>
      <c r="CP342" s="15" t="n">
        <v>7</v>
      </c>
      <c r="CQ342" s="16" t="n">
        <f aca="false">IF((CO342-CP342)&lt;0,0,(CO342-CP342))</f>
        <v>0</v>
      </c>
      <c r="CR342" s="7"/>
    </row>
    <row r="343" customFormat="false" ht="12.75" hidden="false" customHeight="true" outlineLevel="0" collapsed="false">
      <c r="A343" s="7" t="s">
        <v>442</v>
      </c>
      <c r="B343" s="7" t="s">
        <v>446</v>
      </c>
      <c r="C343" s="8" t="n">
        <v>335001001</v>
      </c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9"/>
      <c r="AX343" s="9"/>
      <c r="AY343" s="9"/>
      <c r="AZ343" s="9"/>
      <c r="BA343" s="9"/>
      <c r="BB343" s="9"/>
      <c r="BC343" s="9"/>
      <c r="BD343" s="9"/>
      <c r="BE343" s="9"/>
      <c r="BF343" s="9"/>
      <c r="BG343" s="9"/>
      <c r="BH343" s="9"/>
      <c r="BI343" s="9"/>
      <c r="BJ343" s="9"/>
      <c r="BK343" s="9"/>
      <c r="BL343" s="9"/>
      <c r="BM343" s="9" t="n">
        <v>120</v>
      </c>
      <c r="BN343" s="9"/>
      <c r="BO343" s="9"/>
      <c r="BP343" s="9"/>
      <c r="BQ343" s="9"/>
      <c r="BR343" s="9"/>
      <c r="BS343" s="9"/>
      <c r="BT343" s="9"/>
      <c r="BU343" s="10" t="n">
        <v>120</v>
      </c>
      <c r="BV343" s="11" t="n">
        <f aca="false">IF(ISERROR(ROUND(MEDIAN(BQ343:BT343),0)),0,ROUND(MEDIAN(BQ343:BT343),0))</f>
        <v>0</v>
      </c>
      <c r="BW343" s="11" t="n">
        <f aca="false">IF(ISERROR(ROUND(MEDIAN(BM343:BT343),0)),0,ROUND(MEDIAN(BM343:BT343),0))</f>
        <v>120</v>
      </c>
      <c r="BX343" s="11" t="n">
        <f aca="false">IF(ISERROR(ROUND(MEDIAN(BI343:BT343),0)),0,ROUND(MEDIAN(BI343:BT343),0))</f>
        <v>120</v>
      </c>
      <c r="BY343" s="11" t="n">
        <f aca="false">IF(ISERROR(ROUND(MEDIAN(BE343:BT343),0)),0,ROUND(MEDIAN(BE343:BT343),0))</f>
        <v>120</v>
      </c>
      <c r="BZ343" s="11" t="n">
        <f aca="false">IF(ISERROR(ROUND(MEDIAN(AU343:BT343),0)),0,ROUND(MEDIAN(AU343:BT343),0))</f>
        <v>120</v>
      </c>
      <c r="CA343" s="12" t="n">
        <f aca="false">IF(ISERROR(ROUND(MEDIAN(U343:BT343),0)),0,ROUND(MEDIAN(U343:BT343),0))</f>
        <v>120</v>
      </c>
      <c r="CB343" s="12" t="n">
        <f aca="false">IF(ISERROR(ROUND(MEDIAN(BT343),0)),0,ROUND(MEDIAN(BT343),0))</f>
        <v>0</v>
      </c>
      <c r="CC343" s="12" t="n">
        <f aca="false">IF(ISERROR(ROUND(MEDIAN(D343:BT343),0)),0,ROUND(MEDIAN(D343:BT343),0))</f>
        <v>120</v>
      </c>
      <c r="CD343" s="12" t="n">
        <f aca="false">MAX(D343:BT343)</f>
        <v>120</v>
      </c>
      <c r="CE343" s="7" t="n">
        <f aca="false">COUNTA(BQ343:BT343)</f>
        <v>0</v>
      </c>
      <c r="CF343" s="7" t="n">
        <f aca="false">COUNTA(BM343:BT343)</f>
        <v>1</v>
      </c>
      <c r="CG343" s="7" t="n">
        <f aca="false">COUNTA(BI343:BT343)</f>
        <v>1</v>
      </c>
      <c r="CH343" s="7" t="n">
        <f aca="false">COUNTA(BE343:BT343)</f>
        <v>1</v>
      </c>
      <c r="CI343" s="7" t="n">
        <f aca="false">COUNTA(AU343:BT343)</f>
        <v>1</v>
      </c>
      <c r="CJ343" s="7" t="n">
        <f aca="false">COUNTA(U343:BT343)</f>
        <v>1</v>
      </c>
      <c r="CK343" s="7" t="n">
        <f aca="false">COUNTA(BT343)</f>
        <v>0</v>
      </c>
      <c r="CL343" s="7" t="n">
        <f aca="false">COUNTA(D343:BT343)</f>
        <v>1</v>
      </c>
      <c r="CM343" s="17" t="str">
        <f aca="false">IF(AND(CE343=1,CJ343=1,BT343&lt;&gt;""),"5.ENTRANTES",IF(AND(CE343&lt;&gt;0,CE343/RIGHT($CE$1,1)&gt;=0.5,CJ343=CE343),"4.RECENTES",IF(AND(CF343&lt;&gt;0,CF343/RIGHT($CF$1,1)&gt;=0.5,CJ343=CF343),"4.RECENTES",IF(AND(CG343&lt;&gt;0,CG343/RIGHT($CG$1,2)&gt;=0.5,CJ343=CG343),"4.RECENTES",IF(AND(CH343&lt;&gt;0,CH343/RIGHT($CH$1,2)&gt;=0.5,CJ343=CH343),"4.RECENTES",IF(AND(CI343&lt;&gt;0,CI343/RIGHT($CI$1,2)&gt;=0.5,CJ343=CI343),"4.RECENTES",IF(AND(CE343=0,CF343=0,CG343=0,CH343=0),"3.INATIVOS",IF(CJ343/RIGHT($CJ$1,2)&lt;0.5,"2.INTERMITENTES","1.ORDINÁRIOS"))))))))</f>
        <v>2.INTERMITENTES</v>
      </c>
      <c r="CN343" s="18" t="n">
        <f aca="false">IF(AND(CE343=1,CJ343=1,BT343&lt;&gt;""),BT343,IF(AND(CE343&lt;&gt;0,CE343/RIGHT($CE$1,1)&gt;=0.5,CJ343=CE343),MAX(BV343:CC343),IF(AND(CF343&lt;&gt;0,CF343/RIGHT($CF$1,1)&gt;=0.5,CJ343=CF343),MAX(BV343:CC343),IF(AND(CG343&lt;&gt;0,CG343/RIGHT($CG$1,2)&gt;=0.5,CJ343=CG343),MAX(BV343:CC343),IF(AND(CH343&lt;&gt;0,CH343/RIGHT($CH$1,2)&gt;=0.5,CJ343=CH343),MAX(BV343:CC343),IF(AND(CI343&lt;&gt;0,CI343/RIGHT($CI$1,2)&gt;=0.5,CJ343=CI343),MAX(BV343:CC343),IF(AND(CE343=0,CF343=0,CG343=0,CH343=0),0,IF(CJ343/RIGHT($CJ$1,2)&lt;0.5,ROUND(BU343/RIGHT($CJ$1,2),0),MAX(BV343:CC343)))))))))</f>
        <v>2</v>
      </c>
      <c r="CO343" s="18" t="n">
        <f aca="false">CD343</f>
        <v>120</v>
      </c>
      <c r="CP343" s="15" t="n">
        <v>0</v>
      </c>
      <c r="CQ343" s="16" t="n">
        <f aca="false">IF((CO343-CP343)&lt;0,0,(CO343-CP343))</f>
        <v>120</v>
      </c>
      <c r="CR343" s="7"/>
    </row>
    <row r="344" customFormat="false" ht="12.75" hidden="false" customHeight="true" outlineLevel="0" collapsed="false">
      <c r="A344" s="7" t="s">
        <v>447</v>
      </c>
      <c r="B344" s="7" t="s">
        <v>448</v>
      </c>
      <c r="C344" s="8" t="n">
        <v>21001066</v>
      </c>
      <c r="D344" s="9" t="n">
        <v>50</v>
      </c>
      <c r="E344" s="9" t="n">
        <v>150</v>
      </c>
      <c r="F344" s="9" t="n">
        <v>200</v>
      </c>
      <c r="G344" s="9"/>
      <c r="H344" s="9"/>
      <c r="I344" s="9" t="n">
        <v>350</v>
      </c>
      <c r="J344" s="9" t="n">
        <v>300</v>
      </c>
      <c r="K344" s="9" t="n">
        <v>100</v>
      </c>
      <c r="L344" s="9" t="n">
        <v>100</v>
      </c>
      <c r="M344" s="9" t="n">
        <v>150</v>
      </c>
      <c r="N344" s="9" t="n">
        <v>150</v>
      </c>
      <c r="O344" s="9" t="n">
        <v>150</v>
      </c>
      <c r="P344" s="9"/>
      <c r="Q344" s="9" t="n">
        <v>50</v>
      </c>
      <c r="R344" s="9" t="n">
        <v>350</v>
      </c>
      <c r="S344" s="9" t="n">
        <v>150</v>
      </c>
      <c r="T344" s="9" t="n">
        <v>50</v>
      </c>
      <c r="U344" s="9"/>
      <c r="V344" s="9" t="n">
        <v>50</v>
      </c>
      <c r="W344" s="9" t="n">
        <v>200</v>
      </c>
      <c r="X344" s="9" t="n">
        <v>50</v>
      </c>
      <c r="Y344" s="9"/>
      <c r="Z344" s="9"/>
      <c r="AA344" s="9" t="n">
        <v>150</v>
      </c>
      <c r="AB344" s="9" t="n">
        <v>50</v>
      </c>
      <c r="AC344" s="9" t="n">
        <v>50</v>
      </c>
      <c r="AD344" s="9" t="n">
        <v>50</v>
      </c>
      <c r="AE344" s="9" t="n">
        <v>100</v>
      </c>
      <c r="AF344" s="9" t="n">
        <v>50</v>
      </c>
      <c r="AG344" s="9" t="n">
        <v>100</v>
      </c>
      <c r="AH344" s="9" t="n">
        <v>50</v>
      </c>
      <c r="AI344" s="9" t="n">
        <v>150</v>
      </c>
      <c r="AJ344" s="9" t="n">
        <v>150</v>
      </c>
      <c r="AK344" s="9" t="n">
        <v>100</v>
      </c>
      <c r="AL344" s="9" t="n">
        <v>50</v>
      </c>
      <c r="AM344" s="9" t="n">
        <v>100</v>
      </c>
      <c r="AN344" s="9" t="n">
        <v>150</v>
      </c>
      <c r="AO344" s="9" t="n">
        <v>200</v>
      </c>
      <c r="AP344" s="9"/>
      <c r="AQ344" s="9" t="n">
        <v>50</v>
      </c>
      <c r="AR344" s="9" t="n">
        <v>150</v>
      </c>
      <c r="AS344" s="9" t="n">
        <v>100</v>
      </c>
      <c r="AT344" s="9" t="n">
        <v>100</v>
      </c>
      <c r="AU344" s="9" t="n">
        <v>100</v>
      </c>
      <c r="AV344" s="9" t="n">
        <v>200</v>
      </c>
      <c r="AW344" s="9" t="n">
        <v>150</v>
      </c>
      <c r="AX344" s="9" t="n">
        <v>150</v>
      </c>
      <c r="AY344" s="9" t="n">
        <v>100</v>
      </c>
      <c r="AZ344" s="9" t="n">
        <v>50</v>
      </c>
      <c r="BA344" s="9" t="n">
        <v>200</v>
      </c>
      <c r="BB344" s="9" t="n">
        <v>200</v>
      </c>
      <c r="BC344" s="9" t="n">
        <v>100</v>
      </c>
      <c r="BD344" s="9" t="n">
        <v>50</v>
      </c>
      <c r="BE344" s="9" t="n">
        <v>50</v>
      </c>
      <c r="BF344" s="9" t="n">
        <v>200</v>
      </c>
      <c r="BG344" s="9" t="n">
        <v>250</v>
      </c>
      <c r="BH344" s="9" t="n">
        <v>100</v>
      </c>
      <c r="BI344" s="9" t="n">
        <v>150</v>
      </c>
      <c r="BJ344" s="9" t="n">
        <v>50</v>
      </c>
      <c r="BK344" s="9" t="n">
        <v>150</v>
      </c>
      <c r="BL344" s="9"/>
      <c r="BM344" s="9" t="n">
        <v>100</v>
      </c>
      <c r="BN344" s="9" t="n">
        <v>200</v>
      </c>
      <c r="BO344" s="9" t="n">
        <v>100</v>
      </c>
      <c r="BP344" s="9" t="n">
        <v>100</v>
      </c>
      <c r="BQ344" s="9" t="n">
        <v>168</v>
      </c>
      <c r="BR344" s="9" t="n">
        <v>94</v>
      </c>
      <c r="BS344" s="9" t="n">
        <v>114</v>
      </c>
      <c r="BT344" s="9"/>
      <c r="BU344" s="10" t="n">
        <v>7626</v>
      </c>
      <c r="BV344" s="11" t="n">
        <f aca="false">IF(ISERROR(ROUND(MEDIAN(BQ344:BT344),0)),0,ROUND(MEDIAN(BQ344:BT344),0))</f>
        <v>114</v>
      </c>
      <c r="BW344" s="11" t="n">
        <f aca="false">IF(ISERROR(ROUND(MEDIAN(BM344:BT344),0)),0,ROUND(MEDIAN(BM344:BT344),0))</f>
        <v>100</v>
      </c>
      <c r="BX344" s="11" t="n">
        <f aca="false">IF(ISERROR(ROUND(MEDIAN(BI344:BT344),0)),0,ROUND(MEDIAN(BI344:BT344),0))</f>
        <v>107</v>
      </c>
      <c r="BY344" s="11" t="n">
        <f aca="false">IF(ISERROR(ROUND(MEDIAN(BE344:BT344),0)),0,ROUND(MEDIAN(BE344:BT344),0))</f>
        <v>107</v>
      </c>
      <c r="BZ344" s="11" t="n">
        <f aca="false">IF(ISERROR(ROUND(MEDIAN(AU344:BT344),0)),0,ROUND(MEDIAN(AU344:BT344),0))</f>
        <v>107</v>
      </c>
      <c r="CA344" s="12" t="n">
        <f aca="false">IF(ISERROR(ROUND(MEDIAN(U344:BT344),0)),0,ROUND(MEDIAN(U344:BT344),0))</f>
        <v>100</v>
      </c>
      <c r="CB344" s="12" t="n">
        <f aca="false">IF(ISERROR(ROUND(MEDIAN(BT344),0)),0,ROUND(MEDIAN(BT344),0))</f>
        <v>0</v>
      </c>
      <c r="CC344" s="12" t="n">
        <f aca="false">IF(ISERROR(ROUND(MEDIAN(D344:BT344),0)),0,ROUND(MEDIAN(D344:BT344),0))</f>
        <v>100</v>
      </c>
      <c r="CD344" s="12" t="n">
        <f aca="false">MAX(D344:BT344)</f>
        <v>350</v>
      </c>
      <c r="CE344" s="7" t="n">
        <f aca="false">COUNTA(BQ344:BT344)</f>
        <v>3</v>
      </c>
      <c r="CF344" s="7" t="n">
        <f aca="false">COUNTA(BM344:BT344)</f>
        <v>7</v>
      </c>
      <c r="CG344" s="7" t="n">
        <f aca="false">COUNTA(BI344:BT344)</f>
        <v>10</v>
      </c>
      <c r="CH344" s="7" t="n">
        <f aca="false">COUNTA(BE344:BT344)</f>
        <v>14</v>
      </c>
      <c r="CI344" s="7" t="n">
        <f aca="false">COUNTA(AU344:BT344)</f>
        <v>24</v>
      </c>
      <c r="CJ344" s="7" t="n">
        <f aca="false">COUNTA(U344:BT344)</f>
        <v>46</v>
      </c>
      <c r="CK344" s="7" t="n">
        <f aca="false">COUNTA(BT344)</f>
        <v>0</v>
      </c>
      <c r="CL344" s="7" t="n">
        <f aca="false">COUNTA(D344:BT344)</f>
        <v>60</v>
      </c>
      <c r="CM344" s="13" t="str">
        <f aca="false">IF(AND(CE344=1,CJ344=1,BT344&lt;&gt;""),"5.ENTRANTES",IF(AND(CE344&lt;&gt;0,CE344/RIGHT($CE$1,1)&gt;=0.5,CJ344=CE344),"4.RECENTES",IF(AND(CF344&lt;&gt;0,CF344/RIGHT($CF$1,1)&gt;=0.5,CJ344=CF344),"4.RECENTES",IF(AND(CG344&lt;&gt;0,CG344/RIGHT($CG$1,2)&gt;=0.5,CJ344=CG344),"4.RECENTES",IF(AND(CH344&lt;&gt;0,CH344/RIGHT($CH$1,2)&gt;=0.5,CJ344=CH344),"4.RECENTES",IF(AND(CI344&lt;&gt;0,CI344/RIGHT($CI$1,2)&gt;=0.5,CJ344=CI344),"4.RECENTES",IF(AND(CE344=0,CF344=0,CG344=0,CH344=0),"3.INATIVOS",IF(CJ344/RIGHT($CJ$1,2)&lt;0.5,"2.INTERMITENTES","1.ORDINÁRIOS"))))))))</f>
        <v>1.ORDINÁRIOS</v>
      </c>
      <c r="CN344" s="14" t="n">
        <f aca="false">IF(AND(CE344=1,CJ344=1,BT344&lt;&gt;""),BT344,IF(AND(CE344&lt;&gt;0,CE344/RIGHT($CE$1,1)&gt;=0.5,CJ344=CE344),MAX(BV344:CC344),IF(AND(CF344&lt;&gt;0,CF344/RIGHT($CF$1,1)&gt;=0.5,CJ344=CF344),MAX(BV344:CC344),IF(AND(CG344&lt;&gt;0,CG344/RIGHT($CG$1,2)&gt;=0.5,CJ344=CG344),MAX(BV344:CC344),IF(AND(CH344&lt;&gt;0,CH344/RIGHT($CH$1,2)&gt;=0.5,CJ344=CH344),MAX(BV344:CC344),IF(AND(CI344&lt;&gt;0,CI344/RIGHT($CI$1,2)&gt;=0.5,CJ344=CI344),MAX(BV344:CC344),IF(AND(CE344=0,CF344=0,CG344=0,CH344=0),0,IF(CJ344/RIGHT($CJ$1,2)&lt;0.5,ROUND(BU344/RIGHT($CJ$1,2),0),MAX(BV344:CC344)))))))))</f>
        <v>114</v>
      </c>
      <c r="CO344" s="14" t="n">
        <f aca="false">CN344*3</f>
        <v>342</v>
      </c>
      <c r="CP344" s="15" t="n">
        <v>206</v>
      </c>
      <c r="CQ344" s="16" t="n">
        <f aca="false">IF((CO344-CP344)&lt;0,0,(CO344-CP344))</f>
        <v>136</v>
      </c>
      <c r="CR344" s="7"/>
    </row>
    <row r="345" customFormat="false" ht="12.75" hidden="false" customHeight="true" outlineLevel="0" collapsed="false">
      <c r="A345" s="7" t="s">
        <v>447</v>
      </c>
      <c r="B345" s="7" t="s">
        <v>449</v>
      </c>
      <c r="C345" s="8" t="n">
        <v>21001068</v>
      </c>
      <c r="D345" s="9"/>
      <c r="E345" s="9" t="n">
        <v>50</v>
      </c>
      <c r="F345" s="9" t="n">
        <v>50</v>
      </c>
      <c r="G345" s="9"/>
      <c r="H345" s="9" t="n">
        <v>150</v>
      </c>
      <c r="I345" s="9"/>
      <c r="J345" s="9" t="n">
        <v>150</v>
      </c>
      <c r="K345" s="9" t="n">
        <v>100</v>
      </c>
      <c r="L345" s="9"/>
      <c r="M345" s="9" t="n">
        <v>100</v>
      </c>
      <c r="N345" s="9" t="n">
        <v>50</v>
      </c>
      <c r="O345" s="9" t="n">
        <v>150</v>
      </c>
      <c r="P345" s="9" t="n">
        <v>100</v>
      </c>
      <c r="Q345" s="9"/>
      <c r="R345" s="9"/>
      <c r="S345" s="9" t="n">
        <v>100</v>
      </c>
      <c r="T345" s="9" t="n">
        <v>100</v>
      </c>
      <c r="U345" s="9" t="n">
        <v>8</v>
      </c>
      <c r="V345" s="9"/>
      <c r="W345" s="9"/>
      <c r="X345" s="9" t="n">
        <v>50</v>
      </c>
      <c r="Y345" s="9" t="n">
        <v>50</v>
      </c>
      <c r="Z345" s="9" t="n">
        <v>100</v>
      </c>
      <c r="AA345" s="9"/>
      <c r="AB345" s="9"/>
      <c r="AC345" s="9"/>
      <c r="AD345" s="9"/>
      <c r="AE345" s="9" t="n">
        <v>50</v>
      </c>
      <c r="AF345" s="9" t="n">
        <v>50</v>
      </c>
      <c r="AG345" s="9"/>
      <c r="AH345" s="9" t="n">
        <v>50</v>
      </c>
      <c r="AI345" s="9" t="n">
        <v>150</v>
      </c>
      <c r="AJ345" s="9"/>
      <c r="AK345" s="9" t="n">
        <v>50</v>
      </c>
      <c r="AL345" s="9" t="n">
        <v>50</v>
      </c>
      <c r="AM345" s="9" t="n">
        <v>190</v>
      </c>
      <c r="AN345" s="9" t="n">
        <v>50</v>
      </c>
      <c r="AO345" s="9" t="n">
        <v>50</v>
      </c>
      <c r="AP345" s="9"/>
      <c r="AQ345" s="9" t="n">
        <v>50</v>
      </c>
      <c r="AR345" s="9" t="n">
        <v>240</v>
      </c>
      <c r="AS345" s="9"/>
      <c r="AT345" s="9"/>
      <c r="AU345" s="9" t="n">
        <v>100</v>
      </c>
      <c r="AV345" s="9" t="n">
        <v>100</v>
      </c>
      <c r="AW345" s="9"/>
      <c r="AX345" s="9"/>
      <c r="AY345" s="9" t="n">
        <v>50</v>
      </c>
      <c r="AZ345" s="9" t="n">
        <v>100</v>
      </c>
      <c r="BA345" s="9" t="n">
        <v>50</v>
      </c>
      <c r="BB345" s="9" t="n">
        <v>50</v>
      </c>
      <c r="BC345" s="9" t="n">
        <v>100</v>
      </c>
      <c r="BD345" s="9"/>
      <c r="BE345" s="9" t="n">
        <v>160</v>
      </c>
      <c r="BF345" s="9" t="n">
        <v>50</v>
      </c>
      <c r="BG345" s="9"/>
      <c r="BH345" s="9"/>
      <c r="BI345" s="9"/>
      <c r="BJ345" s="9" t="n">
        <v>150</v>
      </c>
      <c r="BK345" s="9"/>
      <c r="BL345" s="9"/>
      <c r="BM345" s="9"/>
      <c r="BN345" s="9"/>
      <c r="BO345" s="9" t="n">
        <v>50</v>
      </c>
      <c r="BP345" s="9"/>
      <c r="BQ345" s="9"/>
      <c r="BR345" s="9"/>
      <c r="BS345" s="9"/>
      <c r="BT345" s="9" t="n">
        <v>100</v>
      </c>
      <c r="BU345" s="10" t="n">
        <v>3348</v>
      </c>
      <c r="BV345" s="11" t="n">
        <f aca="false">IF(ISERROR(ROUND(MEDIAN(BQ345:BT345),0)),0,ROUND(MEDIAN(BQ345:BT345),0))</f>
        <v>100</v>
      </c>
      <c r="BW345" s="11" t="n">
        <f aca="false">IF(ISERROR(ROUND(MEDIAN(BM345:BT345),0)),0,ROUND(MEDIAN(BM345:BT345),0))</f>
        <v>75</v>
      </c>
      <c r="BX345" s="11" t="n">
        <f aca="false">IF(ISERROR(ROUND(MEDIAN(BI345:BT345),0)),0,ROUND(MEDIAN(BI345:BT345),0))</f>
        <v>100</v>
      </c>
      <c r="BY345" s="11" t="n">
        <f aca="false">IF(ISERROR(ROUND(MEDIAN(BE345:BT345),0)),0,ROUND(MEDIAN(BE345:BT345),0))</f>
        <v>100</v>
      </c>
      <c r="BZ345" s="11" t="n">
        <f aca="false">IF(ISERROR(ROUND(MEDIAN(AU345:BT345),0)),0,ROUND(MEDIAN(AU345:BT345),0))</f>
        <v>100</v>
      </c>
      <c r="CA345" s="12" t="n">
        <f aca="false">IF(ISERROR(ROUND(MEDIAN(U345:BT345),0)),0,ROUND(MEDIAN(U345:BT345),0))</f>
        <v>50</v>
      </c>
      <c r="CB345" s="12" t="n">
        <f aca="false">IF(ISERROR(ROUND(MEDIAN(BT345),0)),0,ROUND(MEDIAN(BT345),0))</f>
        <v>100</v>
      </c>
      <c r="CC345" s="12" t="n">
        <f aca="false">IF(ISERROR(ROUND(MEDIAN(D345:BT345),0)),0,ROUND(MEDIAN(D345:BT345),0))</f>
        <v>75</v>
      </c>
      <c r="CD345" s="12" t="n">
        <f aca="false">MAX(D345:BT345)</f>
        <v>240</v>
      </c>
      <c r="CE345" s="7" t="n">
        <f aca="false">COUNTA(BQ345:BT345)</f>
        <v>1</v>
      </c>
      <c r="CF345" s="7" t="n">
        <f aca="false">COUNTA(BM345:BT345)</f>
        <v>2</v>
      </c>
      <c r="CG345" s="7" t="n">
        <f aca="false">COUNTA(BI345:BT345)</f>
        <v>3</v>
      </c>
      <c r="CH345" s="7" t="n">
        <f aca="false">COUNTA(BE345:BT345)</f>
        <v>5</v>
      </c>
      <c r="CI345" s="7" t="n">
        <f aca="false">COUNTA(AU345:BT345)</f>
        <v>12</v>
      </c>
      <c r="CJ345" s="7" t="n">
        <f aca="false">COUNTA(U345:BT345)</f>
        <v>27</v>
      </c>
      <c r="CK345" s="7" t="n">
        <f aca="false">COUNTA(BT345)</f>
        <v>1</v>
      </c>
      <c r="CL345" s="7" t="n">
        <f aca="false">COUNTA(D345:BT345)</f>
        <v>38</v>
      </c>
      <c r="CM345" s="13" t="str">
        <f aca="false">IF(AND(CE345=1,CJ345=1,BT345&lt;&gt;""),"5.ENTRANTES",IF(AND(CE345&lt;&gt;0,CE345/RIGHT($CE$1,1)&gt;=0.5,CJ345=CE345),"4.RECENTES",IF(AND(CF345&lt;&gt;0,CF345/RIGHT($CF$1,1)&gt;=0.5,CJ345=CF345),"4.RECENTES",IF(AND(CG345&lt;&gt;0,CG345/RIGHT($CG$1,2)&gt;=0.5,CJ345=CG345),"4.RECENTES",IF(AND(CH345&lt;&gt;0,CH345/RIGHT($CH$1,2)&gt;=0.5,CJ345=CH345),"4.RECENTES",IF(AND(CI345&lt;&gt;0,CI345/RIGHT($CI$1,2)&gt;=0.5,CJ345=CI345),"4.RECENTES",IF(AND(CE345=0,CF345=0,CG345=0,CH345=0),"3.INATIVOS",IF(CJ345/RIGHT($CJ$1,2)&lt;0.5,"2.INTERMITENTES","1.ORDINÁRIOS"))))))))</f>
        <v>1.ORDINÁRIOS</v>
      </c>
      <c r="CN345" s="14" t="n">
        <f aca="false">IF(AND(CE345=1,CJ345=1,BT345&lt;&gt;""),BT345,IF(AND(CE345&lt;&gt;0,CE345/RIGHT($CE$1,1)&gt;=0.5,CJ345=CE345),MAX(BV345:CC345),IF(AND(CF345&lt;&gt;0,CF345/RIGHT($CF$1,1)&gt;=0.5,CJ345=CF345),MAX(BV345:CC345),IF(AND(CG345&lt;&gt;0,CG345/RIGHT($CG$1,2)&gt;=0.5,CJ345=CG345),MAX(BV345:CC345),IF(AND(CH345&lt;&gt;0,CH345/RIGHT($CH$1,2)&gt;=0.5,CJ345=CH345),MAX(BV345:CC345),IF(AND(CI345&lt;&gt;0,CI345/RIGHT($CI$1,2)&gt;=0.5,CJ345=CI345),MAX(BV345:CC345),IF(AND(CE345=0,CF345=0,CG345=0,CH345=0),0,IF(CJ345/RIGHT($CJ$1,2)&lt;0.5,ROUND(BU345/RIGHT($CJ$1,2),0),MAX(BV345:CC345)))))))))</f>
        <v>100</v>
      </c>
      <c r="CO345" s="14" t="n">
        <f aca="false">CN345*3</f>
        <v>300</v>
      </c>
      <c r="CP345" s="15" t="n">
        <v>200</v>
      </c>
      <c r="CQ345" s="16" t="n">
        <f aca="false">IF((CO345-CP345)&lt;0,0,(CO345-CP345))</f>
        <v>100</v>
      </c>
      <c r="CR345" s="7"/>
    </row>
    <row r="346" customFormat="false" ht="12.75" hidden="false" customHeight="true" outlineLevel="0" collapsed="false">
      <c r="A346" s="7" t="s">
        <v>447</v>
      </c>
      <c r="B346" s="7" t="s">
        <v>450</v>
      </c>
      <c r="C346" s="8" t="n">
        <v>21001069</v>
      </c>
      <c r="D346" s="9"/>
      <c r="E346" s="9"/>
      <c r="F346" s="9"/>
      <c r="G346" s="9"/>
      <c r="H346" s="9"/>
      <c r="I346" s="9"/>
      <c r="J346" s="9" t="n">
        <v>110</v>
      </c>
      <c r="K346" s="9"/>
      <c r="L346" s="9"/>
      <c r="M346" s="9" t="n">
        <v>110</v>
      </c>
      <c r="N346" s="9"/>
      <c r="O346" s="9"/>
      <c r="P346" s="9"/>
      <c r="Q346" s="9" t="n">
        <v>90</v>
      </c>
      <c r="R346" s="9"/>
      <c r="S346" s="9" t="n">
        <v>30</v>
      </c>
      <c r="T346" s="9"/>
      <c r="U346" s="9" t="n">
        <v>10</v>
      </c>
      <c r="V346" s="9"/>
      <c r="W346" s="9" t="n">
        <v>100</v>
      </c>
      <c r="X346" s="9"/>
      <c r="Y346" s="9"/>
      <c r="Z346" s="9" t="n">
        <v>120</v>
      </c>
      <c r="AA346" s="9"/>
      <c r="AB346" s="9"/>
      <c r="AC346" s="9"/>
      <c r="AD346" s="9" t="n">
        <v>100</v>
      </c>
      <c r="AE346" s="9"/>
      <c r="AF346" s="9"/>
      <c r="AG346" s="9"/>
      <c r="AH346" s="9" t="n">
        <v>110</v>
      </c>
      <c r="AI346" s="9"/>
      <c r="AJ346" s="9"/>
      <c r="AK346" s="9"/>
      <c r="AL346" s="9" t="n">
        <v>120</v>
      </c>
      <c r="AM346" s="9"/>
      <c r="AN346" s="9"/>
      <c r="AO346" s="9"/>
      <c r="AP346" s="9"/>
      <c r="AQ346" s="9" t="n">
        <v>120</v>
      </c>
      <c r="AR346" s="9"/>
      <c r="AS346" s="9" t="n">
        <v>30</v>
      </c>
      <c r="AT346" s="9"/>
      <c r="AU346" s="9" t="n">
        <v>150</v>
      </c>
      <c r="AV346" s="9"/>
      <c r="AW346" s="9"/>
      <c r="AX346" s="9"/>
      <c r="AY346" s="9" t="n">
        <v>150</v>
      </c>
      <c r="AZ346" s="9"/>
      <c r="BA346" s="9"/>
      <c r="BB346" s="9"/>
      <c r="BC346" s="9" t="n">
        <v>30</v>
      </c>
      <c r="BD346" s="9" t="n">
        <v>120</v>
      </c>
      <c r="BE346" s="9"/>
      <c r="BF346" s="9"/>
      <c r="BG346" s="9"/>
      <c r="BH346" s="9" t="n">
        <v>150</v>
      </c>
      <c r="BI346" s="9"/>
      <c r="BJ346" s="9"/>
      <c r="BK346" s="9"/>
      <c r="BL346" s="9" t="n">
        <v>50</v>
      </c>
      <c r="BM346" s="9" t="n">
        <v>50</v>
      </c>
      <c r="BN346" s="9" t="n">
        <v>50</v>
      </c>
      <c r="BO346" s="9"/>
      <c r="BP346" s="9" t="n">
        <v>50</v>
      </c>
      <c r="BQ346" s="9" t="n">
        <v>100</v>
      </c>
      <c r="BR346" s="9"/>
      <c r="BS346" s="9"/>
      <c r="BT346" s="9" t="n">
        <v>50</v>
      </c>
      <c r="BU346" s="10" t="n">
        <v>2000</v>
      </c>
      <c r="BV346" s="11" t="n">
        <f aca="false">IF(ISERROR(ROUND(MEDIAN(BQ346:BT346),0)),0,ROUND(MEDIAN(BQ346:BT346),0))</f>
        <v>75</v>
      </c>
      <c r="BW346" s="11" t="n">
        <f aca="false">IF(ISERROR(ROUND(MEDIAN(BM346:BT346),0)),0,ROUND(MEDIAN(BM346:BT346),0))</f>
        <v>50</v>
      </c>
      <c r="BX346" s="11" t="n">
        <f aca="false">IF(ISERROR(ROUND(MEDIAN(BI346:BT346),0)),0,ROUND(MEDIAN(BI346:BT346),0))</f>
        <v>50</v>
      </c>
      <c r="BY346" s="11" t="n">
        <f aca="false">IF(ISERROR(ROUND(MEDIAN(BE346:BT346),0)),0,ROUND(MEDIAN(BE346:BT346),0))</f>
        <v>50</v>
      </c>
      <c r="BZ346" s="11" t="n">
        <f aca="false">IF(ISERROR(ROUND(MEDIAN(AU346:BT346),0)),0,ROUND(MEDIAN(AU346:BT346),0))</f>
        <v>50</v>
      </c>
      <c r="CA346" s="12" t="n">
        <f aca="false">IF(ISERROR(ROUND(MEDIAN(U346:BT346),0)),0,ROUND(MEDIAN(U346:BT346),0))</f>
        <v>100</v>
      </c>
      <c r="CB346" s="12" t="n">
        <f aca="false">IF(ISERROR(ROUND(MEDIAN(BT346),0)),0,ROUND(MEDIAN(BT346),0))</f>
        <v>50</v>
      </c>
      <c r="CC346" s="12" t="n">
        <f aca="false">IF(ISERROR(ROUND(MEDIAN(D346:BT346),0)),0,ROUND(MEDIAN(D346:BT346),0))</f>
        <v>100</v>
      </c>
      <c r="CD346" s="12" t="n">
        <f aca="false">MAX(D346:BT346)</f>
        <v>150</v>
      </c>
      <c r="CE346" s="7" t="n">
        <f aca="false">COUNTA(BQ346:BT346)</f>
        <v>2</v>
      </c>
      <c r="CF346" s="7" t="n">
        <f aca="false">COUNTA(BM346:BT346)</f>
        <v>5</v>
      </c>
      <c r="CG346" s="7" t="n">
        <f aca="false">COUNTA(BI346:BT346)</f>
        <v>6</v>
      </c>
      <c r="CH346" s="7" t="n">
        <f aca="false">COUNTA(BE346:BT346)</f>
        <v>7</v>
      </c>
      <c r="CI346" s="7" t="n">
        <f aca="false">COUNTA(AU346:BT346)</f>
        <v>11</v>
      </c>
      <c r="CJ346" s="7" t="n">
        <f aca="false">COUNTA(U346:BT346)</f>
        <v>19</v>
      </c>
      <c r="CK346" s="7" t="n">
        <f aca="false">COUNTA(BT346)</f>
        <v>1</v>
      </c>
      <c r="CL346" s="7" t="n">
        <f aca="false">COUNTA(D346:BT346)</f>
        <v>23</v>
      </c>
      <c r="CM346" s="17" t="str">
        <f aca="false">IF(AND(CE346=1,CJ346=1,BT346&lt;&gt;""),"5.ENTRANTES",IF(AND(CE346&lt;&gt;0,CE346/RIGHT($CE$1,1)&gt;=0.5,CJ346=CE346),"4.RECENTES",IF(AND(CF346&lt;&gt;0,CF346/RIGHT($CF$1,1)&gt;=0.5,CJ346=CF346),"4.RECENTES",IF(AND(CG346&lt;&gt;0,CG346/RIGHT($CG$1,2)&gt;=0.5,CJ346=CG346),"4.RECENTES",IF(AND(CH346&lt;&gt;0,CH346/RIGHT($CH$1,2)&gt;=0.5,CJ346=CH346),"4.RECENTES",IF(AND(CI346&lt;&gt;0,CI346/RIGHT($CI$1,2)&gt;=0.5,CJ346=CI346),"4.RECENTES",IF(AND(CE346=0,CF346=0,CG346=0,CH346=0),"3.INATIVOS",IF(CJ346/RIGHT($CJ$1,2)&lt;0.5,"2.INTERMITENTES","1.ORDINÁRIOS"))))))))</f>
        <v>2.INTERMITENTES</v>
      </c>
      <c r="CN346" s="18" t="n">
        <f aca="false">IF(AND(CE346=1,CJ346=1,BT346&lt;&gt;""),BT346,IF(AND(CE346&lt;&gt;0,CE346/RIGHT($CE$1,1)&gt;=0.5,CJ346=CE346),MAX(BV346:CC346),IF(AND(CF346&lt;&gt;0,CF346/RIGHT($CF$1,1)&gt;=0.5,CJ346=CF346),MAX(BV346:CC346),IF(AND(CG346&lt;&gt;0,CG346/RIGHT($CG$1,2)&gt;=0.5,CJ346=CG346),MAX(BV346:CC346),IF(AND(CH346&lt;&gt;0,CH346/RIGHT($CH$1,2)&gt;=0.5,CJ346=CH346),MAX(BV346:CC346),IF(AND(CI346&lt;&gt;0,CI346/RIGHT($CI$1,2)&gt;=0.5,CJ346=CI346),MAX(BV346:CC346),IF(AND(CE346=0,CF346=0,CG346=0,CH346=0),0,IF(CJ346/RIGHT($CJ$1,2)&lt;0.5,ROUND(BU346/RIGHT($CJ$1,2),0),MAX(BV346:CC346)))))))))</f>
        <v>38</v>
      </c>
      <c r="CO346" s="18" t="n">
        <f aca="false">CD346</f>
        <v>150</v>
      </c>
      <c r="CP346" s="15" t="n">
        <v>0</v>
      </c>
      <c r="CQ346" s="16" t="n">
        <f aca="false">IF((CO346-CP346)&lt;0,0,(CO346-CP346))</f>
        <v>150</v>
      </c>
      <c r="CR346" s="7"/>
    </row>
    <row r="347" customFormat="false" ht="12.75" hidden="false" customHeight="true" outlineLevel="0" collapsed="false">
      <c r="A347" s="7" t="s">
        <v>447</v>
      </c>
      <c r="B347" s="7" t="s">
        <v>451</v>
      </c>
      <c r="C347" s="8" t="n">
        <v>320002004</v>
      </c>
      <c r="D347" s="9"/>
      <c r="E347" s="9" t="n">
        <v>138</v>
      </c>
      <c r="F347" s="9" t="n">
        <v>92</v>
      </c>
      <c r="G347" s="9" t="n">
        <v>138</v>
      </c>
      <c r="H347" s="9" t="n">
        <v>138</v>
      </c>
      <c r="I347" s="9" t="n">
        <v>46</v>
      </c>
      <c r="J347" s="9"/>
      <c r="K347" s="9"/>
      <c r="L347" s="9"/>
      <c r="M347" s="9" t="n">
        <v>183</v>
      </c>
      <c r="N347" s="9" t="n">
        <v>46</v>
      </c>
      <c r="O347" s="9" t="n">
        <v>138</v>
      </c>
      <c r="P347" s="9" t="n">
        <v>139</v>
      </c>
      <c r="Q347" s="9" t="n">
        <v>276</v>
      </c>
      <c r="R347" s="9"/>
      <c r="S347" s="9"/>
      <c r="T347" s="9" t="n">
        <v>138</v>
      </c>
      <c r="U347" s="9" t="n">
        <v>184</v>
      </c>
      <c r="V347" s="9" t="n">
        <v>184</v>
      </c>
      <c r="W347" s="9" t="n">
        <v>92</v>
      </c>
      <c r="X347" s="9"/>
      <c r="Y347" s="9" t="n">
        <v>92</v>
      </c>
      <c r="Z347" s="9" t="n">
        <v>230</v>
      </c>
      <c r="AA347" s="9" t="n">
        <v>230</v>
      </c>
      <c r="AB347" s="9"/>
      <c r="AC347" s="9" t="n">
        <v>184</v>
      </c>
      <c r="AD347" s="9" t="n">
        <v>182</v>
      </c>
      <c r="AE347" s="9" t="n">
        <v>184</v>
      </c>
      <c r="AF347" s="9" t="n">
        <v>92</v>
      </c>
      <c r="AG347" s="9"/>
      <c r="AH347" s="9" t="n">
        <v>184</v>
      </c>
      <c r="AI347" s="9" t="n">
        <v>140</v>
      </c>
      <c r="AJ347" s="9"/>
      <c r="AK347" s="9" t="n">
        <v>184</v>
      </c>
      <c r="AL347" s="9" t="n">
        <v>138</v>
      </c>
      <c r="AM347" s="9" t="n">
        <v>46</v>
      </c>
      <c r="AN347" s="9" t="n">
        <v>140</v>
      </c>
      <c r="AO347" s="9"/>
      <c r="AP347" s="9" t="n">
        <v>92</v>
      </c>
      <c r="AQ347" s="9" t="n">
        <v>92</v>
      </c>
      <c r="AR347" s="9" t="n">
        <v>138</v>
      </c>
      <c r="AS347" s="9"/>
      <c r="AT347" s="9" t="n">
        <v>46</v>
      </c>
      <c r="AU347" s="9" t="n">
        <v>92</v>
      </c>
      <c r="AV347" s="9" t="n">
        <v>92</v>
      </c>
      <c r="AW347" s="9" t="n">
        <v>92</v>
      </c>
      <c r="AX347" s="9" t="n">
        <v>138</v>
      </c>
      <c r="AY347" s="9" t="n">
        <v>136</v>
      </c>
      <c r="AZ347" s="9" t="n">
        <v>138</v>
      </c>
      <c r="BA347" s="9" t="n">
        <v>46</v>
      </c>
      <c r="BB347" s="9" t="n">
        <v>46</v>
      </c>
      <c r="BC347" s="9" t="n">
        <v>92</v>
      </c>
      <c r="BD347" s="9" t="n">
        <v>138</v>
      </c>
      <c r="BE347" s="9"/>
      <c r="BF347" s="9" t="n">
        <v>46</v>
      </c>
      <c r="BG347" s="9" t="n">
        <v>92</v>
      </c>
      <c r="BH347" s="9" t="n">
        <v>138</v>
      </c>
      <c r="BI347" s="9" t="n">
        <v>46</v>
      </c>
      <c r="BJ347" s="9" t="n">
        <v>46</v>
      </c>
      <c r="BK347" s="9" t="n">
        <v>46</v>
      </c>
      <c r="BL347" s="9"/>
      <c r="BM347" s="9" t="n">
        <v>230</v>
      </c>
      <c r="BN347" s="9" t="n">
        <v>138</v>
      </c>
      <c r="BO347" s="9" t="n">
        <v>134</v>
      </c>
      <c r="BP347" s="9" t="n">
        <v>46</v>
      </c>
      <c r="BQ347" s="9" t="n">
        <v>92</v>
      </c>
      <c r="BR347" s="9" t="n">
        <v>276</v>
      </c>
      <c r="BS347" s="9" t="n">
        <v>138</v>
      </c>
      <c r="BT347" s="9" t="n">
        <v>92</v>
      </c>
      <c r="BU347" s="10" t="n">
        <v>6896</v>
      </c>
      <c r="BV347" s="11" t="n">
        <f aca="false">IF(ISERROR(ROUND(MEDIAN(BQ347:BT347),0)),0,ROUND(MEDIAN(BQ347:BT347),0))</f>
        <v>115</v>
      </c>
      <c r="BW347" s="11" t="n">
        <f aca="false">IF(ISERROR(ROUND(MEDIAN(BM347:BT347),0)),0,ROUND(MEDIAN(BM347:BT347),0))</f>
        <v>136</v>
      </c>
      <c r="BX347" s="11" t="n">
        <f aca="false">IF(ISERROR(ROUND(MEDIAN(BI347:BT347),0)),0,ROUND(MEDIAN(BI347:BT347),0))</f>
        <v>92</v>
      </c>
      <c r="BY347" s="11" t="n">
        <f aca="false">IF(ISERROR(ROUND(MEDIAN(BE347:BT347),0)),0,ROUND(MEDIAN(BE347:BT347),0))</f>
        <v>92</v>
      </c>
      <c r="BZ347" s="11" t="n">
        <f aca="false">IF(ISERROR(ROUND(MEDIAN(AU347:BT347),0)),0,ROUND(MEDIAN(AU347:BT347),0))</f>
        <v>92</v>
      </c>
      <c r="CA347" s="12" t="n">
        <f aca="false">IF(ISERROR(ROUND(MEDIAN(U347:BT347),0)),0,ROUND(MEDIAN(U347:BT347),0))</f>
        <v>135</v>
      </c>
      <c r="CB347" s="12" t="n">
        <f aca="false">IF(ISERROR(ROUND(MEDIAN(BT347),0)),0,ROUND(MEDIAN(BT347),0))</f>
        <v>92</v>
      </c>
      <c r="CC347" s="12" t="n">
        <f aca="false">IF(ISERROR(ROUND(MEDIAN(D347:BT347),0)),0,ROUND(MEDIAN(D347:BT347),0))</f>
        <v>138</v>
      </c>
      <c r="CD347" s="12" t="n">
        <f aca="false">MAX(D347:BT347)</f>
        <v>276</v>
      </c>
      <c r="CE347" s="7" t="n">
        <f aca="false">COUNTA(BQ347:BT347)</f>
        <v>4</v>
      </c>
      <c r="CF347" s="7" t="n">
        <f aca="false">COUNTA(BM347:BT347)</f>
        <v>8</v>
      </c>
      <c r="CG347" s="7" t="n">
        <f aca="false">COUNTA(BI347:BT347)</f>
        <v>11</v>
      </c>
      <c r="CH347" s="7" t="n">
        <f aca="false">COUNTA(BE347:BT347)</f>
        <v>14</v>
      </c>
      <c r="CI347" s="7" t="n">
        <f aca="false">COUNTA(AU347:BT347)</f>
        <v>24</v>
      </c>
      <c r="CJ347" s="7" t="n">
        <f aca="false">COUNTA(U347:BT347)</f>
        <v>44</v>
      </c>
      <c r="CK347" s="7" t="n">
        <f aca="false">COUNTA(BT347)</f>
        <v>1</v>
      </c>
      <c r="CL347" s="7" t="n">
        <f aca="false">COUNTA(D347:BT347)</f>
        <v>55</v>
      </c>
      <c r="CM347" s="13" t="str">
        <f aca="false">IF(AND(CE347=1,CJ347=1,BT347&lt;&gt;""),"5.ENTRANTES",IF(AND(CE347&lt;&gt;0,CE347/RIGHT($CE$1,1)&gt;=0.5,CJ347=CE347),"4.RECENTES",IF(AND(CF347&lt;&gt;0,CF347/RIGHT($CF$1,1)&gt;=0.5,CJ347=CF347),"4.RECENTES",IF(AND(CG347&lt;&gt;0,CG347/RIGHT($CG$1,2)&gt;=0.5,CJ347=CG347),"4.RECENTES",IF(AND(CH347&lt;&gt;0,CH347/RIGHT($CH$1,2)&gt;=0.5,CJ347=CH347),"4.RECENTES",IF(AND(CI347&lt;&gt;0,CI347/RIGHT($CI$1,2)&gt;=0.5,CJ347=CI347),"4.RECENTES",IF(AND(CE347=0,CF347=0,CG347=0,CH347=0),"3.INATIVOS",IF(CJ347/RIGHT($CJ$1,2)&lt;0.5,"2.INTERMITENTES","1.ORDINÁRIOS"))))))))</f>
        <v>1.ORDINÁRIOS</v>
      </c>
      <c r="CN347" s="14" t="n">
        <f aca="false">IF(AND(CE347=1,CJ347=1,BT347&lt;&gt;""),BT347,IF(AND(CE347&lt;&gt;0,CE347/RIGHT($CE$1,1)&gt;=0.5,CJ347=CE347),MAX(BV347:CC347),IF(AND(CF347&lt;&gt;0,CF347/RIGHT($CF$1,1)&gt;=0.5,CJ347=CF347),MAX(BV347:CC347),IF(AND(CG347&lt;&gt;0,CG347/RIGHT($CG$1,2)&gt;=0.5,CJ347=CG347),MAX(BV347:CC347),IF(AND(CH347&lt;&gt;0,CH347/RIGHT($CH$1,2)&gt;=0.5,CJ347=CH347),MAX(BV347:CC347),IF(AND(CI347&lt;&gt;0,CI347/RIGHT($CI$1,2)&gt;=0.5,CJ347=CI347),MAX(BV347:CC347),IF(AND(CE347=0,CF347=0,CG347=0,CH347=0),0,IF(CJ347/RIGHT($CJ$1,2)&lt;0.5,ROUND(BU347/RIGHT($CJ$1,2),0),MAX(BV347:CC347)))))))))</f>
        <v>138</v>
      </c>
      <c r="CO347" s="14" t="n">
        <f aca="false">CN347*3</f>
        <v>414</v>
      </c>
      <c r="CP347" s="15" t="n">
        <v>234</v>
      </c>
      <c r="CQ347" s="16" t="n">
        <f aca="false">IF((CO347-CP347)&lt;0,0,(CO347-CP347))</f>
        <v>180</v>
      </c>
      <c r="CR347" s="7"/>
    </row>
    <row r="348" customFormat="false" ht="12.75" hidden="false" customHeight="true" outlineLevel="0" collapsed="false">
      <c r="A348" s="7" t="s">
        <v>447</v>
      </c>
      <c r="B348" s="7" t="s">
        <v>452</v>
      </c>
      <c r="C348" s="8" t="n">
        <v>21001106</v>
      </c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 t="n">
        <v>60</v>
      </c>
      <c r="AU348" s="9"/>
      <c r="AV348" s="9"/>
      <c r="AW348" s="9"/>
      <c r="AX348" s="9"/>
      <c r="AY348" s="9"/>
      <c r="AZ348" s="9"/>
      <c r="BA348" s="9"/>
      <c r="BB348" s="9" t="n">
        <v>30</v>
      </c>
      <c r="BC348" s="9"/>
      <c r="BD348" s="9"/>
      <c r="BE348" s="9"/>
      <c r="BF348" s="9"/>
      <c r="BG348" s="9"/>
      <c r="BH348" s="9"/>
      <c r="BI348" s="9" t="n">
        <v>30</v>
      </c>
      <c r="BJ348" s="9" t="n">
        <v>30</v>
      </c>
      <c r="BK348" s="9"/>
      <c r="BL348" s="9" t="n">
        <v>30</v>
      </c>
      <c r="BM348" s="9"/>
      <c r="BN348" s="9"/>
      <c r="BO348" s="9"/>
      <c r="BP348" s="9"/>
      <c r="BQ348" s="9"/>
      <c r="BR348" s="9"/>
      <c r="BS348" s="9"/>
      <c r="BT348" s="9"/>
      <c r="BU348" s="10" t="n">
        <v>180</v>
      </c>
      <c r="BV348" s="11" t="n">
        <f aca="false">IF(ISERROR(ROUND(MEDIAN(BQ348:BT348),0)),0,ROUND(MEDIAN(BQ348:BT348),0))</f>
        <v>0</v>
      </c>
      <c r="BW348" s="11" t="n">
        <f aca="false">IF(ISERROR(ROUND(MEDIAN(BM348:BT348),0)),0,ROUND(MEDIAN(BM348:BT348),0))</f>
        <v>0</v>
      </c>
      <c r="BX348" s="11" t="n">
        <f aca="false">IF(ISERROR(ROUND(MEDIAN(BI348:BT348),0)),0,ROUND(MEDIAN(BI348:BT348),0))</f>
        <v>30</v>
      </c>
      <c r="BY348" s="11" t="n">
        <f aca="false">IF(ISERROR(ROUND(MEDIAN(BE348:BT348),0)),0,ROUND(MEDIAN(BE348:BT348),0))</f>
        <v>30</v>
      </c>
      <c r="BZ348" s="11" t="n">
        <f aca="false">IF(ISERROR(ROUND(MEDIAN(AU348:BT348),0)),0,ROUND(MEDIAN(AU348:BT348),0))</f>
        <v>30</v>
      </c>
      <c r="CA348" s="12" t="n">
        <f aca="false">IF(ISERROR(ROUND(MEDIAN(U348:BT348),0)),0,ROUND(MEDIAN(U348:BT348),0))</f>
        <v>30</v>
      </c>
      <c r="CB348" s="12" t="n">
        <f aca="false">IF(ISERROR(ROUND(MEDIAN(BT348),0)),0,ROUND(MEDIAN(BT348),0))</f>
        <v>0</v>
      </c>
      <c r="CC348" s="12" t="n">
        <f aca="false">IF(ISERROR(ROUND(MEDIAN(D348:BT348),0)),0,ROUND(MEDIAN(D348:BT348),0))</f>
        <v>30</v>
      </c>
      <c r="CD348" s="12" t="n">
        <f aca="false">MAX(D348:BT348)</f>
        <v>60</v>
      </c>
      <c r="CE348" s="7" t="n">
        <f aca="false">COUNTA(BQ348:BT348)</f>
        <v>0</v>
      </c>
      <c r="CF348" s="7" t="n">
        <f aca="false">COUNTA(BM348:BT348)</f>
        <v>0</v>
      </c>
      <c r="CG348" s="7" t="n">
        <f aca="false">COUNTA(BI348:BT348)</f>
        <v>3</v>
      </c>
      <c r="CH348" s="7" t="n">
        <f aca="false">COUNTA(BE348:BT348)</f>
        <v>3</v>
      </c>
      <c r="CI348" s="7" t="n">
        <f aca="false">COUNTA(AU348:BT348)</f>
        <v>4</v>
      </c>
      <c r="CJ348" s="7" t="n">
        <f aca="false">COUNTA(U348:BT348)</f>
        <v>5</v>
      </c>
      <c r="CK348" s="7" t="n">
        <f aca="false">COUNTA(BT348)</f>
        <v>0</v>
      </c>
      <c r="CL348" s="7" t="n">
        <f aca="false">COUNTA(D348:BT348)</f>
        <v>5</v>
      </c>
      <c r="CM348" s="17" t="str">
        <f aca="false">IF(AND(CE348=1,CJ348=1,BT348&lt;&gt;""),"5.ENTRANTES",IF(AND(CE348&lt;&gt;0,CE348/RIGHT($CE$1,1)&gt;=0.5,CJ348=CE348),"4.RECENTES",IF(AND(CF348&lt;&gt;0,CF348/RIGHT($CF$1,1)&gt;=0.5,CJ348=CF348),"4.RECENTES",IF(AND(CG348&lt;&gt;0,CG348/RIGHT($CG$1,2)&gt;=0.5,CJ348=CG348),"4.RECENTES",IF(AND(CH348&lt;&gt;0,CH348/RIGHT($CH$1,2)&gt;=0.5,CJ348=CH348),"4.RECENTES",IF(AND(CI348&lt;&gt;0,CI348/RIGHT($CI$1,2)&gt;=0.5,CJ348=CI348),"4.RECENTES",IF(AND(CE348=0,CF348=0,CG348=0,CH348=0),"3.INATIVOS",IF(CJ348/RIGHT($CJ$1,2)&lt;0.5,"2.INTERMITENTES","1.ORDINÁRIOS"))))))))</f>
        <v>2.INTERMITENTES</v>
      </c>
      <c r="CN348" s="18" t="n">
        <f aca="false">IF(AND(CE348=1,CJ348=1,BT348&lt;&gt;""),BT348,IF(AND(CE348&lt;&gt;0,CE348/RIGHT($CE$1,1)&gt;=0.5,CJ348=CE348),MAX(BV348:CC348),IF(AND(CF348&lt;&gt;0,CF348/RIGHT($CF$1,1)&gt;=0.5,CJ348=CF348),MAX(BV348:CC348),IF(AND(CG348&lt;&gt;0,CG348/RIGHT($CG$1,2)&gt;=0.5,CJ348=CG348),MAX(BV348:CC348),IF(AND(CH348&lt;&gt;0,CH348/RIGHT($CH$1,2)&gt;=0.5,CJ348=CH348),MAX(BV348:CC348),IF(AND(CI348&lt;&gt;0,CI348/RIGHT($CI$1,2)&gt;=0.5,CJ348=CI348),MAX(BV348:CC348),IF(AND(CE348=0,CF348=0,CG348=0,CH348=0),0,IF(CJ348/RIGHT($CJ$1,2)&lt;0.5,ROUND(BU348/RIGHT($CJ$1,2),0),MAX(BV348:CC348)))))))))</f>
        <v>3</v>
      </c>
      <c r="CO348" s="18" t="n">
        <f aca="false">CD348</f>
        <v>60</v>
      </c>
      <c r="CP348" s="15" t="n">
        <v>120</v>
      </c>
      <c r="CQ348" s="16" t="n">
        <f aca="false">IF((CO348-CP348)&lt;0,0,(CO348-CP348))</f>
        <v>0</v>
      </c>
      <c r="CR348" s="7"/>
    </row>
    <row r="349" customFormat="false" ht="12.75" hidden="false" customHeight="true" outlineLevel="0" collapsed="false">
      <c r="A349" s="7" t="s">
        <v>453</v>
      </c>
      <c r="B349" s="7" t="s">
        <v>454</v>
      </c>
      <c r="C349" s="8" t="n">
        <v>301002004</v>
      </c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 t="n">
        <v>40</v>
      </c>
      <c r="AE349" s="9" t="n">
        <v>65</v>
      </c>
      <c r="AF349" s="9" t="n">
        <v>65</v>
      </c>
      <c r="AG349" s="9" t="n">
        <v>10</v>
      </c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9"/>
      <c r="AX349" s="9"/>
      <c r="AY349" s="9"/>
      <c r="AZ349" s="9"/>
      <c r="BA349" s="9" t="n">
        <v>20</v>
      </c>
      <c r="BB349" s="9" t="n">
        <v>10</v>
      </c>
      <c r="BC349" s="9"/>
      <c r="BD349" s="9"/>
      <c r="BE349" s="9"/>
      <c r="BF349" s="9"/>
      <c r="BG349" s="9" t="n">
        <v>10</v>
      </c>
      <c r="BH349" s="9" t="n">
        <v>30</v>
      </c>
      <c r="BI349" s="9" t="n">
        <v>6</v>
      </c>
      <c r="BJ349" s="9" t="n">
        <v>20</v>
      </c>
      <c r="BK349" s="9" t="n">
        <v>50</v>
      </c>
      <c r="BL349" s="9" t="n">
        <v>30</v>
      </c>
      <c r="BM349" s="9" t="n">
        <v>70</v>
      </c>
      <c r="BN349" s="9"/>
      <c r="BO349" s="9"/>
      <c r="BP349" s="9" t="n">
        <v>10</v>
      </c>
      <c r="BQ349" s="9" t="n">
        <v>20</v>
      </c>
      <c r="BR349" s="9"/>
      <c r="BS349" s="9"/>
      <c r="BT349" s="9"/>
      <c r="BU349" s="10" t="n">
        <v>456</v>
      </c>
      <c r="BV349" s="11" t="n">
        <f aca="false">IF(ISERROR(ROUND(MEDIAN(BQ349:BT349),0)),0,ROUND(MEDIAN(BQ349:BT349),0))</f>
        <v>20</v>
      </c>
      <c r="BW349" s="11" t="n">
        <f aca="false">IF(ISERROR(ROUND(MEDIAN(BM349:BT349),0)),0,ROUND(MEDIAN(BM349:BT349),0))</f>
        <v>20</v>
      </c>
      <c r="BX349" s="11" t="n">
        <f aca="false">IF(ISERROR(ROUND(MEDIAN(BI349:BT349),0)),0,ROUND(MEDIAN(BI349:BT349),0))</f>
        <v>20</v>
      </c>
      <c r="BY349" s="11" t="n">
        <f aca="false">IF(ISERROR(ROUND(MEDIAN(BE349:BT349),0)),0,ROUND(MEDIAN(BE349:BT349),0))</f>
        <v>20</v>
      </c>
      <c r="BZ349" s="11" t="n">
        <f aca="false">IF(ISERROR(ROUND(MEDIAN(AU349:BT349),0)),0,ROUND(MEDIAN(AU349:BT349),0))</f>
        <v>20</v>
      </c>
      <c r="CA349" s="12" t="n">
        <f aca="false">IF(ISERROR(ROUND(MEDIAN(U349:BT349),0)),0,ROUND(MEDIAN(U349:BT349),0))</f>
        <v>20</v>
      </c>
      <c r="CB349" s="12" t="n">
        <f aca="false">IF(ISERROR(ROUND(MEDIAN(BT349),0)),0,ROUND(MEDIAN(BT349),0))</f>
        <v>0</v>
      </c>
      <c r="CC349" s="12" t="n">
        <f aca="false">IF(ISERROR(ROUND(MEDIAN(D349:BT349),0)),0,ROUND(MEDIAN(D349:BT349),0))</f>
        <v>20</v>
      </c>
      <c r="CD349" s="12" t="n">
        <f aca="false">MAX(D349:BT349)</f>
        <v>70</v>
      </c>
      <c r="CE349" s="7" t="n">
        <f aca="false">COUNTA(BQ349:BT349)</f>
        <v>1</v>
      </c>
      <c r="CF349" s="7" t="n">
        <f aca="false">COUNTA(BM349:BT349)</f>
        <v>3</v>
      </c>
      <c r="CG349" s="7" t="n">
        <f aca="false">COUNTA(BI349:BT349)</f>
        <v>7</v>
      </c>
      <c r="CH349" s="7" t="n">
        <f aca="false">COUNTA(BE349:BT349)</f>
        <v>9</v>
      </c>
      <c r="CI349" s="7" t="n">
        <f aca="false">COUNTA(AU349:BT349)</f>
        <v>11</v>
      </c>
      <c r="CJ349" s="7" t="n">
        <f aca="false">COUNTA(U349:BT349)</f>
        <v>15</v>
      </c>
      <c r="CK349" s="7" t="n">
        <f aca="false">COUNTA(BT349)</f>
        <v>0</v>
      </c>
      <c r="CL349" s="7" t="n">
        <f aca="false">COUNTA(D349:BT349)</f>
        <v>15</v>
      </c>
      <c r="CM349" s="17" t="str">
        <f aca="false">IF(AND(CE349=1,CJ349=1,BT349&lt;&gt;""),"5.ENTRANTES",IF(AND(CE349&lt;&gt;0,CE349/RIGHT($CE$1,1)&gt;=0.5,CJ349=CE349),"4.RECENTES",IF(AND(CF349&lt;&gt;0,CF349/RIGHT($CF$1,1)&gt;=0.5,CJ349=CF349),"4.RECENTES",IF(AND(CG349&lt;&gt;0,CG349/RIGHT($CG$1,2)&gt;=0.5,CJ349=CG349),"4.RECENTES",IF(AND(CH349&lt;&gt;0,CH349/RIGHT($CH$1,2)&gt;=0.5,CJ349=CH349),"4.RECENTES",IF(AND(CI349&lt;&gt;0,CI349/RIGHT($CI$1,2)&gt;=0.5,CJ349=CI349),"4.RECENTES",IF(AND(CE349=0,CF349=0,CG349=0,CH349=0),"3.INATIVOS",IF(CJ349/RIGHT($CJ$1,2)&lt;0.5,"2.INTERMITENTES","1.ORDINÁRIOS"))))))))</f>
        <v>2.INTERMITENTES</v>
      </c>
      <c r="CN349" s="18" t="n">
        <f aca="false">IF(AND(CE349=1,CJ349=1,BT349&lt;&gt;""),BT349,IF(AND(CE349&lt;&gt;0,CE349/RIGHT($CE$1,1)&gt;=0.5,CJ349=CE349),MAX(BV349:CC349),IF(AND(CF349&lt;&gt;0,CF349/RIGHT($CF$1,1)&gt;=0.5,CJ349=CF349),MAX(BV349:CC349),IF(AND(CG349&lt;&gt;0,CG349/RIGHT($CG$1,2)&gt;=0.5,CJ349=CG349),MAX(BV349:CC349),IF(AND(CH349&lt;&gt;0,CH349/RIGHT($CH$1,2)&gt;=0.5,CJ349=CH349),MAX(BV349:CC349),IF(AND(CI349&lt;&gt;0,CI349/RIGHT($CI$1,2)&gt;=0.5,CJ349=CI349),MAX(BV349:CC349),IF(AND(CE349=0,CF349=0,CG349=0,CH349=0),0,IF(CJ349/RIGHT($CJ$1,2)&lt;0.5,ROUND(BU349/RIGHT($CJ$1,2),0),MAX(BV349:CC349)))))))))</f>
        <v>9</v>
      </c>
      <c r="CO349" s="18" t="n">
        <f aca="false">CD349</f>
        <v>70</v>
      </c>
      <c r="CP349" s="15" t="n">
        <v>70</v>
      </c>
      <c r="CQ349" s="16" t="n">
        <f aca="false">IF((CO349-CP349)&lt;0,0,(CO349-CP349))</f>
        <v>0</v>
      </c>
      <c r="CR349" s="7"/>
    </row>
    <row r="350" customFormat="false" ht="12.75" hidden="false" customHeight="true" outlineLevel="0" collapsed="false">
      <c r="A350" s="7" t="s">
        <v>453</v>
      </c>
      <c r="B350" s="7" t="s">
        <v>455</v>
      </c>
      <c r="C350" s="8" t="n">
        <v>301002003</v>
      </c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  <c r="AW350" s="9"/>
      <c r="AX350" s="9"/>
      <c r="AY350" s="9"/>
      <c r="AZ350" s="9"/>
      <c r="BA350" s="9"/>
      <c r="BB350" s="9"/>
      <c r="BC350" s="9"/>
      <c r="BD350" s="9"/>
      <c r="BE350" s="9"/>
      <c r="BF350" s="9"/>
      <c r="BG350" s="9"/>
      <c r="BH350" s="9"/>
      <c r="BI350" s="9"/>
      <c r="BJ350" s="9"/>
      <c r="BK350" s="9" t="n">
        <v>40</v>
      </c>
      <c r="BL350" s="9" t="n">
        <v>30</v>
      </c>
      <c r="BM350" s="9" t="n">
        <v>70</v>
      </c>
      <c r="BN350" s="9"/>
      <c r="BO350" s="9"/>
      <c r="BP350" s="9" t="n">
        <v>10</v>
      </c>
      <c r="BQ350" s="9" t="n">
        <v>20</v>
      </c>
      <c r="BR350" s="9"/>
      <c r="BS350" s="9"/>
      <c r="BT350" s="9"/>
      <c r="BU350" s="10" t="n">
        <v>170</v>
      </c>
      <c r="BV350" s="11" t="n">
        <f aca="false">IF(ISERROR(ROUND(MEDIAN(BQ350:BT350),0)),0,ROUND(MEDIAN(BQ350:BT350),0))</f>
        <v>20</v>
      </c>
      <c r="BW350" s="11" t="n">
        <f aca="false">IF(ISERROR(ROUND(MEDIAN(BM350:BT350),0)),0,ROUND(MEDIAN(BM350:BT350),0))</f>
        <v>20</v>
      </c>
      <c r="BX350" s="11" t="n">
        <f aca="false">IF(ISERROR(ROUND(MEDIAN(BI350:BT350),0)),0,ROUND(MEDIAN(BI350:BT350),0))</f>
        <v>30</v>
      </c>
      <c r="BY350" s="11" t="n">
        <f aca="false">IF(ISERROR(ROUND(MEDIAN(BE350:BT350),0)),0,ROUND(MEDIAN(BE350:BT350),0))</f>
        <v>30</v>
      </c>
      <c r="BZ350" s="11" t="n">
        <f aca="false">IF(ISERROR(ROUND(MEDIAN(AU350:BT350),0)),0,ROUND(MEDIAN(AU350:BT350),0))</f>
        <v>30</v>
      </c>
      <c r="CA350" s="12" t="n">
        <f aca="false">IF(ISERROR(ROUND(MEDIAN(U350:BT350),0)),0,ROUND(MEDIAN(U350:BT350),0))</f>
        <v>30</v>
      </c>
      <c r="CB350" s="12" t="n">
        <f aca="false">IF(ISERROR(ROUND(MEDIAN(BT350),0)),0,ROUND(MEDIAN(BT350),0))</f>
        <v>0</v>
      </c>
      <c r="CC350" s="12" t="n">
        <f aca="false">IF(ISERROR(ROUND(MEDIAN(D350:BT350),0)),0,ROUND(MEDIAN(D350:BT350),0))</f>
        <v>30</v>
      </c>
      <c r="CD350" s="12" t="n">
        <f aca="false">MAX(D350:BT350)</f>
        <v>70</v>
      </c>
      <c r="CE350" s="7" t="n">
        <f aca="false">COUNTA(BQ350:BT350)</f>
        <v>1</v>
      </c>
      <c r="CF350" s="7" t="n">
        <f aca="false">COUNTA(BM350:BT350)</f>
        <v>3</v>
      </c>
      <c r="CG350" s="7" t="n">
        <f aca="false">COUNTA(BI350:BT350)</f>
        <v>5</v>
      </c>
      <c r="CH350" s="7" t="n">
        <f aca="false">COUNTA(BE350:BT350)</f>
        <v>5</v>
      </c>
      <c r="CI350" s="7" t="n">
        <f aca="false">COUNTA(AU350:BT350)</f>
        <v>5</v>
      </c>
      <c r="CJ350" s="7" t="n">
        <f aca="false">COUNTA(U350:BT350)</f>
        <v>5</v>
      </c>
      <c r="CK350" s="7" t="n">
        <f aca="false">COUNTA(BT350)</f>
        <v>0</v>
      </c>
      <c r="CL350" s="7" t="n">
        <f aca="false">COUNTA(D350:BT350)</f>
        <v>5</v>
      </c>
      <c r="CM350" s="17" t="str">
        <f aca="false">IF(AND(CE350=1,CJ350=1,BT350&lt;&gt;""),"5.ENTRANTES",IF(AND(CE350&lt;&gt;0,CE350/RIGHT($CE$1,1)&gt;=0.5,CJ350=CE350),"4.RECENTES",IF(AND(CF350&lt;&gt;0,CF350/RIGHT($CF$1,1)&gt;=0.5,CJ350=CF350),"4.RECENTES",IF(AND(CG350&lt;&gt;0,CG350/RIGHT($CG$1,2)&gt;=0.5,CJ350=CG350),"4.RECENTES",IF(AND(CH350&lt;&gt;0,CH350/RIGHT($CH$1,2)&gt;=0.5,CJ350=CH350),"4.RECENTES",IF(AND(CI350&lt;&gt;0,CI350/RIGHT($CI$1,2)&gt;=0.5,CJ350=CI350),"4.RECENTES",IF(AND(CE350=0,CF350=0,CG350=0,CH350=0),"3.INATIVOS",IF(CJ350/RIGHT($CJ$1,2)&lt;0.5,"2.INTERMITENTES","1.ORDINÁRIOS"))))))))</f>
        <v>2.INTERMITENTES</v>
      </c>
      <c r="CN350" s="18" t="n">
        <f aca="false">IF(AND(CE350=1,CJ350=1,BT350&lt;&gt;""),BT350,IF(AND(CE350&lt;&gt;0,CE350/RIGHT($CE$1,1)&gt;=0.5,CJ350=CE350),MAX(BV350:CC350),IF(AND(CF350&lt;&gt;0,CF350/RIGHT($CF$1,1)&gt;=0.5,CJ350=CF350),MAX(BV350:CC350),IF(AND(CG350&lt;&gt;0,CG350/RIGHT($CG$1,2)&gt;=0.5,CJ350=CG350),MAX(BV350:CC350),IF(AND(CH350&lt;&gt;0,CH350/RIGHT($CH$1,2)&gt;=0.5,CJ350=CH350),MAX(BV350:CC350),IF(AND(CI350&lt;&gt;0,CI350/RIGHT($CI$1,2)&gt;=0.5,CJ350=CI350),MAX(BV350:CC350),IF(AND(CE350=0,CF350=0,CG350=0,CH350=0),0,IF(CJ350/RIGHT($CJ$1,2)&lt;0.5,ROUND(BU350/RIGHT($CJ$1,2),0),MAX(BV350:CC350)))))))))</f>
        <v>3</v>
      </c>
      <c r="CO350" s="18" t="n">
        <f aca="false">CD350</f>
        <v>70</v>
      </c>
      <c r="CP350" s="15" t="n">
        <v>50</v>
      </c>
      <c r="CQ350" s="16" t="n">
        <f aca="false">IF((CO350-CP350)&lt;0,0,(CO350-CP350))</f>
        <v>20</v>
      </c>
      <c r="CR350" s="7"/>
    </row>
    <row r="351" customFormat="false" ht="12.75" hidden="false" customHeight="true" outlineLevel="0" collapsed="false">
      <c r="A351" s="7" t="s">
        <v>453</v>
      </c>
      <c r="B351" s="7" t="s">
        <v>456</v>
      </c>
      <c r="C351" s="8" t="n">
        <v>301002005</v>
      </c>
      <c r="D351" s="9"/>
      <c r="E351" s="9"/>
      <c r="F351" s="9" t="n">
        <v>10</v>
      </c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 t="n">
        <v>10</v>
      </c>
      <c r="V351" s="9"/>
      <c r="W351" s="9"/>
      <c r="X351" s="9"/>
      <c r="Y351" s="9"/>
      <c r="Z351" s="9"/>
      <c r="AA351" s="9" t="n">
        <v>20</v>
      </c>
      <c r="AB351" s="9"/>
      <c r="AC351" s="9"/>
      <c r="AD351" s="9" t="n">
        <v>10</v>
      </c>
      <c r="AE351" s="9"/>
      <c r="AF351" s="9"/>
      <c r="AG351" s="9" t="n">
        <v>20</v>
      </c>
      <c r="AH351" s="9" t="n">
        <v>24</v>
      </c>
      <c r="AI351" s="9" t="n">
        <v>20</v>
      </c>
      <c r="AJ351" s="9" t="n">
        <v>20</v>
      </c>
      <c r="AK351" s="9"/>
      <c r="AL351" s="9" t="n">
        <v>10</v>
      </c>
      <c r="AM351" s="9" t="n">
        <v>60</v>
      </c>
      <c r="AN351" s="9" t="n">
        <v>20</v>
      </c>
      <c r="AO351" s="9"/>
      <c r="AP351" s="9" t="n">
        <v>10</v>
      </c>
      <c r="AQ351" s="9"/>
      <c r="AR351" s="9" t="n">
        <v>10</v>
      </c>
      <c r="AS351" s="9" t="n">
        <v>20</v>
      </c>
      <c r="AT351" s="9"/>
      <c r="AU351" s="9"/>
      <c r="AV351" s="9" t="n">
        <v>10</v>
      </c>
      <c r="AW351" s="9"/>
      <c r="AX351" s="9"/>
      <c r="AY351" s="9"/>
      <c r="AZ351" s="9"/>
      <c r="BA351" s="9"/>
      <c r="BB351" s="9" t="n">
        <v>10</v>
      </c>
      <c r="BC351" s="9"/>
      <c r="BD351" s="9" t="n">
        <v>10</v>
      </c>
      <c r="BE351" s="9" t="n">
        <v>20</v>
      </c>
      <c r="BF351" s="9" t="n">
        <v>10</v>
      </c>
      <c r="BG351" s="9" t="n">
        <v>30</v>
      </c>
      <c r="BH351" s="9" t="n">
        <v>240</v>
      </c>
      <c r="BI351" s="9" t="n">
        <v>120</v>
      </c>
      <c r="BJ351" s="9" t="n">
        <v>190</v>
      </c>
      <c r="BK351" s="9" t="n">
        <v>100</v>
      </c>
      <c r="BL351" s="9"/>
      <c r="BM351" s="9"/>
      <c r="BN351" s="9"/>
      <c r="BO351" s="9"/>
      <c r="BP351" s="9"/>
      <c r="BQ351" s="9"/>
      <c r="BR351" s="9"/>
      <c r="BS351" s="9"/>
      <c r="BT351" s="9"/>
      <c r="BU351" s="10" t="n">
        <v>1004</v>
      </c>
      <c r="BV351" s="11" t="n">
        <f aca="false">IF(ISERROR(ROUND(MEDIAN(BQ351:BT351),0)),0,ROUND(MEDIAN(BQ351:BT351),0))</f>
        <v>0</v>
      </c>
      <c r="BW351" s="11" t="n">
        <f aca="false">IF(ISERROR(ROUND(MEDIAN(BM351:BT351),0)),0,ROUND(MEDIAN(BM351:BT351),0))</f>
        <v>0</v>
      </c>
      <c r="BX351" s="11" t="n">
        <f aca="false">IF(ISERROR(ROUND(MEDIAN(BI351:BT351),0)),0,ROUND(MEDIAN(BI351:BT351),0))</f>
        <v>120</v>
      </c>
      <c r="BY351" s="11" t="n">
        <f aca="false">IF(ISERROR(ROUND(MEDIAN(BE351:BT351),0)),0,ROUND(MEDIAN(BE351:BT351),0))</f>
        <v>100</v>
      </c>
      <c r="BZ351" s="11" t="n">
        <f aca="false">IF(ISERROR(ROUND(MEDIAN(AU351:BT351),0)),0,ROUND(MEDIAN(AU351:BT351),0))</f>
        <v>25</v>
      </c>
      <c r="CA351" s="12" t="n">
        <f aca="false">IF(ISERROR(ROUND(MEDIAN(U351:BT351),0)),0,ROUND(MEDIAN(U351:BT351),0))</f>
        <v>20</v>
      </c>
      <c r="CB351" s="12" t="n">
        <f aca="false">IF(ISERROR(ROUND(MEDIAN(BT351),0)),0,ROUND(MEDIAN(BT351),0))</f>
        <v>0</v>
      </c>
      <c r="CC351" s="12" t="n">
        <f aca="false">IF(ISERROR(ROUND(MEDIAN(D351:BT351),0)),0,ROUND(MEDIAN(D351:BT351),0))</f>
        <v>20</v>
      </c>
      <c r="CD351" s="12" t="n">
        <f aca="false">MAX(D351:BT351)</f>
        <v>240</v>
      </c>
      <c r="CE351" s="7" t="n">
        <f aca="false">COUNTA(BQ351:BT351)</f>
        <v>0</v>
      </c>
      <c r="CF351" s="7" t="n">
        <f aca="false">COUNTA(BM351:BT351)</f>
        <v>0</v>
      </c>
      <c r="CG351" s="7" t="n">
        <f aca="false">COUNTA(BI351:BT351)</f>
        <v>3</v>
      </c>
      <c r="CH351" s="7" t="n">
        <f aca="false">COUNTA(BE351:BT351)</f>
        <v>7</v>
      </c>
      <c r="CI351" s="7" t="n">
        <f aca="false">COUNTA(AU351:BT351)</f>
        <v>10</v>
      </c>
      <c r="CJ351" s="7" t="n">
        <f aca="false">COUNTA(U351:BT351)</f>
        <v>23</v>
      </c>
      <c r="CK351" s="7" t="n">
        <f aca="false">COUNTA(BT351)</f>
        <v>0</v>
      </c>
      <c r="CL351" s="7" t="n">
        <f aca="false">COUNTA(D351:BT351)</f>
        <v>24</v>
      </c>
      <c r="CM351" s="17" t="str">
        <f aca="false">IF(AND(CE351=1,CJ351=1,BT351&lt;&gt;""),"5.ENTRANTES",IF(AND(CE351&lt;&gt;0,CE351/RIGHT($CE$1,1)&gt;=0.5,CJ351=CE351),"4.RECENTES",IF(AND(CF351&lt;&gt;0,CF351/RIGHT($CF$1,1)&gt;=0.5,CJ351=CF351),"4.RECENTES",IF(AND(CG351&lt;&gt;0,CG351/RIGHT($CG$1,2)&gt;=0.5,CJ351=CG351),"4.RECENTES",IF(AND(CH351&lt;&gt;0,CH351/RIGHT($CH$1,2)&gt;=0.5,CJ351=CH351),"4.RECENTES",IF(AND(CI351&lt;&gt;0,CI351/RIGHT($CI$1,2)&gt;=0.5,CJ351=CI351),"4.RECENTES",IF(AND(CE351=0,CF351=0,CG351=0,CH351=0),"3.INATIVOS",IF(CJ351/RIGHT($CJ$1,2)&lt;0.5,"2.INTERMITENTES","1.ORDINÁRIOS"))))))))</f>
        <v>2.INTERMITENTES</v>
      </c>
      <c r="CN351" s="18" t="n">
        <f aca="false">IF(AND(CE351=1,CJ351=1,BT351&lt;&gt;""),BT351,IF(AND(CE351&lt;&gt;0,CE351/RIGHT($CE$1,1)&gt;=0.5,CJ351=CE351),MAX(BV351:CC351),IF(AND(CF351&lt;&gt;0,CF351/RIGHT($CF$1,1)&gt;=0.5,CJ351=CF351),MAX(BV351:CC351),IF(AND(CG351&lt;&gt;0,CG351/RIGHT($CG$1,2)&gt;=0.5,CJ351=CG351),MAX(BV351:CC351),IF(AND(CH351&lt;&gt;0,CH351/RIGHT($CH$1,2)&gt;=0.5,CJ351=CH351),MAX(BV351:CC351),IF(AND(CI351&lt;&gt;0,CI351/RIGHT($CI$1,2)&gt;=0.5,CJ351=CI351),MAX(BV351:CC351),IF(AND(CE351=0,CF351=0,CG351=0,CH351=0),0,IF(CJ351/RIGHT($CJ$1,2)&lt;0.5,ROUND(BU351/RIGHT($CJ$1,2),0),MAX(BV351:CC351)))))))))</f>
        <v>19</v>
      </c>
      <c r="CO351" s="18" t="n">
        <f aca="false">CD351</f>
        <v>240</v>
      </c>
      <c r="CP351" s="15" t="n">
        <v>0</v>
      </c>
      <c r="CQ351" s="16" t="n">
        <f aca="false">IF((CO351-CP351)&lt;0,0,(CO351-CP351))</f>
        <v>240</v>
      </c>
      <c r="CR351" s="7"/>
    </row>
    <row r="352" customFormat="false" ht="12.75" hidden="false" customHeight="true" outlineLevel="0" collapsed="false">
      <c r="A352" s="7" t="s">
        <v>453</v>
      </c>
      <c r="B352" s="7" t="s">
        <v>457</v>
      </c>
      <c r="C352" s="8" t="n">
        <v>3000006</v>
      </c>
      <c r="D352" s="9" t="n">
        <v>18</v>
      </c>
      <c r="E352" s="9" t="n">
        <v>62</v>
      </c>
      <c r="F352" s="9" t="n">
        <v>47</v>
      </c>
      <c r="G352" s="9" t="n">
        <v>26</v>
      </c>
      <c r="H352" s="9" t="n">
        <v>41</v>
      </c>
      <c r="I352" s="9" t="n">
        <v>55</v>
      </c>
      <c r="J352" s="9" t="n">
        <v>88</v>
      </c>
      <c r="K352" s="9" t="n">
        <v>46</v>
      </c>
      <c r="L352" s="9" t="n">
        <v>59</v>
      </c>
      <c r="M352" s="9" t="n">
        <v>72</v>
      </c>
      <c r="N352" s="9" t="n">
        <v>71</v>
      </c>
      <c r="O352" s="9" t="n">
        <v>54</v>
      </c>
      <c r="P352" s="9" t="n">
        <v>44</v>
      </c>
      <c r="Q352" s="9" t="n">
        <v>48</v>
      </c>
      <c r="R352" s="9" t="n">
        <v>113</v>
      </c>
      <c r="S352" s="9" t="n">
        <v>53</v>
      </c>
      <c r="T352" s="9" t="n">
        <v>46</v>
      </c>
      <c r="U352" s="9" t="n">
        <v>44</v>
      </c>
      <c r="V352" s="9" t="n">
        <v>59</v>
      </c>
      <c r="W352" s="9" t="n">
        <v>80</v>
      </c>
      <c r="X352" s="9" t="n">
        <v>63</v>
      </c>
      <c r="Y352" s="9" t="n">
        <v>64</v>
      </c>
      <c r="Z352" s="9" t="n">
        <v>45</v>
      </c>
      <c r="AA352" s="9" t="n">
        <v>72</v>
      </c>
      <c r="AB352" s="9" t="n">
        <v>67</v>
      </c>
      <c r="AC352" s="9" t="n">
        <v>60</v>
      </c>
      <c r="AD352" s="9" t="n">
        <v>78</v>
      </c>
      <c r="AE352" s="9" t="n">
        <v>64</v>
      </c>
      <c r="AF352" s="9" t="n">
        <v>55</v>
      </c>
      <c r="AG352" s="9" t="n">
        <v>66</v>
      </c>
      <c r="AH352" s="9" t="n">
        <v>67</v>
      </c>
      <c r="AI352" s="9" t="n">
        <v>50</v>
      </c>
      <c r="AJ352" s="9" t="n">
        <v>72</v>
      </c>
      <c r="AK352" s="9" t="n">
        <v>60</v>
      </c>
      <c r="AL352" s="9" t="n">
        <v>56</v>
      </c>
      <c r="AM352" s="9" t="n">
        <v>50</v>
      </c>
      <c r="AN352" s="9" t="n">
        <v>87</v>
      </c>
      <c r="AO352" s="9" t="n">
        <v>47</v>
      </c>
      <c r="AP352" s="9" t="n">
        <v>57</v>
      </c>
      <c r="AQ352" s="9" t="n">
        <v>63</v>
      </c>
      <c r="AR352" s="9" t="n">
        <v>69</v>
      </c>
      <c r="AS352" s="9" t="n">
        <v>52</v>
      </c>
      <c r="AT352" s="9" t="n">
        <v>67</v>
      </c>
      <c r="AU352" s="9" t="n">
        <v>38</v>
      </c>
      <c r="AV352" s="9" t="n">
        <v>66</v>
      </c>
      <c r="AW352" s="9" t="n">
        <v>49</v>
      </c>
      <c r="AX352" s="9" t="n">
        <v>52</v>
      </c>
      <c r="AY352" s="9" t="n">
        <v>53</v>
      </c>
      <c r="AZ352" s="9" t="n">
        <v>37</v>
      </c>
      <c r="BA352" s="9" t="n">
        <v>46</v>
      </c>
      <c r="BB352" s="9" t="n">
        <v>35</v>
      </c>
      <c r="BC352" s="9" t="n">
        <v>71</v>
      </c>
      <c r="BD352" s="9" t="n">
        <v>62</v>
      </c>
      <c r="BE352" s="9" t="n">
        <v>33</v>
      </c>
      <c r="BF352" s="9" t="n">
        <v>65</v>
      </c>
      <c r="BG352" s="9" t="n">
        <v>48</v>
      </c>
      <c r="BH352" s="9" t="n">
        <v>55</v>
      </c>
      <c r="BI352" s="9" t="n">
        <v>30</v>
      </c>
      <c r="BJ352" s="9" t="n">
        <v>49</v>
      </c>
      <c r="BK352" s="9" t="n">
        <v>50</v>
      </c>
      <c r="BL352" s="9" t="n">
        <v>60</v>
      </c>
      <c r="BM352" s="9" t="n">
        <v>40</v>
      </c>
      <c r="BN352" s="9" t="n">
        <v>48</v>
      </c>
      <c r="BO352" s="9" t="n">
        <v>35</v>
      </c>
      <c r="BP352" s="9" t="n">
        <v>64</v>
      </c>
      <c r="BQ352" s="9" t="n">
        <v>78</v>
      </c>
      <c r="BR352" s="9" t="n">
        <v>39</v>
      </c>
      <c r="BS352" s="9" t="n">
        <v>41</v>
      </c>
      <c r="BT352" s="9" t="n">
        <v>50</v>
      </c>
      <c r="BU352" s="10" t="n">
        <v>3851</v>
      </c>
      <c r="BV352" s="11" t="n">
        <f aca="false">IF(ISERROR(ROUND(MEDIAN(BQ352:BT352),0)),0,ROUND(MEDIAN(BQ352:BT352),0))</f>
        <v>46</v>
      </c>
      <c r="BW352" s="11" t="n">
        <f aca="false">IF(ISERROR(ROUND(MEDIAN(BM352:BT352),0)),0,ROUND(MEDIAN(BM352:BT352),0))</f>
        <v>45</v>
      </c>
      <c r="BX352" s="11" t="n">
        <f aca="false">IF(ISERROR(ROUND(MEDIAN(BI352:BT352),0)),0,ROUND(MEDIAN(BI352:BT352),0))</f>
        <v>49</v>
      </c>
      <c r="BY352" s="11" t="n">
        <f aca="false">IF(ISERROR(ROUND(MEDIAN(BE352:BT352),0)),0,ROUND(MEDIAN(BE352:BT352),0))</f>
        <v>49</v>
      </c>
      <c r="BZ352" s="11" t="n">
        <f aca="false">IF(ISERROR(ROUND(MEDIAN(AU352:BT352),0)),0,ROUND(MEDIAN(AU352:BT352),0))</f>
        <v>49</v>
      </c>
      <c r="CA352" s="12" t="n">
        <f aca="false">IF(ISERROR(ROUND(MEDIAN(U352:BT352),0)),0,ROUND(MEDIAN(U352:BT352),0))</f>
        <v>56</v>
      </c>
      <c r="CB352" s="12" t="n">
        <f aca="false">IF(ISERROR(ROUND(MEDIAN(BT352),0)),0,ROUND(MEDIAN(BT352),0))</f>
        <v>50</v>
      </c>
      <c r="CC352" s="12" t="n">
        <f aca="false">IF(ISERROR(ROUND(MEDIAN(D352:BT352),0)),0,ROUND(MEDIAN(D352:BT352),0))</f>
        <v>55</v>
      </c>
      <c r="CD352" s="12" t="n">
        <f aca="false">MAX(D352:BT352)</f>
        <v>113</v>
      </c>
      <c r="CE352" s="7" t="n">
        <f aca="false">COUNTA(BQ352:BT352)</f>
        <v>4</v>
      </c>
      <c r="CF352" s="7" t="n">
        <f aca="false">COUNTA(BM352:BT352)</f>
        <v>8</v>
      </c>
      <c r="CG352" s="7" t="n">
        <f aca="false">COUNTA(BI352:BT352)</f>
        <v>12</v>
      </c>
      <c r="CH352" s="7" t="n">
        <f aca="false">COUNTA(BE352:BT352)</f>
        <v>16</v>
      </c>
      <c r="CI352" s="7" t="n">
        <f aca="false">COUNTA(AU352:BT352)</f>
        <v>26</v>
      </c>
      <c r="CJ352" s="7" t="n">
        <f aca="false">COUNTA(U352:BT352)</f>
        <v>52</v>
      </c>
      <c r="CK352" s="7" t="n">
        <f aca="false">COUNTA(BT352)</f>
        <v>1</v>
      </c>
      <c r="CL352" s="7" t="n">
        <f aca="false">COUNTA(D352:BT352)</f>
        <v>69</v>
      </c>
      <c r="CM352" s="13" t="str">
        <f aca="false">IF(AND(CE352=1,CJ352=1,BT352&lt;&gt;""),"5.ENTRANTES",IF(AND(CE352&lt;&gt;0,CE352/RIGHT($CE$1,1)&gt;=0.5,CJ352=CE352),"4.RECENTES",IF(AND(CF352&lt;&gt;0,CF352/RIGHT($CF$1,1)&gt;=0.5,CJ352=CF352),"4.RECENTES",IF(AND(CG352&lt;&gt;0,CG352/RIGHT($CG$1,2)&gt;=0.5,CJ352=CG352),"4.RECENTES",IF(AND(CH352&lt;&gt;0,CH352/RIGHT($CH$1,2)&gt;=0.5,CJ352=CH352),"4.RECENTES",IF(AND(CI352&lt;&gt;0,CI352/RIGHT($CI$1,2)&gt;=0.5,CJ352=CI352),"4.RECENTES",IF(AND(CE352=0,CF352=0,CG352=0,CH352=0),"3.INATIVOS",IF(CJ352/RIGHT($CJ$1,2)&lt;0.5,"2.INTERMITENTES","1.ORDINÁRIOS"))))))))</f>
        <v>1.ORDINÁRIOS</v>
      </c>
      <c r="CN352" s="14" t="n">
        <f aca="false">IF(AND(CE352=1,CJ352=1,BT352&lt;&gt;""),BT352,IF(AND(CE352&lt;&gt;0,CE352/RIGHT($CE$1,1)&gt;=0.5,CJ352=CE352),MAX(BV352:CC352),IF(AND(CF352&lt;&gt;0,CF352/RIGHT($CF$1,1)&gt;=0.5,CJ352=CF352),MAX(BV352:CC352),IF(AND(CG352&lt;&gt;0,CG352/RIGHT($CG$1,2)&gt;=0.5,CJ352=CG352),MAX(BV352:CC352),IF(AND(CH352&lt;&gt;0,CH352/RIGHT($CH$1,2)&gt;=0.5,CJ352=CH352),MAX(BV352:CC352),IF(AND(CI352&lt;&gt;0,CI352/RIGHT($CI$1,2)&gt;=0.5,CJ352=CI352),MAX(BV352:CC352),IF(AND(CE352=0,CF352=0,CG352=0,CH352=0),0,IF(CJ352/RIGHT($CJ$1,2)&lt;0.5,ROUND(BU352/RIGHT($CJ$1,2),0),MAX(BV352:CC352)))))))))</f>
        <v>56</v>
      </c>
      <c r="CO352" s="14" t="n">
        <f aca="false">CN352*3</f>
        <v>168</v>
      </c>
      <c r="CP352" s="15" t="n">
        <v>100</v>
      </c>
      <c r="CQ352" s="16" t="n">
        <f aca="false">IF((CO352-CP352)&lt;0,0,(CO352-CP352))</f>
        <v>68</v>
      </c>
      <c r="CR352" s="7"/>
    </row>
    <row r="353" customFormat="false" ht="12.75" hidden="false" customHeight="true" outlineLevel="0" collapsed="false">
      <c r="A353" s="7" t="s">
        <v>453</v>
      </c>
      <c r="B353" s="7" t="s">
        <v>458</v>
      </c>
      <c r="C353" s="8" t="n">
        <v>3000004</v>
      </c>
      <c r="D353" s="9"/>
      <c r="E353" s="9" t="n">
        <v>10</v>
      </c>
      <c r="F353" s="9" t="n">
        <v>4</v>
      </c>
      <c r="G353" s="9" t="n">
        <v>3</v>
      </c>
      <c r="H353" s="9" t="n">
        <v>4</v>
      </c>
      <c r="I353" s="9" t="n">
        <v>1</v>
      </c>
      <c r="J353" s="9" t="n">
        <v>18</v>
      </c>
      <c r="K353" s="9" t="n">
        <v>5</v>
      </c>
      <c r="L353" s="9" t="n">
        <v>7</v>
      </c>
      <c r="M353" s="9"/>
      <c r="N353" s="9" t="n">
        <v>10</v>
      </c>
      <c r="O353" s="9" t="n">
        <v>10</v>
      </c>
      <c r="P353" s="9" t="n">
        <v>4</v>
      </c>
      <c r="Q353" s="9" t="n">
        <v>9</v>
      </c>
      <c r="R353" s="9" t="n">
        <v>5</v>
      </c>
      <c r="S353" s="9" t="n">
        <v>4</v>
      </c>
      <c r="T353" s="9" t="n">
        <v>2</v>
      </c>
      <c r="U353" s="9" t="n">
        <v>6</v>
      </c>
      <c r="V353" s="9" t="n">
        <v>11</v>
      </c>
      <c r="W353" s="9" t="n">
        <v>9</v>
      </c>
      <c r="X353" s="9"/>
      <c r="Y353" s="9" t="n">
        <v>8</v>
      </c>
      <c r="Z353" s="9" t="n">
        <v>7</v>
      </c>
      <c r="AA353" s="9" t="n">
        <v>8</v>
      </c>
      <c r="AB353" s="9" t="n">
        <v>2</v>
      </c>
      <c r="AC353" s="9" t="n">
        <v>4</v>
      </c>
      <c r="AD353" s="9" t="n">
        <v>2</v>
      </c>
      <c r="AE353" s="9" t="n">
        <v>2</v>
      </c>
      <c r="AF353" s="9" t="n">
        <v>3</v>
      </c>
      <c r="AG353" s="9" t="n">
        <v>4</v>
      </c>
      <c r="AH353" s="9" t="n">
        <v>16</v>
      </c>
      <c r="AI353" s="9" t="n">
        <v>6</v>
      </c>
      <c r="AJ353" s="9" t="n">
        <v>6</v>
      </c>
      <c r="AK353" s="9" t="n">
        <v>4</v>
      </c>
      <c r="AL353" s="9" t="n">
        <v>9</v>
      </c>
      <c r="AM353" s="9" t="n">
        <v>5</v>
      </c>
      <c r="AN353" s="9" t="n">
        <v>2</v>
      </c>
      <c r="AO353" s="9" t="n">
        <v>3</v>
      </c>
      <c r="AP353" s="9" t="n">
        <v>8</v>
      </c>
      <c r="AQ353" s="9" t="n">
        <v>1</v>
      </c>
      <c r="AR353" s="9" t="n">
        <v>9</v>
      </c>
      <c r="AS353" s="9" t="n">
        <v>2</v>
      </c>
      <c r="AT353" s="9" t="n">
        <v>9</v>
      </c>
      <c r="AU353" s="9" t="n">
        <v>5</v>
      </c>
      <c r="AV353" s="9" t="n">
        <v>2</v>
      </c>
      <c r="AW353" s="9" t="n">
        <v>3</v>
      </c>
      <c r="AX353" s="9" t="n">
        <v>3</v>
      </c>
      <c r="AY353" s="9" t="n">
        <v>5</v>
      </c>
      <c r="AZ353" s="9" t="n">
        <v>4</v>
      </c>
      <c r="BA353" s="9" t="n">
        <v>14</v>
      </c>
      <c r="BB353" s="9" t="n">
        <v>7</v>
      </c>
      <c r="BC353" s="9" t="n">
        <v>5</v>
      </c>
      <c r="BD353" s="9" t="n">
        <v>2</v>
      </c>
      <c r="BE353" s="9" t="n">
        <v>6</v>
      </c>
      <c r="BF353" s="9" t="n">
        <v>7</v>
      </c>
      <c r="BG353" s="9"/>
      <c r="BH353" s="9" t="n">
        <v>4</v>
      </c>
      <c r="BI353" s="9" t="n">
        <v>2</v>
      </c>
      <c r="BJ353" s="9" t="n">
        <v>4</v>
      </c>
      <c r="BK353" s="9"/>
      <c r="BL353" s="9" t="n">
        <v>3</v>
      </c>
      <c r="BM353" s="9" t="n">
        <v>4</v>
      </c>
      <c r="BN353" s="9" t="n">
        <v>7</v>
      </c>
      <c r="BO353" s="9" t="n">
        <v>2</v>
      </c>
      <c r="BP353" s="9" t="n">
        <v>3</v>
      </c>
      <c r="BQ353" s="9" t="n">
        <v>2</v>
      </c>
      <c r="BR353" s="9" t="n">
        <v>7</v>
      </c>
      <c r="BS353" s="9" t="n">
        <v>3</v>
      </c>
      <c r="BT353" s="9" t="n">
        <v>4</v>
      </c>
      <c r="BU353" s="10" t="n">
        <v>350</v>
      </c>
      <c r="BV353" s="11" t="n">
        <f aca="false">IF(ISERROR(ROUND(MEDIAN(BQ353:BT353),0)),0,ROUND(MEDIAN(BQ353:BT353),0))</f>
        <v>4</v>
      </c>
      <c r="BW353" s="11" t="n">
        <f aca="false">IF(ISERROR(ROUND(MEDIAN(BM353:BT353),0)),0,ROUND(MEDIAN(BM353:BT353),0))</f>
        <v>4</v>
      </c>
      <c r="BX353" s="11" t="n">
        <f aca="false">IF(ISERROR(ROUND(MEDIAN(BI353:BT353),0)),0,ROUND(MEDIAN(BI353:BT353),0))</f>
        <v>3</v>
      </c>
      <c r="BY353" s="11" t="n">
        <f aca="false">IF(ISERROR(ROUND(MEDIAN(BE353:BT353),0)),0,ROUND(MEDIAN(BE353:BT353),0))</f>
        <v>4</v>
      </c>
      <c r="BZ353" s="11" t="n">
        <f aca="false">IF(ISERROR(ROUND(MEDIAN(AU353:BT353),0)),0,ROUND(MEDIAN(AU353:BT353),0))</f>
        <v>4</v>
      </c>
      <c r="CA353" s="12" t="n">
        <f aca="false">IF(ISERROR(ROUND(MEDIAN(U353:BT353),0)),0,ROUND(MEDIAN(U353:BT353),0))</f>
        <v>4</v>
      </c>
      <c r="CB353" s="12" t="n">
        <f aca="false">IF(ISERROR(ROUND(MEDIAN(BT353),0)),0,ROUND(MEDIAN(BT353),0))</f>
        <v>4</v>
      </c>
      <c r="CC353" s="12" t="n">
        <f aca="false">IF(ISERROR(ROUND(MEDIAN(D353:BT353),0)),0,ROUND(MEDIAN(D353:BT353),0))</f>
        <v>4</v>
      </c>
      <c r="CD353" s="12" t="n">
        <f aca="false">MAX(D353:BT353)</f>
        <v>18</v>
      </c>
      <c r="CE353" s="7" t="n">
        <f aca="false">COUNTA(BQ353:BT353)</f>
        <v>4</v>
      </c>
      <c r="CF353" s="7" t="n">
        <f aca="false">COUNTA(BM353:BT353)</f>
        <v>8</v>
      </c>
      <c r="CG353" s="7" t="n">
        <f aca="false">COUNTA(BI353:BT353)</f>
        <v>11</v>
      </c>
      <c r="CH353" s="7" t="n">
        <f aca="false">COUNTA(BE353:BT353)</f>
        <v>14</v>
      </c>
      <c r="CI353" s="7" t="n">
        <f aca="false">COUNTA(AU353:BT353)</f>
        <v>24</v>
      </c>
      <c r="CJ353" s="7" t="n">
        <f aca="false">COUNTA(U353:BT353)</f>
        <v>49</v>
      </c>
      <c r="CK353" s="7" t="n">
        <f aca="false">COUNTA(BT353)</f>
        <v>1</v>
      </c>
      <c r="CL353" s="7" t="n">
        <f aca="false">COUNTA(D353:BT353)</f>
        <v>64</v>
      </c>
      <c r="CM353" s="13" t="str">
        <f aca="false">IF(AND(CE353=1,CJ353=1,BT353&lt;&gt;""),"5.ENTRANTES",IF(AND(CE353&lt;&gt;0,CE353/RIGHT($CE$1,1)&gt;=0.5,CJ353=CE353),"4.RECENTES",IF(AND(CF353&lt;&gt;0,CF353/RIGHT($CF$1,1)&gt;=0.5,CJ353=CF353),"4.RECENTES",IF(AND(CG353&lt;&gt;0,CG353/RIGHT($CG$1,2)&gt;=0.5,CJ353=CG353),"4.RECENTES",IF(AND(CH353&lt;&gt;0,CH353/RIGHT($CH$1,2)&gt;=0.5,CJ353=CH353),"4.RECENTES",IF(AND(CI353&lt;&gt;0,CI353/RIGHT($CI$1,2)&gt;=0.5,CJ353=CI353),"4.RECENTES",IF(AND(CE353=0,CF353=0,CG353=0,CH353=0),"3.INATIVOS",IF(CJ353/RIGHT($CJ$1,2)&lt;0.5,"2.INTERMITENTES","1.ORDINÁRIOS"))))))))</f>
        <v>1.ORDINÁRIOS</v>
      </c>
      <c r="CN353" s="14" t="n">
        <f aca="false">IF(AND(CE353=1,CJ353=1,BT353&lt;&gt;""),BT353,IF(AND(CE353&lt;&gt;0,CE353/RIGHT($CE$1,1)&gt;=0.5,CJ353=CE353),MAX(BV353:CC353),IF(AND(CF353&lt;&gt;0,CF353/RIGHT($CF$1,1)&gt;=0.5,CJ353=CF353),MAX(BV353:CC353),IF(AND(CG353&lt;&gt;0,CG353/RIGHT($CG$1,2)&gt;=0.5,CJ353=CG353),MAX(BV353:CC353),IF(AND(CH353&lt;&gt;0,CH353/RIGHT($CH$1,2)&gt;=0.5,CJ353=CH353),MAX(BV353:CC353),IF(AND(CI353&lt;&gt;0,CI353/RIGHT($CI$1,2)&gt;=0.5,CJ353=CI353),MAX(BV353:CC353),IF(AND(CE353=0,CF353=0,CG353=0,CH353=0),0,IF(CJ353/RIGHT($CJ$1,2)&lt;0.5,ROUND(BU353/RIGHT($CJ$1,2),0),MAX(BV353:CC353)))))))))</f>
        <v>4</v>
      </c>
      <c r="CO353" s="14" t="n">
        <f aca="false">CN353*3</f>
        <v>12</v>
      </c>
      <c r="CP353" s="15" t="n">
        <v>11</v>
      </c>
      <c r="CQ353" s="16" t="n">
        <f aca="false">IF((CO353-CP353)&lt;0,0,(CO353-CP353))</f>
        <v>1</v>
      </c>
      <c r="CR353" s="7"/>
    </row>
    <row r="354" customFormat="false" ht="12.75" hidden="false" customHeight="true" outlineLevel="0" collapsed="false">
      <c r="A354" s="7" t="s">
        <v>453</v>
      </c>
      <c r="B354" s="7" t="s">
        <v>459</v>
      </c>
      <c r="C354" s="8" t="n">
        <v>3000005</v>
      </c>
      <c r="D354" s="9"/>
      <c r="E354" s="9"/>
      <c r="F354" s="9"/>
      <c r="G354" s="9"/>
      <c r="H354" s="9"/>
      <c r="I354" s="9"/>
      <c r="J354" s="9" t="n">
        <v>2</v>
      </c>
      <c r="K354" s="9"/>
      <c r="L354" s="9"/>
      <c r="M354" s="9"/>
      <c r="N354" s="9"/>
      <c r="O354" s="9"/>
      <c r="P354" s="9" t="n">
        <v>1</v>
      </c>
      <c r="Q354" s="9" t="n">
        <v>5</v>
      </c>
      <c r="R354" s="9"/>
      <c r="S354" s="9" t="n">
        <v>2</v>
      </c>
      <c r="T354" s="9" t="n">
        <v>1</v>
      </c>
      <c r="U354" s="9" t="n">
        <v>2</v>
      </c>
      <c r="V354" s="9" t="n">
        <v>1</v>
      </c>
      <c r="W354" s="9" t="n">
        <v>2</v>
      </c>
      <c r="X354" s="9"/>
      <c r="Y354" s="9"/>
      <c r="Z354" s="9" t="n">
        <v>2</v>
      </c>
      <c r="AA354" s="9" t="n">
        <v>3</v>
      </c>
      <c r="AB354" s="9" t="n">
        <v>2</v>
      </c>
      <c r="AC354" s="9"/>
      <c r="AD354" s="9"/>
      <c r="AE354" s="9"/>
      <c r="AF354" s="9" t="n">
        <v>3</v>
      </c>
      <c r="AG354" s="9" t="n">
        <v>1</v>
      </c>
      <c r="AH354" s="9" t="n">
        <v>1</v>
      </c>
      <c r="AI354" s="9" t="n">
        <v>4</v>
      </c>
      <c r="AJ354" s="9" t="n">
        <v>1</v>
      </c>
      <c r="AK354" s="9" t="n">
        <v>1</v>
      </c>
      <c r="AL354" s="9"/>
      <c r="AM354" s="9" t="n">
        <v>1</v>
      </c>
      <c r="AN354" s="9" t="n">
        <v>1</v>
      </c>
      <c r="AO354" s="9" t="n">
        <v>3</v>
      </c>
      <c r="AP354" s="9" t="n">
        <v>1</v>
      </c>
      <c r="AQ354" s="9" t="n">
        <v>1</v>
      </c>
      <c r="AR354" s="9" t="n">
        <v>3</v>
      </c>
      <c r="AS354" s="9"/>
      <c r="AT354" s="9" t="n">
        <v>4</v>
      </c>
      <c r="AU354" s="9"/>
      <c r="AV354" s="9"/>
      <c r="AW354" s="9"/>
      <c r="AX354" s="9" t="n">
        <v>3</v>
      </c>
      <c r="AY354" s="9" t="n">
        <v>1</v>
      </c>
      <c r="AZ354" s="9" t="n">
        <v>2</v>
      </c>
      <c r="BA354" s="9"/>
      <c r="BB354" s="9" t="n">
        <v>2</v>
      </c>
      <c r="BC354" s="9"/>
      <c r="BD354" s="9" t="n">
        <v>2</v>
      </c>
      <c r="BE354" s="9" t="n">
        <v>3</v>
      </c>
      <c r="BF354" s="9" t="n">
        <v>3</v>
      </c>
      <c r="BG354" s="9" t="n">
        <v>1</v>
      </c>
      <c r="BH354" s="9" t="n">
        <v>1</v>
      </c>
      <c r="BI354" s="9"/>
      <c r="BJ354" s="9"/>
      <c r="BK354" s="9"/>
      <c r="BL354" s="9" t="n">
        <v>4</v>
      </c>
      <c r="BM354" s="9" t="n">
        <v>1</v>
      </c>
      <c r="BN354" s="9"/>
      <c r="BO354" s="9" t="n">
        <v>3</v>
      </c>
      <c r="BP354" s="9"/>
      <c r="BQ354" s="9" t="n">
        <v>1</v>
      </c>
      <c r="BR354" s="9"/>
      <c r="BS354" s="9"/>
      <c r="BT354" s="9" t="n">
        <v>1</v>
      </c>
      <c r="BU354" s="10" t="n">
        <v>76</v>
      </c>
      <c r="BV354" s="11" t="n">
        <f aca="false">IF(ISERROR(ROUND(MEDIAN(BQ354:BT354),0)),0,ROUND(MEDIAN(BQ354:BT354),0))</f>
        <v>1</v>
      </c>
      <c r="BW354" s="11" t="n">
        <f aca="false">IF(ISERROR(ROUND(MEDIAN(BM354:BT354),0)),0,ROUND(MEDIAN(BM354:BT354),0))</f>
        <v>1</v>
      </c>
      <c r="BX354" s="11" t="n">
        <f aca="false">IF(ISERROR(ROUND(MEDIAN(BI354:BT354),0)),0,ROUND(MEDIAN(BI354:BT354),0))</f>
        <v>1</v>
      </c>
      <c r="BY354" s="11" t="n">
        <f aca="false">IF(ISERROR(ROUND(MEDIAN(BE354:BT354),0)),0,ROUND(MEDIAN(BE354:BT354),0))</f>
        <v>1</v>
      </c>
      <c r="BZ354" s="11" t="n">
        <f aca="false">IF(ISERROR(ROUND(MEDIAN(AU354:BT354),0)),0,ROUND(MEDIAN(AU354:BT354),0))</f>
        <v>2</v>
      </c>
      <c r="CA354" s="12" t="n">
        <f aca="false">IF(ISERROR(ROUND(MEDIAN(U354:BT354),0)),0,ROUND(MEDIAN(U354:BT354),0))</f>
        <v>2</v>
      </c>
      <c r="CB354" s="12" t="n">
        <f aca="false">IF(ISERROR(ROUND(MEDIAN(BT354),0)),0,ROUND(MEDIAN(BT354),0))</f>
        <v>1</v>
      </c>
      <c r="CC354" s="12" t="n">
        <f aca="false">IF(ISERROR(ROUND(MEDIAN(D354:BT354),0)),0,ROUND(MEDIAN(D354:BT354),0))</f>
        <v>2</v>
      </c>
      <c r="CD354" s="12" t="n">
        <f aca="false">MAX(D354:BT354)</f>
        <v>5</v>
      </c>
      <c r="CE354" s="7" t="n">
        <f aca="false">COUNTA(BQ354:BT354)</f>
        <v>2</v>
      </c>
      <c r="CF354" s="7" t="n">
        <f aca="false">COUNTA(BM354:BT354)</f>
        <v>4</v>
      </c>
      <c r="CG354" s="7" t="n">
        <f aca="false">COUNTA(BI354:BT354)</f>
        <v>5</v>
      </c>
      <c r="CH354" s="7" t="n">
        <f aca="false">COUNTA(BE354:BT354)</f>
        <v>9</v>
      </c>
      <c r="CI354" s="7" t="n">
        <f aca="false">COUNTA(AU354:BT354)</f>
        <v>14</v>
      </c>
      <c r="CJ354" s="7" t="n">
        <f aca="false">COUNTA(U354:BT354)</f>
        <v>33</v>
      </c>
      <c r="CK354" s="7" t="n">
        <f aca="false">COUNTA(BT354)</f>
        <v>1</v>
      </c>
      <c r="CL354" s="7" t="n">
        <f aca="false">COUNTA(D354:BT354)</f>
        <v>38</v>
      </c>
      <c r="CM354" s="13" t="str">
        <f aca="false">IF(AND(CE354=1,CJ354=1,BT354&lt;&gt;""),"5.ENTRANTES",IF(AND(CE354&lt;&gt;0,CE354/RIGHT($CE$1,1)&gt;=0.5,CJ354=CE354),"4.RECENTES",IF(AND(CF354&lt;&gt;0,CF354/RIGHT($CF$1,1)&gt;=0.5,CJ354=CF354),"4.RECENTES",IF(AND(CG354&lt;&gt;0,CG354/RIGHT($CG$1,2)&gt;=0.5,CJ354=CG354),"4.RECENTES",IF(AND(CH354&lt;&gt;0,CH354/RIGHT($CH$1,2)&gt;=0.5,CJ354=CH354),"4.RECENTES",IF(AND(CI354&lt;&gt;0,CI354/RIGHT($CI$1,2)&gt;=0.5,CJ354=CI354),"4.RECENTES",IF(AND(CE354=0,CF354=0,CG354=0,CH354=0),"3.INATIVOS",IF(CJ354/RIGHT($CJ$1,2)&lt;0.5,"2.INTERMITENTES","1.ORDINÁRIOS"))))))))</f>
        <v>1.ORDINÁRIOS</v>
      </c>
      <c r="CN354" s="14" t="n">
        <f aca="false">IF(AND(CE354=1,CJ354=1,BT354&lt;&gt;""),BT354,IF(AND(CE354&lt;&gt;0,CE354/RIGHT($CE$1,1)&gt;=0.5,CJ354=CE354),MAX(BV354:CC354),IF(AND(CF354&lt;&gt;0,CF354/RIGHT($CF$1,1)&gt;=0.5,CJ354=CF354),MAX(BV354:CC354),IF(AND(CG354&lt;&gt;0,CG354/RIGHT($CG$1,2)&gt;=0.5,CJ354=CG354),MAX(BV354:CC354),IF(AND(CH354&lt;&gt;0,CH354/RIGHT($CH$1,2)&gt;=0.5,CJ354=CH354),MAX(BV354:CC354),IF(AND(CI354&lt;&gt;0,CI354/RIGHT($CI$1,2)&gt;=0.5,CJ354=CI354),MAX(BV354:CC354),IF(AND(CE354=0,CF354=0,CG354=0,CH354=0),0,IF(CJ354/RIGHT($CJ$1,2)&lt;0.5,ROUND(BU354/RIGHT($CJ$1,2),0),MAX(BV354:CC354)))))))))</f>
        <v>2</v>
      </c>
      <c r="CO354" s="14" t="n">
        <f aca="false">CN354*3</f>
        <v>6</v>
      </c>
      <c r="CP354" s="15" t="n">
        <v>0</v>
      </c>
      <c r="CQ354" s="16" t="n">
        <f aca="false">IF((CO354-CP354)&lt;0,0,(CO354-CP354))</f>
        <v>6</v>
      </c>
      <c r="CR354" s="7"/>
    </row>
    <row r="355" customFormat="false" ht="12.75" hidden="false" customHeight="true" outlineLevel="0" collapsed="false">
      <c r="A355" s="7" t="s">
        <v>453</v>
      </c>
      <c r="B355" s="7" t="s">
        <v>460</v>
      </c>
      <c r="C355" s="8" t="n">
        <v>3000007</v>
      </c>
      <c r="D355" s="9"/>
      <c r="E355" s="9" t="n">
        <v>7</v>
      </c>
      <c r="F355" s="9" t="n">
        <v>1</v>
      </c>
      <c r="G355" s="9" t="n">
        <v>2</v>
      </c>
      <c r="H355" s="9" t="n">
        <v>5</v>
      </c>
      <c r="I355" s="9" t="n">
        <v>8</v>
      </c>
      <c r="J355" s="9" t="n">
        <v>8</v>
      </c>
      <c r="K355" s="9" t="n">
        <v>2</v>
      </c>
      <c r="L355" s="9" t="n">
        <v>10</v>
      </c>
      <c r="M355" s="9" t="n">
        <v>5</v>
      </c>
      <c r="N355" s="9" t="n">
        <v>8</v>
      </c>
      <c r="O355" s="9"/>
      <c r="P355" s="9" t="n">
        <v>5</v>
      </c>
      <c r="Q355" s="9" t="n">
        <v>4</v>
      </c>
      <c r="R355" s="9" t="n">
        <v>5</v>
      </c>
      <c r="S355" s="9" t="n">
        <v>2</v>
      </c>
      <c r="T355" s="9" t="n">
        <v>11</v>
      </c>
      <c r="U355" s="9"/>
      <c r="V355" s="9" t="n">
        <v>2</v>
      </c>
      <c r="W355" s="9" t="n">
        <v>2</v>
      </c>
      <c r="X355" s="9" t="n">
        <v>6</v>
      </c>
      <c r="Y355" s="9"/>
      <c r="Z355" s="9" t="n">
        <v>6</v>
      </c>
      <c r="AA355" s="9" t="n">
        <v>2</v>
      </c>
      <c r="AB355" s="9" t="n">
        <v>6</v>
      </c>
      <c r="AC355" s="9"/>
      <c r="AD355" s="9" t="n">
        <v>4</v>
      </c>
      <c r="AE355" s="9" t="n">
        <v>2</v>
      </c>
      <c r="AF355" s="9" t="n">
        <v>7</v>
      </c>
      <c r="AG355" s="9" t="n">
        <v>2</v>
      </c>
      <c r="AH355" s="9" t="n">
        <v>3</v>
      </c>
      <c r="AI355" s="9" t="n">
        <v>1</v>
      </c>
      <c r="AJ355" s="9" t="n">
        <v>5</v>
      </c>
      <c r="AK355" s="9" t="n">
        <v>7</v>
      </c>
      <c r="AL355" s="9" t="n">
        <v>2</v>
      </c>
      <c r="AM355" s="9"/>
      <c r="AN355" s="9" t="n">
        <v>5</v>
      </c>
      <c r="AO355" s="9" t="n">
        <v>2</v>
      </c>
      <c r="AP355" s="9" t="n">
        <v>10</v>
      </c>
      <c r="AQ355" s="9" t="n">
        <v>4</v>
      </c>
      <c r="AR355" s="9" t="n">
        <v>6</v>
      </c>
      <c r="AS355" s="9" t="n">
        <v>3</v>
      </c>
      <c r="AT355" s="9" t="n">
        <v>3</v>
      </c>
      <c r="AU355" s="9"/>
      <c r="AV355" s="9" t="n">
        <v>10</v>
      </c>
      <c r="AW355" s="9" t="n">
        <v>7</v>
      </c>
      <c r="AX355" s="9" t="n">
        <v>5</v>
      </c>
      <c r="AY355" s="9" t="n">
        <v>8</v>
      </c>
      <c r="AZ355" s="9" t="n">
        <v>5</v>
      </c>
      <c r="BA355" s="9" t="n">
        <v>2</v>
      </c>
      <c r="BB355" s="9" t="n">
        <v>1</v>
      </c>
      <c r="BC355" s="9" t="n">
        <v>14</v>
      </c>
      <c r="BD355" s="9" t="n">
        <v>14</v>
      </c>
      <c r="BE355" s="9" t="n">
        <v>1</v>
      </c>
      <c r="BF355" s="9" t="n">
        <v>4</v>
      </c>
      <c r="BG355" s="9" t="n">
        <v>11</v>
      </c>
      <c r="BH355" s="9" t="n">
        <v>5</v>
      </c>
      <c r="BI355" s="9" t="n">
        <v>4</v>
      </c>
      <c r="BJ355" s="9" t="n">
        <v>7</v>
      </c>
      <c r="BK355" s="9"/>
      <c r="BL355" s="9" t="n">
        <v>12</v>
      </c>
      <c r="BM355" s="9" t="n">
        <v>7</v>
      </c>
      <c r="BN355" s="9" t="n">
        <v>5</v>
      </c>
      <c r="BO355" s="9" t="n">
        <v>2</v>
      </c>
      <c r="BP355" s="9" t="n">
        <v>1</v>
      </c>
      <c r="BQ355" s="9" t="n">
        <v>15</v>
      </c>
      <c r="BR355" s="9" t="n">
        <v>1</v>
      </c>
      <c r="BS355" s="9" t="n">
        <v>4</v>
      </c>
      <c r="BT355" s="9" t="n">
        <v>4</v>
      </c>
      <c r="BU355" s="10" t="n">
        <v>322</v>
      </c>
      <c r="BV355" s="11" t="n">
        <f aca="false">IF(ISERROR(ROUND(MEDIAN(BQ355:BT355),0)),0,ROUND(MEDIAN(BQ355:BT355),0))</f>
        <v>4</v>
      </c>
      <c r="BW355" s="11" t="n">
        <f aca="false">IF(ISERROR(ROUND(MEDIAN(BM355:BT355),0)),0,ROUND(MEDIAN(BM355:BT355),0))</f>
        <v>4</v>
      </c>
      <c r="BX355" s="11" t="n">
        <f aca="false">IF(ISERROR(ROUND(MEDIAN(BI355:BT355),0)),0,ROUND(MEDIAN(BI355:BT355),0))</f>
        <v>4</v>
      </c>
      <c r="BY355" s="11" t="n">
        <f aca="false">IF(ISERROR(ROUND(MEDIAN(BE355:BT355),0)),0,ROUND(MEDIAN(BE355:BT355),0))</f>
        <v>4</v>
      </c>
      <c r="BZ355" s="11" t="n">
        <f aca="false">IF(ISERROR(ROUND(MEDIAN(AU355:BT355),0)),0,ROUND(MEDIAN(AU355:BT355),0))</f>
        <v>5</v>
      </c>
      <c r="CA355" s="12" t="n">
        <f aca="false">IF(ISERROR(ROUND(MEDIAN(U355:BT355),0)),0,ROUND(MEDIAN(U355:BT355),0))</f>
        <v>5</v>
      </c>
      <c r="CB355" s="12" t="n">
        <f aca="false">IF(ISERROR(ROUND(MEDIAN(BT355),0)),0,ROUND(MEDIAN(BT355),0))</f>
        <v>4</v>
      </c>
      <c r="CC355" s="12" t="n">
        <f aca="false">IF(ISERROR(ROUND(MEDIAN(D355:BT355),0)),0,ROUND(MEDIAN(D355:BT355),0))</f>
        <v>5</v>
      </c>
      <c r="CD355" s="12" t="n">
        <f aca="false">MAX(D355:BT355)</f>
        <v>15</v>
      </c>
      <c r="CE355" s="7" t="n">
        <f aca="false">COUNTA(BQ355:BT355)</f>
        <v>4</v>
      </c>
      <c r="CF355" s="7" t="n">
        <f aca="false">COUNTA(BM355:BT355)</f>
        <v>8</v>
      </c>
      <c r="CG355" s="7" t="n">
        <f aca="false">COUNTA(BI355:BT355)</f>
        <v>11</v>
      </c>
      <c r="CH355" s="7" t="n">
        <f aca="false">COUNTA(BE355:BT355)</f>
        <v>15</v>
      </c>
      <c r="CI355" s="7" t="n">
        <f aca="false">COUNTA(AU355:BT355)</f>
        <v>24</v>
      </c>
      <c r="CJ355" s="7" t="n">
        <f aca="false">COUNTA(U355:BT355)</f>
        <v>46</v>
      </c>
      <c r="CK355" s="7" t="n">
        <f aca="false">COUNTA(BT355)</f>
        <v>1</v>
      </c>
      <c r="CL355" s="7" t="n">
        <f aca="false">COUNTA(D355:BT355)</f>
        <v>61</v>
      </c>
      <c r="CM355" s="13" t="str">
        <f aca="false">IF(AND(CE355=1,CJ355=1,BT355&lt;&gt;""),"5.ENTRANTES",IF(AND(CE355&lt;&gt;0,CE355/RIGHT($CE$1,1)&gt;=0.5,CJ355=CE355),"4.RECENTES",IF(AND(CF355&lt;&gt;0,CF355/RIGHT($CF$1,1)&gt;=0.5,CJ355=CF355),"4.RECENTES",IF(AND(CG355&lt;&gt;0,CG355/RIGHT($CG$1,2)&gt;=0.5,CJ355=CG355),"4.RECENTES",IF(AND(CH355&lt;&gt;0,CH355/RIGHT($CH$1,2)&gt;=0.5,CJ355=CH355),"4.RECENTES",IF(AND(CI355&lt;&gt;0,CI355/RIGHT($CI$1,2)&gt;=0.5,CJ355=CI355),"4.RECENTES",IF(AND(CE355=0,CF355=0,CG355=0,CH355=0),"3.INATIVOS",IF(CJ355/RIGHT($CJ$1,2)&lt;0.5,"2.INTERMITENTES","1.ORDINÁRIOS"))))))))</f>
        <v>1.ORDINÁRIOS</v>
      </c>
      <c r="CN355" s="14" t="n">
        <f aca="false">IF(AND(CE355=1,CJ355=1,BT355&lt;&gt;""),BT355,IF(AND(CE355&lt;&gt;0,CE355/RIGHT($CE$1,1)&gt;=0.5,CJ355=CE355),MAX(BV355:CC355),IF(AND(CF355&lt;&gt;0,CF355/RIGHT($CF$1,1)&gt;=0.5,CJ355=CF355),MAX(BV355:CC355),IF(AND(CG355&lt;&gt;0,CG355/RIGHT($CG$1,2)&gt;=0.5,CJ355=CG355),MAX(BV355:CC355),IF(AND(CH355&lt;&gt;0,CH355/RIGHT($CH$1,2)&gt;=0.5,CJ355=CH355),MAX(BV355:CC355),IF(AND(CI355&lt;&gt;0,CI355/RIGHT($CI$1,2)&gt;=0.5,CJ355=CI355),MAX(BV355:CC355),IF(AND(CE355=0,CF355=0,CG355=0,CH355=0),0,IF(CJ355/RIGHT($CJ$1,2)&lt;0.5,ROUND(BU355/RIGHT($CJ$1,2),0),MAX(BV355:CC355)))))))))</f>
        <v>5</v>
      </c>
      <c r="CO355" s="14" t="n">
        <f aca="false">CN355*3</f>
        <v>15</v>
      </c>
      <c r="CP355" s="15" t="n">
        <v>20</v>
      </c>
      <c r="CQ355" s="16" t="n">
        <f aca="false">IF((CO355-CP355)&lt;0,0,(CO355-CP355))</f>
        <v>0</v>
      </c>
      <c r="CR355" s="7"/>
    </row>
    <row r="356" customFormat="false" ht="12.75" hidden="false" customHeight="true" outlineLevel="0" collapsed="false">
      <c r="A356" s="7" t="s">
        <v>461</v>
      </c>
      <c r="B356" s="7" t="s">
        <v>462</v>
      </c>
      <c r="C356" s="8" t="n">
        <v>300001002</v>
      </c>
      <c r="D356" s="9" t="n">
        <v>28</v>
      </c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 t="n">
        <v>91</v>
      </c>
      <c r="AG356" s="9" t="n">
        <v>49</v>
      </c>
      <c r="AH356" s="9"/>
      <c r="AI356" s="9"/>
      <c r="AJ356" s="9"/>
      <c r="AK356" s="9"/>
      <c r="AL356" s="9"/>
      <c r="AM356" s="9"/>
      <c r="AN356" s="9" t="n">
        <v>98</v>
      </c>
      <c r="AO356" s="9"/>
      <c r="AP356" s="9"/>
      <c r="AQ356" s="9" t="n">
        <v>42</v>
      </c>
      <c r="AR356" s="9"/>
      <c r="AS356" s="9"/>
      <c r="AT356" s="9" t="n">
        <v>42</v>
      </c>
      <c r="AU356" s="9" t="n">
        <v>91</v>
      </c>
      <c r="AV356" s="9"/>
      <c r="AW356" s="9" t="n">
        <v>14</v>
      </c>
      <c r="AX356" s="9" t="n">
        <v>70</v>
      </c>
      <c r="AY356" s="9" t="n">
        <v>14</v>
      </c>
      <c r="AZ356" s="9" t="n">
        <v>56</v>
      </c>
      <c r="BA356" s="9" t="n">
        <v>56</v>
      </c>
      <c r="BB356" s="9" t="n">
        <v>84</v>
      </c>
      <c r="BC356" s="9"/>
      <c r="BD356" s="9" t="n">
        <v>42</v>
      </c>
      <c r="BE356" s="9"/>
      <c r="BF356" s="9"/>
      <c r="BG356" s="9" t="n">
        <v>28</v>
      </c>
      <c r="BH356" s="9"/>
      <c r="BI356" s="9" t="n">
        <v>28</v>
      </c>
      <c r="BJ356" s="9"/>
      <c r="BK356" s="9"/>
      <c r="BL356" s="9"/>
      <c r="BM356" s="9"/>
      <c r="BN356" s="9"/>
      <c r="BO356" s="9"/>
      <c r="BP356" s="9"/>
      <c r="BQ356" s="9"/>
      <c r="BR356" s="9"/>
      <c r="BS356" s="9"/>
      <c r="BT356" s="9"/>
      <c r="BU356" s="10" t="n">
        <v>833</v>
      </c>
      <c r="BV356" s="11" t="n">
        <f aca="false">IF(ISERROR(ROUND(MEDIAN(BQ356:BT356),0)),0,ROUND(MEDIAN(BQ356:BT356),0))</f>
        <v>0</v>
      </c>
      <c r="BW356" s="11" t="n">
        <f aca="false">IF(ISERROR(ROUND(MEDIAN(BM356:BT356),0)),0,ROUND(MEDIAN(BM356:BT356),0))</f>
        <v>0</v>
      </c>
      <c r="BX356" s="11" t="n">
        <f aca="false">IF(ISERROR(ROUND(MEDIAN(BI356:BT356),0)),0,ROUND(MEDIAN(BI356:BT356),0))</f>
        <v>28</v>
      </c>
      <c r="BY356" s="11" t="n">
        <f aca="false">IF(ISERROR(ROUND(MEDIAN(BE356:BT356),0)),0,ROUND(MEDIAN(BE356:BT356),0))</f>
        <v>28</v>
      </c>
      <c r="BZ356" s="11" t="n">
        <f aca="false">IF(ISERROR(ROUND(MEDIAN(AU356:BT356),0)),0,ROUND(MEDIAN(AU356:BT356),0))</f>
        <v>49</v>
      </c>
      <c r="CA356" s="12" t="n">
        <f aca="false">IF(ISERROR(ROUND(MEDIAN(U356:BT356),0)),0,ROUND(MEDIAN(U356:BT356),0))</f>
        <v>49</v>
      </c>
      <c r="CB356" s="12" t="n">
        <f aca="false">IF(ISERROR(ROUND(MEDIAN(BT356),0)),0,ROUND(MEDIAN(BT356),0))</f>
        <v>0</v>
      </c>
      <c r="CC356" s="12" t="n">
        <f aca="false">IF(ISERROR(ROUND(MEDIAN(D356:BT356),0)),0,ROUND(MEDIAN(D356:BT356),0))</f>
        <v>46</v>
      </c>
      <c r="CD356" s="12" t="n">
        <f aca="false">MAX(D356:BT356)</f>
        <v>98</v>
      </c>
      <c r="CE356" s="7" t="n">
        <f aca="false">COUNTA(BQ356:BT356)</f>
        <v>0</v>
      </c>
      <c r="CF356" s="7" t="n">
        <f aca="false">COUNTA(BM356:BT356)</f>
        <v>0</v>
      </c>
      <c r="CG356" s="7" t="n">
        <f aca="false">COUNTA(BI356:BT356)</f>
        <v>1</v>
      </c>
      <c r="CH356" s="7" t="n">
        <f aca="false">COUNTA(BE356:BT356)</f>
        <v>2</v>
      </c>
      <c r="CI356" s="7" t="n">
        <f aca="false">COUNTA(AU356:BT356)</f>
        <v>10</v>
      </c>
      <c r="CJ356" s="7" t="n">
        <f aca="false">COUNTA(U356:BT356)</f>
        <v>15</v>
      </c>
      <c r="CK356" s="7" t="n">
        <f aca="false">COUNTA(BT356)</f>
        <v>0</v>
      </c>
      <c r="CL356" s="7" t="n">
        <f aca="false">COUNTA(D356:BT356)</f>
        <v>16</v>
      </c>
      <c r="CM356" s="17" t="str">
        <f aca="false">IF(AND(CE356=1,CJ356=1,BT356&lt;&gt;""),"5.ENTRANTES",IF(AND(CE356&lt;&gt;0,CE356/RIGHT($CE$1,1)&gt;=0.5,CJ356=CE356),"4.RECENTES",IF(AND(CF356&lt;&gt;0,CF356/RIGHT($CF$1,1)&gt;=0.5,CJ356=CF356),"4.RECENTES",IF(AND(CG356&lt;&gt;0,CG356/RIGHT($CG$1,2)&gt;=0.5,CJ356=CG356),"4.RECENTES",IF(AND(CH356&lt;&gt;0,CH356/RIGHT($CH$1,2)&gt;=0.5,CJ356=CH356),"4.RECENTES",IF(AND(CI356&lt;&gt;0,CI356/RIGHT($CI$1,2)&gt;=0.5,CJ356=CI356),"4.RECENTES",IF(AND(CE356=0,CF356=0,CG356=0,CH356=0),"3.INATIVOS",IF(CJ356/RIGHT($CJ$1,2)&lt;0.5,"2.INTERMITENTES","1.ORDINÁRIOS"))))))))</f>
        <v>2.INTERMITENTES</v>
      </c>
      <c r="CN356" s="18" t="n">
        <f aca="false">IF(AND(CE356=1,CJ356=1,BT356&lt;&gt;""),BT356,IF(AND(CE356&lt;&gt;0,CE356/RIGHT($CE$1,1)&gt;=0.5,CJ356=CE356),MAX(BV356:CC356),IF(AND(CF356&lt;&gt;0,CF356/RIGHT($CF$1,1)&gt;=0.5,CJ356=CF356),MAX(BV356:CC356),IF(AND(CG356&lt;&gt;0,CG356/RIGHT($CG$1,2)&gt;=0.5,CJ356=CG356),MAX(BV356:CC356),IF(AND(CH356&lt;&gt;0,CH356/RIGHT($CH$1,2)&gt;=0.5,CJ356=CH356),MAX(BV356:CC356),IF(AND(CI356&lt;&gt;0,CI356/RIGHT($CI$1,2)&gt;=0.5,CJ356=CI356),MAX(BV356:CC356),IF(AND(CE356=0,CF356=0,CG356=0,CH356=0),0,IF(CJ356/RIGHT($CJ$1,2)&lt;0.5,ROUND(BU356/RIGHT($CJ$1,2),0),MAX(BV356:CC356)))))))))</f>
        <v>16</v>
      </c>
      <c r="CO356" s="18" t="n">
        <f aca="false">CD356</f>
        <v>98</v>
      </c>
      <c r="CP356" s="15" t="n">
        <v>2429</v>
      </c>
      <c r="CQ356" s="16" t="n">
        <f aca="false">IF((CO356-CP356)&lt;0,0,(CO356-CP356))</f>
        <v>0</v>
      </c>
      <c r="CR356" s="7"/>
    </row>
    <row r="357" customFormat="false" ht="12.75" hidden="false" customHeight="true" outlineLevel="0" collapsed="false">
      <c r="A357" s="7" t="s">
        <v>461</v>
      </c>
      <c r="B357" s="7" t="s">
        <v>463</v>
      </c>
      <c r="C357" s="8" t="n">
        <v>300001004</v>
      </c>
      <c r="D357" s="9"/>
      <c r="E357" s="9" t="n">
        <v>28</v>
      </c>
      <c r="F357" s="9"/>
      <c r="G357" s="9"/>
      <c r="H357" s="9"/>
      <c r="I357" s="9"/>
      <c r="J357" s="9" t="n">
        <v>42</v>
      </c>
      <c r="K357" s="9" t="n">
        <v>21</v>
      </c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 t="n">
        <v>350</v>
      </c>
      <c r="AG357" s="9"/>
      <c r="AH357" s="9"/>
      <c r="AI357" s="9"/>
      <c r="AJ357" s="9"/>
      <c r="AK357" s="9"/>
      <c r="AL357" s="9"/>
      <c r="AM357" s="9" t="n">
        <v>168</v>
      </c>
      <c r="AN357" s="9" t="n">
        <v>28</v>
      </c>
      <c r="AO357" s="9" t="n">
        <v>42</v>
      </c>
      <c r="AP357" s="9" t="n">
        <v>84</v>
      </c>
      <c r="AQ357" s="9" t="n">
        <v>84</v>
      </c>
      <c r="AR357" s="9" t="n">
        <v>28</v>
      </c>
      <c r="AS357" s="9" t="n">
        <v>42</v>
      </c>
      <c r="AT357" s="9" t="n">
        <v>84</v>
      </c>
      <c r="AU357" s="9"/>
      <c r="AV357" s="9"/>
      <c r="AW357" s="9"/>
      <c r="AX357" s="9"/>
      <c r="AY357" s="9"/>
      <c r="AZ357" s="9"/>
      <c r="BA357" s="9"/>
      <c r="BB357" s="9" t="n">
        <v>154</v>
      </c>
      <c r="BC357" s="9"/>
      <c r="BD357" s="9" t="n">
        <v>140</v>
      </c>
      <c r="BE357" s="9" t="n">
        <v>56</v>
      </c>
      <c r="BF357" s="9"/>
      <c r="BG357" s="9" t="n">
        <v>98</v>
      </c>
      <c r="BH357" s="9"/>
      <c r="BI357" s="9" t="n">
        <v>42</v>
      </c>
      <c r="BJ357" s="9"/>
      <c r="BK357" s="9"/>
      <c r="BL357" s="9" t="n">
        <v>70</v>
      </c>
      <c r="BM357" s="9"/>
      <c r="BN357" s="9"/>
      <c r="BO357" s="9"/>
      <c r="BP357" s="9" t="n">
        <v>28</v>
      </c>
      <c r="BQ357" s="9" t="n">
        <v>42</v>
      </c>
      <c r="BR357" s="9"/>
      <c r="BS357" s="9" t="n">
        <v>42</v>
      </c>
      <c r="BT357" s="9"/>
      <c r="BU357" s="10" t="n">
        <v>1673</v>
      </c>
      <c r="BV357" s="11" t="n">
        <f aca="false">IF(ISERROR(ROUND(MEDIAN(BQ357:BT357),0)),0,ROUND(MEDIAN(BQ357:BT357),0))</f>
        <v>42</v>
      </c>
      <c r="BW357" s="11" t="n">
        <f aca="false">IF(ISERROR(ROUND(MEDIAN(BM357:BT357),0)),0,ROUND(MEDIAN(BM357:BT357),0))</f>
        <v>42</v>
      </c>
      <c r="BX357" s="11" t="n">
        <f aca="false">IF(ISERROR(ROUND(MEDIAN(BI357:BT357),0)),0,ROUND(MEDIAN(BI357:BT357),0))</f>
        <v>42</v>
      </c>
      <c r="BY357" s="11" t="n">
        <f aca="false">IF(ISERROR(ROUND(MEDIAN(BE357:BT357),0)),0,ROUND(MEDIAN(BE357:BT357),0))</f>
        <v>42</v>
      </c>
      <c r="BZ357" s="11" t="n">
        <f aca="false">IF(ISERROR(ROUND(MEDIAN(AU357:BT357),0)),0,ROUND(MEDIAN(AU357:BT357),0))</f>
        <v>56</v>
      </c>
      <c r="CA357" s="12" t="n">
        <f aca="false">IF(ISERROR(ROUND(MEDIAN(U357:BT357),0)),0,ROUND(MEDIAN(U357:BT357),0))</f>
        <v>63</v>
      </c>
      <c r="CB357" s="12" t="n">
        <f aca="false">IF(ISERROR(ROUND(MEDIAN(BT357),0)),0,ROUND(MEDIAN(BT357),0))</f>
        <v>0</v>
      </c>
      <c r="CC357" s="12" t="n">
        <f aca="false">IF(ISERROR(ROUND(MEDIAN(D357:BT357),0)),0,ROUND(MEDIAN(D357:BT357),0))</f>
        <v>42</v>
      </c>
      <c r="CD357" s="12" t="n">
        <f aca="false">MAX(D357:BT357)</f>
        <v>350</v>
      </c>
      <c r="CE357" s="7" t="n">
        <f aca="false">COUNTA(BQ357:BT357)</f>
        <v>2</v>
      </c>
      <c r="CF357" s="7" t="n">
        <f aca="false">COUNTA(BM357:BT357)</f>
        <v>3</v>
      </c>
      <c r="CG357" s="7" t="n">
        <f aca="false">COUNTA(BI357:BT357)</f>
        <v>5</v>
      </c>
      <c r="CH357" s="7" t="n">
        <f aca="false">COUNTA(BE357:BT357)</f>
        <v>7</v>
      </c>
      <c r="CI357" s="7" t="n">
        <f aca="false">COUNTA(AU357:BT357)</f>
        <v>9</v>
      </c>
      <c r="CJ357" s="7" t="n">
        <f aca="false">COUNTA(U357:BT357)</f>
        <v>18</v>
      </c>
      <c r="CK357" s="7" t="n">
        <f aca="false">COUNTA(BT357)</f>
        <v>0</v>
      </c>
      <c r="CL357" s="7" t="n">
        <f aca="false">COUNTA(D357:BT357)</f>
        <v>21</v>
      </c>
      <c r="CM357" s="17" t="str">
        <f aca="false">IF(AND(CE357=1,CJ357=1,BT357&lt;&gt;""),"5.ENTRANTES",IF(AND(CE357&lt;&gt;0,CE357/RIGHT($CE$1,1)&gt;=0.5,CJ357=CE357),"4.RECENTES",IF(AND(CF357&lt;&gt;0,CF357/RIGHT($CF$1,1)&gt;=0.5,CJ357=CF357),"4.RECENTES",IF(AND(CG357&lt;&gt;0,CG357/RIGHT($CG$1,2)&gt;=0.5,CJ357=CG357),"4.RECENTES",IF(AND(CH357&lt;&gt;0,CH357/RIGHT($CH$1,2)&gt;=0.5,CJ357=CH357),"4.RECENTES",IF(AND(CI357&lt;&gt;0,CI357/RIGHT($CI$1,2)&gt;=0.5,CJ357=CI357),"4.RECENTES",IF(AND(CE357=0,CF357=0,CG357=0,CH357=0),"3.INATIVOS",IF(CJ357/RIGHT($CJ$1,2)&lt;0.5,"2.INTERMITENTES","1.ORDINÁRIOS"))))))))</f>
        <v>2.INTERMITENTES</v>
      </c>
      <c r="CN357" s="18" t="n">
        <f aca="false">IF(AND(CE357=1,CJ357=1,BT357&lt;&gt;""),BT357,IF(AND(CE357&lt;&gt;0,CE357/RIGHT($CE$1,1)&gt;=0.5,CJ357=CE357),MAX(BV357:CC357),IF(AND(CF357&lt;&gt;0,CF357/RIGHT($CF$1,1)&gt;=0.5,CJ357=CF357),MAX(BV357:CC357),IF(AND(CG357&lt;&gt;0,CG357/RIGHT($CG$1,2)&gt;=0.5,CJ357=CG357),MAX(BV357:CC357),IF(AND(CH357&lt;&gt;0,CH357/RIGHT($CH$1,2)&gt;=0.5,CJ357=CH357),MAX(BV357:CC357),IF(AND(CI357&lt;&gt;0,CI357/RIGHT($CI$1,2)&gt;=0.5,CJ357=CI357),MAX(BV357:CC357),IF(AND(CE357=0,CF357=0,CG357=0,CH357=0),0,IF(CJ357/RIGHT($CJ$1,2)&lt;0.5,ROUND(BU357/RIGHT($CJ$1,2),0),MAX(BV357:CC357)))))))))</f>
        <v>32</v>
      </c>
      <c r="CO357" s="18" t="n">
        <f aca="false">CD357</f>
        <v>350</v>
      </c>
      <c r="CP357" s="15" t="n">
        <v>2527</v>
      </c>
      <c r="CQ357" s="16" t="n">
        <f aca="false">IF((CO357-CP357)&lt;0,0,(CO357-CP357))</f>
        <v>0</v>
      </c>
      <c r="CR357" s="7"/>
    </row>
    <row r="358" customFormat="false" ht="12.75" hidden="false" customHeight="true" outlineLevel="0" collapsed="false">
      <c r="A358" s="7" t="s">
        <v>461</v>
      </c>
      <c r="B358" s="7" t="s">
        <v>464</v>
      </c>
      <c r="C358" s="8" t="n">
        <v>300001003</v>
      </c>
      <c r="D358" s="9" t="n">
        <v>98</v>
      </c>
      <c r="E358" s="9"/>
      <c r="F358" s="9"/>
      <c r="G358" s="9" t="n">
        <v>63</v>
      </c>
      <c r="H358" s="9"/>
      <c r="I358" s="9"/>
      <c r="J358" s="9" t="n">
        <v>147</v>
      </c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 t="n">
        <v>315</v>
      </c>
      <c r="AG358" s="9" t="n">
        <v>105</v>
      </c>
      <c r="AH358" s="9" t="n">
        <v>28</v>
      </c>
      <c r="AI358" s="9" t="n">
        <v>14</v>
      </c>
      <c r="AJ358" s="9"/>
      <c r="AK358" s="9"/>
      <c r="AL358" s="9"/>
      <c r="AM358" s="9"/>
      <c r="AN358" s="9" t="n">
        <v>42</v>
      </c>
      <c r="AO358" s="9"/>
      <c r="AP358" s="9"/>
      <c r="AQ358" s="9"/>
      <c r="AR358" s="9"/>
      <c r="AS358" s="9"/>
      <c r="AT358" s="9"/>
      <c r="AU358" s="9" t="n">
        <v>63</v>
      </c>
      <c r="AV358" s="9"/>
      <c r="AW358" s="9" t="n">
        <v>14</v>
      </c>
      <c r="AX358" s="9" t="n">
        <v>56</v>
      </c>
      <c r="AY358" s="9" t="n">
        <v>14</v>
      </c>
      <c r="AZ358" s="9"/>
      <c r="BA358" s="9"/>
      <c r="BB358" s="9"/>
      <c r="BC358" s="9" t="n">
        <v>42</v>
      </c>
      <c r="BD358" s="9" t="n">
        <v>14</v>
      </c>
      <c r="BE358" s="9"/>
      <c r="BF358" s="9"/>
      <c r="BG358" s="9"/>
      <c r="BH358" s="9"/>
      <c r="BI358" s="9"/>
      <c r="BJ358" s="9"/>
      <c r="BK358" s="9"/>
      <c r="BL358" s="9"/>
      <c r="BM358" s="9"/>
      <c r="BN358" s="9"/>
      <c r="BO358" s="9"/>
      <c r="BP358" s="9"/>
      <c r="BQ358" s="9"/>
      <c r="BR358" s="9"/>
      <c r="BS358" s="9"/>
      <c r="BT358" s="9"/>
      <c r="BU358" s="10" t="n">
        <v>1015</v>
      </c>
      <c r="BV358" s="11" t="n">
        <f aca="false">IF(ISERROR(ROUND(MEDIAN(BQ358:BT358),0)),0,ROUND(MEDIAN(BQ358:BT358),0))</f>
        <v>0</v>
      </c>
      <c r="BW358" s="11" t="n">
        <f aca="false">IF(ISERROR(ROUND(MEDIAN(BM358:BT358),0)),0,ROUND(MEDIAN(BM358:BT358),0))</f>
        <v>0</v>
      </c>
      <c r="BX358" s="11" t="n">
        <f aca="false">IF(ISERROR(ROUND(MEDIAN(BI358:BT358),0)),0,ROUND(MEDIAN(BI358:BT358),0))</f>
        <v>0</v>
      </c>
      <c r="BY358" s="11" t="n">
        <f aca="false">IF(ISERROR(ROUND(MEDIAN(BE358:BT358),0)),0,ROUND(MEDIAN(BE358:BT358),0))</f>
        <v>0</v>
      </c>
      <c r="BZ358" s="11" t="n">
        <f aca="false">IF(ISERROR(ROUND(MEDIAN(AU358:BT358),0)),0,ROUND(MEDIAN(AU358:BT358),0))</f>
        <v>28</v>
      </c>
      <c r="CA358" s="12" t="n">
        <f aca="false">IF(ISERROR(ROUND(MEDIAN(U358:BT358),0)),0,ROUND(MEDIAN(U358:BT358),0))</f>
        <v>42</v>
      </c>
      <c r="CB358" s="12" t="n">
        <f aca="false">IF(ISERROR(ROUND(MEDIAN(BT358),0)),0,ROUND(MEDIAN(BT358),0))</f>
        <v>0</v>
      </c>
      <c r="CC358" s="12" t="n">
        <f aca="false">IF(ISERROR(ROUND(MEDIAN(D358:BT358),0)),0,ROUND(MEDIAN(D358:BT358),0))</f>
        <v>49</v>
      </c>
      <c r="CD358" s="12" t="n">
        <f aca="false">MAX(D358:BT358)</f>
        <v>315</v>
      </c>
      <c r="CE358" s="7" t="n">
        <f aca="false">COUNTA(BQ358:BT358)</f>
        <v>0</v>
      </c>
      <c r="CF358" s="7" t="n">
        <f aca="false">COUNTA(BM358:BT358)</f>
        <v>0</v>
      </c>
      <c r="CG358" s="7" t="n">
        <f aca="false">COUNTA(BI358:BT358)</f>
        <v>0</v>
      </c>
      <c r="CH358" s="7" t="n">
        <f aca="false">COUNTA(BE358:BT358)</f>
        <v>0</v>
      </c>
      <c r="CI358" s="7" t="n">
        <f aca="false">COUNTA(AU358:BT358)</f>
        <v>6</v>
      </c>
      <c r="CJ358" s="7" t="n">
        <f aca="false">COUNTA(U358:BT358)</f>
        <v>11</v>
      </c>
      <c r="CK358" s="7" t="n">
        <f aca="false">COUNTA(BT358)</f>
        <v>0</v>
      </c>
      <c r="CL358" s="7" t="n">
        <f aca="false">COUNTA(D358:BT358)</f>
        <v>14</v>
      </c>
      <c r="CM358" s="19" t="str">
        <f aca="false">IF(AND(CE358=1,CJ358=1,BT358&lt;&gt;""),"5.ENTRANTES",IF(AND(CE358&lt;&gt;0,CE358/RIGHT($CE$1,1)&gt;=0.5,CJ358=CE358),"4.RECENTES",IF(AND(CF358&lt;&gt;0,CF358/RIGHT($CF$1,1)&gt;=0.5,CJ358=CF358),"4.RECENTES",IF(AND(CG358&lt;&gt;0,CG358/RIGHT($CG$1,2)&gt;=0.5,CJ358=CG358),"4.RECENTES",IF(AND(CH358&lt;&gt;0,CH358/RIGHT($CH$1,2)&gt;=0.5,CJ358=CH358),"4.RECENTES",IF(AND(CI358&lt;&gt;0,CI358/RIGHT($CI$1,2)&gt;=0.5,CJ358=CI358),"4.RECENTES",IF(AND(CE358=0,CF358=0,CG358=0,CH358=0),"3.INATIVOS",IF(CJ358/RIGHT($CJ$1,2)&lt;0.5,"2.INTERMITENTES","1.ORDINÁRIOS"))))))))</f>
        <v>3.INATIVOS</v>
      </c>
      <c r="CN358" s="20" t="n">
        <f aca="false">IF(AND(CE358=1,CJ358=1,BT358&lt;&gt;""),BT358,IF(AND(CE358&lt;&gt;0,CE358/RIGHT($CE$1,1)&gt;=0.5,CJ358=CE358),MAX(BV358:CC358),IF(AND(CF358&lt;&gt;0,CF358/RIGHT($CF$1,1)&gt;=0.5,CJ358=CF358),MAX(BV358:CC358),IF(AND(CG358&lt;&gt;0,CG358/RIGHT($CG$1,2)&gt;=0.5,CJ358=CG358),MAX(BV358:CC358),IF(AND(CH358&lt;&gt;0,CH358/RIGHT($CH$1,2)&gt;=0.5,CJ358=CH358),MAX(BV358:CC358),IF(AND(CI358&lt;&gt;0,CI358/RIGHT($CI$1,2)&gt;=0.5,CJ358=CI358),MAX(BV358:CC358),IF(AND(CE358=0,CF358=0,CG358=0,CH358=0),0,IF(CJ358/RIGHT($CJ$1,2)&lt;0.5,ROUND(BU358/RIGHT($CJ$1,2),0),MAX(BV358:CC358)))))))))</f>
        <v>0</v>
      </c>
      <c r="CO358" s="20" t="n">
        <f aca="false">CN358*3</f>
        <v>0</v>
      </c>
      <c r="CP358" s="15" t="n">
        <v>2051</v>
      </c>
      <c r="CQ358" s="16" t="n">
        <f aca="false">IF((CO358-CP358)&lt;0,0,(CO358-CP358))</f>
        <v>0</v>
      </c>
      <c r="CR358" s="7"/>
    </row>
    <row r="359" customFormat="false" ht="12.75" hidden="false" customHeight="true" outlineLevel="0" collapsed="false">
      <c r="A359" s="7" t="s">
        <v>461</v>
      </c>
      <c r="B359" s="7" t="s">
        <v>465</v>
      </c>
      <c r="C359" s="8" t="n">
        <v>5000063</v>
      </c>
      <c r="D359" s="9"/>
      <c r="E359" s="9" t="n">
        <v>60</v>
      </c>
      <c r="F359" s="9"/>
      <c r="G359" s="9" t="n">
        <v>120</v>
      </c>
      <c r="H359" s="9"/>
      <c r="I359" s="9" t="n">
        <v>30</v>
      </c>
      <c r="J359" s="9" t="n">
        <v>360</v>
      </c>
      <c r="K359" s="9" t="n">
        <v>180</v>
      </c>
      <c r="L359" s="9" t="n">
        <v>180</v>
      </c>
      <c r="M359" s="9" t="n">
        <v>30</v>
      </c>
      <c r="N359" s="9" t="n">
        <v>60</v>
      </c>
      <c r="O359" s="9" t="n">
        <v>60</v>
      </c>
      <c r="P359" s="9"/>
      <c r="Q359" s="9"/>
      <c r="R359" s="9" t="n">
        <v>180</v>
      </c>
      <c r="S359" s="9" t="n">
        <v>60</v>
      </c>
      <c r="T359" s="9"/>
      <c r="U359" s="9"/>
      <c r="V359" s="9" t="n">
        <v>180</v>
      </c>
      <c r="W359" s="9" t="n">
        <v>120</v>
      </c>
      <c r="X359" s="9" t="n">
        <v>240</v>
      </c>
      <c r="Y359" s="9" t="n">
        <v>60</v>
      </c>
      <c r="Z359" s="9"/>
      <c r="AA359" s="9" t="n">
        <v>300</v>
      </c>
      <c r="AB359" s="9" t="n">
        <v>60</v>
      </c>
      <c r="AC359" s="9"/>
      <c r="AD359" s="9"/>
      <c r="AE359" s="9"/>
      <c r="AF359" s="9" t="n">
        <v>1770</v>
      </c>
      <c r="AG359" s="9" t="n">
        <v>60</v>
      </c>
      <c r="AH359" s="9" t="n">
        <v>120</v>
      </c>
      <c r="AI359" s="9" t="n">
        <v>150</v>
      </c>
      <c r="AJ359" s="9" t="n">
        <v>120</v>
      </c>
      <c r="AK359" s="9" t="n">
        <v>180</v>
      </c>
      <c r="AL359" s="9" t="n">
        <v>60</v>
      </c>
      <c r="AM359" s="9" t="n">
        <v>210</v>
      </c>
      <c r="AN359" s="9" t="n">
        <v>300</v>
      </c>
      <c r="AO359" s="9" t="n">
        <v>60</v>
      </c>
      <c r="AP359" s="9" t="n">
        <v>180</v>
      </c>
      <c r="AQ359" s="9" t="n">
        <v>150</v>
      </c>
      <c r="AR359" s="9" t="n">
        <v>180</v>
      </c>
      <c r="AS359" s="9" t="n">
        <v>90</v>
      </c>
      <c r="AT359" s="9" t="n">
        <v>210</v>
      </c>
      <c r="AU359" s="9" t="n">
        <v>240</v>
      </c>
      <c r="AV359" s="9" t="n">
        <v>30</v>
      </c>
      <c r="AW359" s="9"/>
      <c r="AX359" s="9" t="n">
        <v>210</v>
      </c>
      <c r="AY359" s="9" t="n">
        <v>120</v>
      </c>
      <c r="AZ359" s="9" t="n">
        <v>120</v>
      </c>
      <c r="BA359" s="9" t="n">
        <v>60</v>
      </c>
      <c r="BB359" s="9" t="n">
        <v>390</v>
      </c>
      <c r="BC359" s="9" t="n">
        <v>120</v>
      </c>
      <c r="BD359" s="9" t="n">
        <v>270</v>
      </c>
      <c r="BE359" s="9" t="n">
        <v>120</v>
      </c>
      <c r="BF359" s="9" t="n">
        <v>90</v>
      </c>
      <c r="BG359" s="9" t="n">
        <v>240</v>
      </c>
      <c r="BH359" s="9" t="n">
        <v>60</v>
      </c>
      <c r="BI359" s="9" t="n">
        <v>180</v>
      </c>
      <c r="BJ359" s="9"/>
      <c r="BK359" s="9"/>
      <c r="BL359" s="9" t="n">
        <v>360</v>
      </c>
      <c r="BM359" s="9" t="n">
        <v>90</v>
      </c>
      <c r="BN359" s="9" t="n">
        <v>270</v>
      </c>
      <c r="BO359" s="9"/>
      <c r="BP359" s="9" t="n">
        <v>120</v>
      </c>
      <c r="BQ359" s="9" t="n">
        <v>120</v>
      </c>
      <c r="BR359" s="9" t="n">
        <v>90</v>
      </c>
      <c r="BS359" s="9" t="n">
        <v>60</v>
      </c>
      <c r="BT359" s="9"/>
      <c r="BU359" s="10" t="n">
        <v>9480</v>
      </c>
      <c r="BV359" s="11" t="n">
        <f aca="false">IF(ISERROR(ROUND(MEDIAN(BQ359:BT359),0)),0,ROUND(MEDIAN(BQ359:BT359),0))</f>
        <v>90</v>
      </c>
      <c r="BW359" s="11" t="n">
        <f aca="false">IF(ISERROR(ROUND(MEDIAN(BM359:BT359),0)),0,ROUND(MEDIAN(BM359:BT359),0))</f>
        <v>105</v>
      </c>
      <c r="BX359" s="11" t="n">
        <f aca="false">IF(ISERROR(ROUND(MEDIAN(BI359:BT359),0)),0,ROUND(MEDIAN(BI359:BT359),0))</f>
        <v>120</v>
      </c>
      <c r="BY359" s="11" t="n">
        <f aca="false">IF(ISERROR(ROUND(MEDIAN(BE359:BT359),0)),0,ROUND(MEDIAN(BE359:BT359),0))</f>
        <v>120</v>
      </c>
      <c r="BZ359" s="11" t="n">
        <f aca="false">IF(ISERROR(ROUND(MEDIAN(AU359:BT359),0)),0,ROUND(MEDIAN(AU359:BT359),0))</f>
        <v>120</v>
      </c>
      <c r="CA359" s="12" t="n">
        <f aca="false">IF(ISERROR(ROUND(MEDIAN(U359:BT359),0)),0,ROUND(MEDIAN(U359:BT359),0))</f>
        <v>120</v>
      </c>
      <c r="CB359" s="12" t="n">
        <f aca="false">IF(ISERROR(ROUND(MEDIAN(BT359),0)),0,ROUND(MEDIAN(BT359),0))</f>
        <v>0</v>
      </c>
      <c r="CC359" s="12" t="n">
        <f aca="false">IF(ISERROR(ROUND(MEDIAN(D359:BT359),0)),0,ROUND(MEDIAN(D359:BT359),0))</f>
        <v>120</v>
      </c>
      <c r="CD359" s="12" t="n">
        <f aca="false">MAX(D359:BT359)</f>
        <v>1770</v>
      </c>
      <c r="CE359" s="7" t="n">
        <f aca="false">COUNTA(BQ359:BT359)</f>
        <v>3</v>
      </c>
      <c r="CF359" s="7" t="n">
        <f aca="false">COUNTA(BM359:BT359)</f>
        <v>6</v>
      </c>
      <c r="CG359" s="7" t="n">
        <f aca="false">COUNTA(BI359:BT359)</f>
        <v>8</v>
      </c>
      <c r="CH359" s="7" t="n">
        <f aca="false">COUNTA(BE359:BT359)</f>
        <v>12</v>
      </c>
      <c r="CI359" s="7" t="n">
        <f aca="false">COUNTA(AU359:BT359)</f>
        <v>21</v>
      </c>
      <c r="CJ359" s="7" t="n">
        <f aca="false">COUNTA(U359:BT359)</f>
        <v>42</v>
      </c>
      <c r="CK359" s="7" t="n">
        <f aca="false">COUNTA(BT359)</f>
        <v>0</v>
      </c>
      <c r="CL359" s="7" t="n">
        <f aca="false">COUNTA(D359:BT359)</f>
        <v>53</v>
      </c>
      <c r="CM359" s="13" t="str">
        <f aca="false">IF(AND(CE359=1,CJ359=1,BT359&lt;&gt;""),"5.ENTRANTES",IF(AND(CE359&lt;&gt;0,CE359/RIGHT($CE$1,1)&gt;=0.5,CJ359=CE359),"4.RECENTES",IF(AND(CF359&lt;&gt;0,CF359/RIGHT($CF$1,1)&gt;=0.5,CJ359=CF359),"4.RECENTES",IF(AND(CG359&lt;&gt;0,CG359/RIGHT($CG$1,2)&gt;=0.5,CJ359=CG359),"4.RECENTES",IF(AND(CH359&lt;&gt;0,CH359/RIGHT($CH$1,2)&gt;=0.5,CJ359=CH359),"4.RECENTES",IF(AND(CI359&lt;&gt;0,CI359/RIGHT($CI$1,2)&gt;=0.5,CJ359=CI359),"4.RECENTES",IF(AND(CE359=0,CF359=0,CG359=0,CH359=0),"3.INATIVOS",IF(CJ359/RIGHT($CJ$1,2)&lt;0.5,"2.INTERMITENTES","1.ORDINÁRIOS"))))))))</f>
        <v>1.ORDINÁRIOS</v>
      </c>
      <c r="CN359" s="14" t="n">
        <f aca="false">IF(AND(CE359=1,CJ359=1,BT359&lt;&gt;""),BT359,IF(AND(CE359&lt;&gt;0,CE359/RIGHT($CE$1,1)&gt;=0.5,CJ359=CE359),MAX(BV359:CC359),IF(AND(CF359&lt;&gt;0,CF359/RIGHT($CF$1,1)&gt;=0.5,CJ359=CF359),MAX(BV359:CC359),IF(AND(CG359&lt;&gt;0,CG359/RIGHT($CG$1,2)&gt;=0.5,CJ359=CG359),MAX(BV359:CC359),IF(AND(CH359&lt;&gt;0,CH359/RIGHT($CH$1,2)&gt;=0.5,CJ359=CH359),MAX(BV359:CC359),IF(AND(CI359&lt;&gt;0,CI359/RIGHT($CI$1,2)&gt;=0.5,CJ359=CI359),MAX(BV359:CC359),IF(AND(CE359=0,CF359=0,CG359=0,CH359=0),0,IF(CJ359/RIGHT($CJ$1,2)&lt;0.5,ROUND(BU359/RIGHT($CJ$1,2),0),MAX(BV359:CC359)))))))))</f>
        <v>120</v>
      </c>
      <c r="CO359" s="14" t="n">
        <f aca="false">CN359*3</f>
        <v>360</v>
      </c>
      <c r="CP359" s="15" t="n">
        <v>6280</v>
      </c>
      <c r="CQ359" s="16" t="n">
        <f aca="false">IF((CO359-CP359)&lt;0,0,(CO359-CP359))</f>
        <v>0</v>
      </c>
      <c r="CR359" s="7"/>
    </row>
    <row r="360" customFormat="false" ht="12.75" hidden="false" customHeight="true" outlineLevel="0" collapsed="false">
      <c r="A360" s="7" t="s">
        <v>461</v>
      </c>
      <c r="B360" s="7" t="s">
        <v>466</v>
      </c>
      <c r="C360" s="8" t="n">
        <v>300001005</v>
      </c>
      <c r="D360" s="9"/>
      <c r="E360" s="9"/>
      <c r="F360" s="9"/>
      <c r="G360" s="9"/>
      <c r="H360" s="9"/>
      <c r="I360" s="9"/>
      <c r="J360" s="9" t="n">
        <v>60</v>
      </c>
      <c r="K360" s="9" t="n">
        <v>150</v>
      </c>
      <c r="L360" s="9" t="n">
        <v>30</v>
      </c>
      <c r="M360" s="9"/>
      <c r="N360" s="9"/>
      <c r="O360" s="9" t="n">
        <v>60</v>
      </c>
      <c r="P360" s="9"/>
      <c r="Q360" s="9"/>
      <c r="R360" s="9"/>
      <c r="S360" s="9"/>
      <c r="T360" s="9"/>
      <c r="U360" s="9"/>
      <c r="V360" s="9"/>
      <c r="W360" s="9" t="n">
        <v>60</v>
      </c>
      <c r="X360" s="9"/>
      <c r="Y360" s="9"/>
      <c r="Z360" s="9"/>
      <c r="AA360" s="9"/>
      <c r="AB360" s="9"/>
      <c r="AC360" s="9"/>
      <c r="AD360" s="9"/>
      <c r="AE360" s="9"/>
      <c r="AF360" s="9" t="n">
        <v>30</v>
      </c>
      <c r="AG360" s="9"/>
      <c r="AH360" s="9"/>
      <c r="AI360" s="9"/>
      <c r="AJ360" s="9"/>
      <c r="AK360" s="9"/>
      <c r="AL360" s="9"/>
      <c r="AM360" s="9" t="n">
        <v>30</v>
      </c>
      <c r="AN360" s="9" t="n">
        <v>120</v>
      </c>
      <c r="AO360" s="9"/>
      <c r="AP360" s="9" t="n">
        <v>30</v>
      </c>
      <c r="AQ360" s="9"/>
      <c r="AR360" s="9"/>
      <c r="AS360" s="9" t="n">
        <v>30</v>
      </c>
      <c r="AT360" s="9" t="n">
        <v>60</v>
      </c>
      <c r="AU360" s="9" t="n">
        <v>30</v>
      </c>
      <c r="AV360" s="9"/>
      <c r="AW360" s="9"/>
      <c r="AX360" s="9"/>
      <c r="AY360" s="9"/>
      <c r="AZ360" s="9"/>
      <c r="BA360" s="9"/>
      <c r="BB360" s="9" t="n">
        <v>360</v>
      </c>
      <c r="BC360" s="9"/>
      <c r="BD360" s="9" t="n">
        <v>60</v>
      </c>
      <c r="BE360" s="9"/>
      <c r="BF360" s="9"/>
      <c r="BG360" s="9"/>
      <c r="BH360" s="9"/>
      <c r="BI360" s="9" t="n">
        <v>30</v>
      </c>
      <c r="BJ360" s="9"/>
      <c r="BK360" s="9"/>
      <c r="BL360" s="9"/>
      <c r="BM360" s="9"/>
      <c r="BN360" s="9"/>
      <c r="BO360" s="9"/>
      <c r="BP360" s="9"/>
      <c r="BQ360" s="9"/>
      <c r="BR360" s="9" t="n">
        <v>30</v>
      </c>
      <c r="BS360" s="9"/>
      <c r="BT360" s="9"/>
      <c r="BU360" s="10" t="n">
        <v>1170</v>
      </c>
      <c r="BV360" s="11" t="n">
        <f aca="false">IF(ISERROR(ROUND(MEDIAN(BQ360:BT360),0)),0,ROUND(MEDIAN(BQ360:BT360),0))</f>
        <v>30</v>
      </c>
      <c r="BW360" s="11" t="n">
        <f aca="false">IF(ISERROR(ROUND(MEDIAN(BM360:BT360),0)),0,ROUND(MEDIAN(BM360:BT360),0))</f>
        <v>30</v>
      </c>
      <c r="BX360" s="11" t="n">
        <f aca="false">IF(ISERROR(ROUND(MEDIAN(BI360:BT360),0)),0,ROUND(MEDIAN(BI360:BT360),0))</f>
        <v>30</v>
      </c>
      <c r="BY360" s="11" t="n">
        <f aca="false">IF(ISERROR(ROUND(MEDIAN(BE360:BT360),0)),0,ROUND(MEDIAN(BE360:BT360),0))</f>
        <v>30</v>
      </c>
      <c r="BZ360" s="11" t="n">
        <f aca="false">IF(ISERROR(ROUND(MEDIAN(AU360:BT360),0)),0,ROUND(MEDIAN(AU360:BT360),0))</f>
        <v>30</v>
      </c>
      <c r="CA360" s="12" t="n">
        <f aca="false">IF(ISERROR(ROUND(MEDIAN(U360:BT360),0)),0,ROUND(MEDIAN(U360:BT360),0))</f>
        <v>30</v>
      </c>
      <c r="CB360" s="12" t="n">
        <f aca="false">IF(ISERROR(ROUND(MEDIAN(BT360),0)),0,ROUND(MEDIAN(BT360),0))</f>
        <v>0</v>
      </c>
      <c r="CC360" s="12" t="n">
        <f aca="false">IF(ISERROR(ROUND(MEDIAN(D360:BT360),0)),0,ROUND(MEDIAN(D360:BT360),0))</f>
        <v>45</v>
      </c>
      <c r="CD360" s="12" t="n">
        <f aca="false">MAX(D360:BT360)</f>
        <v>360</v>
      </c>
      <c r="CE360" s="7" t="n">
        <f aca="false">COUNTA(BQ360:BT360)</f>
        <v>1</v>
      </c>
      <c r="CF360" s="7" t="n">
        <f aca="false">COUNTA(BM360:BT360)</f>
        <v>1</v>
      </c>
      <c r="CG360" s="7" t="n">
        <f aca="false">COUNTA(BI360:BT360)</f>
        <v>2</v>
      </c>
      <c r="CH360" s="7" t="n">
        <f aca="false">COUNTA(BE360:BT360)</f>
        <v>2</v>
      </c>
      <c r="CI360" s="7" t="n">
        <f aca="false">COUNTA(AU360:BT360)</f>
        <v>5</v>
      </c>
      <c r="CJ360" s="7" t="n">
        <f aca="false">COUNTA(U360:BT360)</f>
        <v>12</v>
      </c>
      <c r="CK360" s="7" t="n">
        <f aca="false">COUNTA(BT360)</f>
        <v>0</v>
      </c>
      <c r="CL360" s="7" t="n">
        <f aca="false">COUNTA(D360:BT360)</f>
        <v>16</v>
      </c>
      <c r="CM360" s="17" t="str">
        <f aca="false">IF(AND(CE360=1,CJ360=1,BT360&lt;&gt;""),"5.ENTRANTES",IF(AND(CE360&lt;&gt;0,CE360/RIGHT($CE$1,1)&gt;=0.5,CJ360=CE360),"4.RECENTES",IF(AND(CF360&lt;&gt;0,CF360/RIGHT($CF$1,1)&gt;=0.5,CJ360=CF360),"4.RECENTES",IF(AND(CG360&lt;&gt;0,CG360/RIGHT($CG$1,2)&gt;=0.5,CJ360=CG360),"4.RECENTES",IF(AND(CH360&lt;&gt;0,CH360/RIGHT($CH$1,2)&gt;=0.5,CJ360=CH360),"4.RECENTES",IF(AND(CI360&lt;&gt;0,CI360/RIGHT($CI$1,2)&gt;=0.5,CJ360=CI360),"4.RECENTES",IF(AND(CE360=0,CF360=0,CG360=0,CH360=0),"3.INATIVOS",IF(CJ360/RIGHT($CJ$1,2)&lt;0.5,"2.INTERMITENTES","1.ORDINÁRIOS"))))))))</f>
        <v>2.INTERMITENTES</v>
      </c>
      <c r="CN360" s="18" t="n">
        <f aca="false">IF(AND(CE360=1,CJ360=1,BT360&lt;&gt;""),BT360,IF(AND(CE360&lt;&gt;0,CE360/RIGHT($CE$1,1)&gt;=0.5,CJ360=CE360),MAX(BV360:CC360),IF(AND(CF360&lt;&gt;0,CF360/RIGHT($CF$1,1)&gt;=0.5,CJ360=CF360),MAX(BV360:CC360),IF(AND(CG360&lt;&gt;0,CG360/RIGHT($CG$1,2)&gt;=0.5,CJ360=CG360),MAX(BV360:CC360),IF(AND(CH360&lt;&gt;0,CH360/RIGHT($CH$1,2)&gt;=0.5,CJ360=CH360),MAX(BV360:CC360),IF(AND(CI360&lt;&gt;0,CI360/RIGHT($CI$1,2)&gt;=0.5,CJ360=CI360),MAX(BV360:CC360),IF(AND(CE360=0,CF360=0,CG360=0,CH360=0),0,IF(CJ360/RIGHT($CJ$1,2)&lt;0.5,ROUND(BU360/RIGHT($CJ$1,2),0),MAX(BV360:CC360)))))))))</f>
        <v>23</v>
      </c>
      <c r="CO360" s="18" t="n">
        <f aca="false">CD360</f>
        <v>360</v>
      </c>
      <c r="CP360" s="15" t="n">
        <v>1020</v>
      </c>
      <c r="CQ360" s="16" t="n">
        <f aca="false">IF((CO360-CP360)&lt;0,0,(CO360-CP360))</f>
        <v>0</v>
      </c>
      <c r="CR360" s="7"/>
    </row>
    <row r="361" customFormat="false" ht="12.75" hidden="false" customHeight="true" outlineLevel="0" collapsed="false">
      <c r="A361" s="7"/>
      <c r="B361" s="7"/>
      <c r="C361" s="8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9"/>
      <c r="AX361" s="9"/>
      <c r="AY361" s="9"/>
      <c r="AZ361" s="9"/>
      <c r="BA361" s="9"/>
      <c r="BB361" s="9"/>
      <c r="BC361" s="9"/>
      <c r="BD361" s="9"/>
      <c r="BE361" s="9"/>
      <c r="BF361" s="9"/>
      <c r="BG361" s="9"/>
      <c r="BH361" s="9"/>
      <c r="BI361" s="9"/>
      <c r="BJ361" s="9"/>
      <c r="BK361" s="9"/>
      <c r="BL361" s="9"/>
      <c r="BM361" s="9"/>
      <c r="BN361" s="9"/>
      <c r="BO361" s="9"/>
      <c r="BP361" s="9"/>
      <c r="BQ361" s="9"/>
      <c r="BR361" s="9"/>
      <c r="BS361" s="9"/>
      <c r="BT361" s="9"/>
      <c r="BU361" s="10"/>
      <c r="BV361" s="9"/>
      <c r="BW361" s="9"/>
      <c r="BX361" s="9"/>
      <c r="BY361" s="9"/>
      <c r="BZ361" s="9"/>
      <c r="CA361" s="9"/>
      <c r="CB361" s="9"/>
      <c r="CC361" s="9"/>
      <c r="CD361" s="9"/>
      <c r="CE361" s="7"/>
      <c r="CF361" s="7"/>
      <c r="CG361" s="7"/>
      <c r="CH361" s="7"/>
      <c r="CI361" s="7"/>
      <c r="CJ361" s="7"/>
      <c r="CK361" s="7"/>
      <c r="CL361" s="7"/>
      <c r="CM361" s="7"/>
      <c r="CN361" s="9"/>
      <c r="CO361" s="7"/>
      <c r="CP361" s="7"/>
      <c r="CQ361" s="7"/>
      <c r="CR361" s="7"/>
    </row>
    <row r="362" customFormat="false" ht="12.75" hidden="false" customHeight="true" outlineLevel="0" collapsed="false">
      <c r="A362" s="7"/>
      <c r="B362" s="7"/>
      <c r="C362" s="8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  <c r="AW362" s="9"/>
      <c r="AX362" s="9"/>
      <c r="AY362" s="9"/>
      <c r="AZ362" s="9"/>
      <c r="BA362" s="9"/>
      <c r="BB362" s="9"/>
      <c r="BC362" s="9"/>
      <c r="BD362" s="9"/>
      <c r="BE362" s="9"/>
      <c r="BF362" s="9"/>
      <c r="BG362" s="9"/>
      <c r="BH362" s="9"/>
      <c r="BI362" s="9"/>
      <c r="BJ362" s="9"/>
      <c r="BK362" s="9"/>
      <c r="BL362" s="9"/>
      <c r="BM362" s="9"/>
      <c r="BN362" s="9"/>
      <c r="BO362" s="9"/>
      <c r="BP362" s="9"/>
      <c r="BQ362" s="9"/>
      <c r="BR362" s="9"/>
      <c r="BS362" s="9"/>
      <c r="BT362" s="9"/>
      <c r="BU362" s="10"/>
      <c r="BV362" s="9"/>
      <c r="BW362" s="9"/>
      <c r="BX362" s="9"/>
      <c r="BY362" s="9"/>
      <c r="BZ362" s="9"/>
      <c r="CA362" s="9"/>
      <c r="CB362" s="9"/>
      <c r="CC362" s="9"/>
      <c r="CD362" s="9"/>
      <c r="CE362" s="7"/>
      <c r="CF362" s="7"/>
      <c r="CG362" s="7"/>
      <c r="CH362" s="7"/>
      <c r="CI362" s="7"/>
      <c r="CJ362" s="7"/>
      <c r="CK362" s="7"/>
      <c r="CL362" s="7"/>
      <c r="CM362" s="7"/>
      <c r="CN362" s="9"/>
      <c r="CO362" s="7"/>
      <c r="CP362" s="7"/>
      <c r="CQ362" s="7"/>
      <c r="CR362" s="7"/>
    </row>
    <row r="363" customFormat="false" ht="12.75" hidden="false" customHeight="true" outlineLevel="0" collapsed="false">
      <c r="A363" s="7"/>
      <c r="B363" s="7"/>
      <c r="C363" s="8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9"/>
      <c r="AX363" s="9"/>
      <c r="AY363" s="9"/>
      <c r="AZ363" s="9"/>
      <c r="BA363" s="9"/>
      <c r="BB363" s="9"/>
      <c r="BC363" s="9"/>
      <c r="BD363" s="9"/>
      <c r="BE363" s="9"/>
      <c r="BF363" s="9"/>
      <c r="BG363" s="9"/>
      <c r="BH363" s="9"/>
      <c r="BI363" s="9"/>
      <c r="BJ363" s="9"/>
      <c r="BK363" s="9"/>
      <c r="BL363" s="9"/>
      <c r="BM363" s="9"/>
      <c r="BN363" s="9"/>
      <c r="BO363" s="9"/>
      <c r="BP363" s="9"/>
      <c r="BQ363" s="9"/>
      <c r="BR363" s="9"/>
      <c r="BS363" s="9"/>
      <c r="BT363" s="9"/>
      <c r="BU363" s="10"/>
      <c r="BV363" s="9"/>
      <c r="BW363" s="9"/>
      <c r="BX363" s="9"/>
      <c r="BY363" s="9"/>
      <c r="BZ363" s="9"/>
      <c r="CA363" s="9"/>
      <c r="CB363" s="9"/>
      <c r="CC363" s="9"/>
      <c r="CD363" s="9"/>
      <c r="CE363" s="7"/>
      <c r="CF363" s="7"/>
      <c r="CG363" s="7"/>
      <c r="CH363" s="7"/>
      <c r="CI363" s="7"/>
      <c r="CJ363" s="7"/>
      <c r="CK363" s="7"/>
      <c r="CL363" s="7"/>
      <c r="CM363" s="7"/>
      <c r="CN363" s="9"/>
      <c r="CO363" s="7"/>
      <c r="CP363" s="7"/>
      <c r="CQ363" s="7"/>
      <c r="CR363" s="7"/>
    </row>
    <row r="364" customFormat="false" ht="12.75" hidden="false" customHeight="true" outlineLevel="0" collapsed="false">
      <c r="A364" s="7"/>
      <c r="B364" s="7"/>
      <c r="C364" s="8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  <c r="AX364" s="9"/>
      <c r="AY364" s="9"/>
      <c r="AZ364" s="9"/>
      <c r="BA364" s="9"/>
      <c r="BB364" s="9"/>
      <c r="BC364" s="9"/>
      <c r="BD364" s="9"/>
      <c r="BE364" s="9"/>
      <c r="BF364" s="9"/>
      <c r="BG364" s="9"/>
      <c r="BH364" s="9"/>
      <c r="BI364" s="9"/>
      <c r="BJ364" s="9"/>
      <c r="BK364" s="9"/>
      <c r="BL364" s="9"/>
      <c r="BM364" s="9"/>
      <c r="BN364" s="9"/>
      <c r="BO364" s="9"/>
      <c r="BP364" s="9"/>
      <c r="BQ364" s="9"/>
      <c r="BR364" s="9"/>
      <c r="BS364" s="9"/>
      <c r="BT364" s="9"/>
      <c r="BU364" s="10"/>
      <c r="BV364" s="9"/>
      <c r="BW364" s="9"/>
      <c r="BX364" s="9"/>
      <c r="BY364" s="9"/>
      <c r="BZ364" s="9"/>
      <c r="CA364" s="9"/>
      <c r="CB364" s="9"/>
      <c r="CC364" s="9"/>
      <c r="CD364" s="9"/>
      <c r="CE364" s="7"/>
      <c r="CF364" s="7"/>
      <c r="CG364" s="7"/>
      <c r="CH364" s="7"/>
      <c r="CI364" s="7"/>
      <c r="CJ364" s="7"/>
      <c r="CK364" s="7"/>
      <c r="CL364" s="7"/>
      <c r="CM364" s="7"/>
      <c r="CN364" s="9"/>
      <c r="CO364" s="7"/>
      <c r="CP364" s="7"/>
      <c r="CQ364" s="7"/>
      <c r="CR364" s="7"/>
    </row>
    <row r="365" customFormat="false" ht="12.75" hidden="false" customHeight="true" outlineLevel="0" collapsed="false">
      <c r="A365" s="7"/>
      <c r="B365" s="7"/>
      <c r="C365" s="8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9"/>
      <c r="AX365" s="9"/>
      <c r="AY365" s="9"/>
      <c r="AZ365" s="9"/>
      <c r="BA365" s="9"/>
      <c r="BB365" s="9"/>
      <c r="BC365" s="9"/>
      <c r="BD365" s="9"/>
      <c r="BE365" s="9"/>
      <c r="BF365" s="9"/>
      <c r="BG365" s="9"/>
      <c r="BH365" s="9"/>
      <c r="BI365" s="9"/>
      <c r="BJ365" s="9"/>
      <c r="BK365" s="9"/>
      <c r="BL365" s="9"/>
      <c r="BM365" s="9"/>
      <c r="BN365" s="9"/>
      <c r="BO365" s="9"/>
      <c r="BP365" s="9"/>
      <c r="BQ365" s="9"/>
      <c r="BR365" s="9"/>
      <c r="BS365" s="9"/>
      <c r="BT365" s="9"/>
      <c r="BU365" s="10"/>
      <c r="BV365" s="9"/>
      <c r="BW365" s="9"/>
      <c r="BX365" s="9"/>
      <c r="BY365" s="9"/>
      <c r="BZ365" s="9"/>
      <c r="CA365" s="9"/>
      <c r="CB365" s="9"/>
      <c r="CC365" s="9"/>
      <c r="CD365" s="9"/>
      <c r="CE365" s="7"/>
      <c r="CF365" s="7"/>
      <c r="CG365" s="7"/>
      <c r="CH365" s="7"/>
      <c r="CI365" s="7"/>
      <c r="CJ365" s="7"/>
      <c r="CK365" s="7"/>
      <c r="CL365" s="7"/>
      <c r="CM365" s="7"/>
      <c r="CN365" s="9"/>
      <c r="CO365" s="7"/>
      <c r="CP365" s="7"/>
      <c r="CQ365" s="7"/>
      <c r="CR365" s="7"/>
    </row>
    <row r="366" customFormat="false" ht="12.75" hidden="false" customHeight="true" outlineLevel="0" collapsed="false">
      <c r="A366" s="7"/>
      <c r="B366" s="7"/>
      <c r="C366" s="8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  <c r="AX366" s="9"/>
      <c r="AY366" s="9"/>
      <c r="AZ366" s="9"/>
      <c r="BA366" s="9"/>
      <c r="BB366" s="9"/>
      <c r="BC366" s="9"/>
      <c r="BD366" s="9"/>
      <c r="BE366" s="9"/>
      <c r="BF366" s="9"/>
      <c r="BG366" s="9"/>
      <c r="BH366" s="9"/>
      <c r="BI366" s="9"/>
      <c r="BJ366" s="9"/>
      <c r="BK366" s="9"/>
      <c r="BL366" s="9"/>
      <c r="BM366" s="9"/>
      <c r="BN366" s="9"/>
      <c r="BO366" s="9"/>
      <c r="BP366" s="9"/>
      <c r="BQ366" s="9"/>
      <c r="BR366" s="9"/>
      <c r="BS366" s="9"/>
      <c r="BT366" s="9"/>
      <c r="BU366" s="10"/>
      <c r="BV366" s="9"/>
      <c r="BW366" s="9"/>
      <c r="BX366" s="9"/>
      <c r="BY366" s="9"/>
      <c r="BZ366" s="9"/>
      <c r="CA366" s="9"/>
      <c r="CB366" s="9"/>
      <c r="CC366" s="9"/>
      <c r="CD366" s="9"/>
      <c r="CE366" s="7"/>
      <c r="CF366" s="7"/>
      <c r="CG366" s="7"/>
      <c r="CH366" s="7"/>
      <c r="CI366" s="7"/>
      <c r="CJ366" s="7"/>
      <c r="CK366" s="7"/>
      <c r="CL366" s="7"/>
      <c r="CM366" s="7"/>
      <c r="CN366" s="9"/>
      <c r="CO366" s="7"/>
      <c r="CP366" s="7"/>
      <c r="CQ366" s="7"/>
      <c r="CR366" s="7"/>
    </row>
    <row r="367" customFormat="false" ht="12.75" hidden="false" customHeight="true" outlineLevel="0" collapsed="false">
      <c r="A367" s="7"/>
      <c r="B367" s="7"/>
      <c r="C367" s="8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9"/>
      <c r="AX367" s="9"/>
      <c r="AY367" s="9"/>
      <c r="AZ367" s="9"/>
      <c r="BA367" s="9"/>
      <c r="BB367" s="9"/>
      <c r="BC367" s="9"/>
      <c r="BD367" s="9"/>
      <c r="BE367" s="9"/>
      <c r="BF367" s="9"/>
      <c r="BG367" s="9"/>
      <c r="BH367" s="9"/>
      <c r="BI367" s="9"/>
      <c r="BJ367" s="9"/>
      <c r="BK367" s="9"/>
      <c r="BL367" s="9"/>
      <c r="BM367" s="9"/>
      <c r="BN367" s="9"/>
      <c r="BO367" s="9"/>
      <c r="BP367" s="9"/>
      <c r="BQ367" s="9"/>
      <c r="BR367" s="9"/>
      <c r="BS367" s="9"/>
      <c r="BT367" s="9"/>
      <c r="BU367" s="10"/>
      <c r="BV367" s="9"/>
      <c r="BW367" s="9"/>
      <c r="BX367" s="9"/>
      <c r="BY367" s="9"/>
      <c r="BZ367" s="9"/>
      <c r="CA367" s="9"/>
      <c r="CB367" s="9"/>
      <c r="CC367" s="9"/>
      <c r="CD367" s="9"/>
      <c r="CE367" s="7"/>
      <c r="CF367" s="7"/>
      <c r="CG367" s="7"/>
      <c r="CH367" s="7"/>
      <c r="CI367" s="7"/>
      <c r="CJ367" s="7"/>
      <c r="CK367" s="7"/>
      <c r="CL367" s="7"/>
      <c r="CM367" s="7"/>
      <c r="CN367" s="9"/>
      <c r="CO367" s="7"/>
      <c r="CP367" s="7"/>
      <c r="CQ367" s="7"/>
      <c r="CR367" s="7"/>
    </row>
    <row r="368" customFormat="false" ht="12.75" hidden="false" customHeight="true" outlineLevel="0" collapsed="false">
      <c r="A368" s="7"/>
      <c r="B368" s="7"/>
      <c r="C368" s="8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9"/>
      <c r="AX368" s="9"/>
      <c r="AY368" s="9"/>
      <c r="AZ368" s="9"/>
      <c r="BA368" s="9"/>
      <c r="BB368" s="9"/>
      <c r="BC368" s="9"/>
      <c r="BD368" s="9"/>
      <c r="BE368" s="9"/>
      <c r="BF368" s="9"/>
      <c r="BG368" s="9"/>
      <c r="BH368" s="9"/>
      <c r="BI368" s="9"/>
      <c r="BJ368" s="9"/>
      <c r="BK368" s="9"/>
      <c r="BL368" s="9"/>
      <c r="BM368" s="9"/>
      <c r="BN368" s="9"/>
      <c r="BO368" s="9"/>
      <c r="BP368" s="9"/>
      <c r="BQ368" s="9"/>
      <c r="BR368" s="9"/>
      <c r="BS368" s="9"/>
      <c r="BT368" s="9"/>
      <c r="BU368" s="10"/>
      <c r="BV368" s="9"/>
      <c r="BW368" s="9"/>
      <c r="BX368" s="9"/>
      <c r="BY368" s="9"/>
      <c r="BZ368" s="9"/>
      <c r="CA368" s="9"/>
      <c r="CB368" s="9"/>
      <c r="CC368" s="9"/>
      <c r="CD368" s="9"/>
      <c r="CE368" s="7"/>
      <c r="CF368" s="7"/>
      <c r="CG368" s="7"/>
      <c r="CH368" s="7"/>
      <c r="CI368" s="7"/>
      <c r="CJ368" s="7"/>
      <c r="CK368" s="7"/>
      <c r="CL368" s="7"/>
      <c r="CM368" s="7"/>
      <c r="CN368" s="9"/>
      <c r="CO368" s="7"/>
      <c r="CP368" s="7"/>
      <c r="CQ368" s="7"/>
      <c r="CR368" s="7"/>
    </row>
    <row r="369" customFormat="false" ht="12.75" hidden="false" customHeight="true" outlineLevel="0" collapsed="false">
      <c r="A369" s="7"/>
      <c r="B369" s="7"/>
      <c r="C369" s="8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9"/>
      <c r="AX369" s="9"/>
      <c r="AY369" s="9"/>
      <c r="AZ369" s="9"/>
      <c r="BA369" s="9"/>
      <c r="BB369" s="9"/>
      <c r="BC369" s="9"/>
      <c r="BD369" s="9"/>
      <c r="BE369" s="9"/>
      <c r="BF369" s="9"/>
      <c r="BG369" s="9"/>
      <c r="BH369" s="9"/>
      <c r="BI369" s="9"/>
      <c r="BJ369" s="9"/>
      <c r="BK369" s="9"/>
      <c r="BL369" s="9"/>
      <c r="BM369" s="9"/>
      <c r="BN369" s="9"/>
      <c r="BO369" s="9"/>
      <c r="BP369" s="9"/>
      <c r="BQ369" s="9"/>
      <c r="BR369" s="9"/>
      <c r="BS369" s="9"/>
      <c r="BT369" s="9"/>
      <c r="BU369" s="10"/>
      <c r="BV369" s="9"/>
      <c r="BW369" s="9"/>
      <c r="BX369" s="9"/>
      <c r="BY369" s="9"/>
      <c r="BZ369" s="9"/>
      <c r="CA369" s="9"/>
      <c r="CB369" s="9"/>
      <c r="CC369" s="9"/>
      <c r="CD369" s="9"/>
      <c r="CE369" s="7"/>
      <c r="CF369" s="7"/>
      <c r="CG369" s="7"/>
      <c r="CH369" s="7"/>
      <c r="CI369" s="7"/>
      <c r="CJ369" s="7"/>
      <c r="CK369" s="7"/>
      <c r="CL369" s="7"/>
      <c r="CM369" s="7"/>
      <c r="CN369" s="9"/>
      <c r="CO369" s="7"/>
      <c r="CP369" s="7"/>
      <c r="CQ369" s="7"/>
      <c r="CR369" s="7"/>
    </row>
    <row r="370" customFormat="false" ht="12.75" hidden="false" customHeight="true" outlineLevel="0" collapsed="false">
      <c r="A370" s="7"/>
      <c r="B370" s="7"/>
      <c r="C370" s="8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9"/>
      <c r="AX370" s="9"/>
      <c r="AY370" s="9"/>
      <c r="AZ370" s="9"/>
      <c r="BA370" s="9"/>
      <c r="BB370" s="9"/>
      <c r="BC370" s="9"/>
      <c r="BD370" s="9"/>
      <c r="BE370" s="9"/>
      <c r="BF370" s="9"/>
      <c r="BG370" s="9"/>
      <c r="BH370" s="9"/>
      <c r="BI370" s="9"/>
      <c r="BJ370" s="9"/>
      <c r="BK370" s="9"/>
      <c r="BL370" s="9"/>
      <c r="BM370" s="9"/>
      <c r="BN370" s="9"/>
      <c r="BO370" s="9"/>
      <c r="BP370" s="9"/>
      <c r="BQ370" s="9"/>
      <c r="BR370" s="9"/>
      <c r="BS370" s="9"/>
      <c r="BT370" s="9"/>
      <c r="BU370" s="10"/>
      <c r="BV370" s="9"/>
      <c r="BW370" s="9"/>
      <c r="BX370" s="9"/>
      <c r="BY370" s="9"/>
      <c r="BZ370" s="9"/>
      <c r="CA370" s="9"/>
      <c r="CB370" s="9"/>
      <c r="CC370" s="9"/>
      <c r="CD370" s="9"/>
      <c r="CE370" s="7"/>
      <c r="CF370" s="7"/>
      <c r="CG370" s="7"/>
      <c r="CH370" s="7"/>
      <c r="CI370" s="7"/>
      <c r="CJ370" s="7"/>
      <c r="CK370" s="7"/>
      <c r="CL370" s="7"/>
      <c r="CM370" s="7"/>
      <c r="CN370" s="9"/>
      <c r="CO370" s="7"/>
      <c r="CP370" s="7"/>
      <c r="CQ370" s="7"/>
      <c r="CR370" s="7"/>
    </row>
    <row r="371" customFormat="false" ht="12.75" hidden="false" customHeight="true" outlineLevel="0" collapsed="false">
      <c r="A371" s="7"/>
      <c r="B371" s="7"/>
      <c r="C371" s="8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  <c r="AX371" s="9"/>
      <c r="AY371" s="9"/>
      <c r="AZ371" s="9"/>
      <c r="BA371" s="9"/>
      <c r="BB371" s="9"/>
      <c r="BC371" s="9"/>
      <c r="BD371" s="9"/>
      <c r="BE371" s="9"/>
      <c r="BF371" s="9"/>
      <c r="BG371" s="9"/>
      <c r="BH371" s="9"/>
      <c r="BI371" s="9"/>
      <c r="BJ371" s="9"/>
      <c r="BK371" s="9"/>
      <c r="BL371" s="9"/>
      <c r="BM371" s="9"/>
      <c r="BN371" s="9"/>
      <c r="BO371" s="9"/>
      <c r="BP371" s="9"/>
      <c r="BQ371" s="9"/>
      <c r="BR371" s="9"/>
      <c r="BS371" s="9"/>
      <c r="BT371" s="9"/>
      <c r="BU371" s="10"/>
      <c r="BV371" s="9"/>
      <c r="BW371" s="9"/>
      <c r="BX371" s="9"/>
      <c r="BY371" s="9"/>
      <c r="BZ371" s="9"/>
      <c r="CA371" s="9"/>
      <c r="CB371" s="9"/>
      <c r="CC371" s="9"/>
      <c r="CD371" s="9"/>
      <c r="CE371" s="7"/>
      <c r="CF371" s="7"/>
      <c r="CG371" s="7"/>
      <c r="CH371" s="7"/>
      <c r="CI371" s="7"/>
      <c r="CJ371" s="7"/>
      <c r="CK371" s="7"/>
      <c r="CL371" s="7"/>
      <c r="CM371" s="7"/>
      <c r="CN371" s="9"/>
      <c r="CO371" s="7"/>
      <c r="CP371" s="7"/>
      <c r="CQ371" s="7"/>
      <c r="CR371" s="7"/>
    </row>
    <row r="372" customFormat="false" ht="12.75" hidden="false" customHeight="true" outlineLevel="0" collapsed="false">
      <c r="A372" s="7"/>
      <c r="B372" s="7"/>
      <c r="C372" s="8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  <c r="AW372" s="9"/>
      <c r="AX372" s="9"/>
      <c r="AY372" s="9"/>
      <c r="AZ372" s="9"/>
      <c r="BA372" s="9"/>
      <c r="BB372" s="9"/>
      <c r="BC372" s="9"/>
      <c r="BD372" s="9"/>
      <c r="BE372" s="9"/>
      <c r="BF372" s="9"/>
      <c r="BG372" s="9"/>
      <c r="BH372" s="9"/>
      <c r="BI372" s="9"/>
      <c r="BJ372" s="9"/>
      <c r="BK372" s="9"/>
      <c r="BL372" s="9"/>
      <c r="BM372" s="9"/>
      <c r="BN372" s="9"/>
      <c r="BO372" s="9"/>
      <c r="BP372" s="9"/>
      <c r="BQ372" s="9"/>
      <c r="BR372" s="9"/>
      <c r="BS372" s="9"/>
      <c r="BT372" s="9"/>
      <c r="BU372" s="10"/>
      <c r="BV372" s="9"/>
      <c r="BW372" s="9"/>
      <c r="BX372" s="9"/>
      <c r="BY372" s="9"/>
      <c r="BZ372" s="9"/>
      <c r="CA372" s="9"/>
      <c r="CB372" s="9"/>
      <c r="CC372" s="9"/>
      <c r="CD372" s="9"/>
      <c r="CE372" s="7"/>
      <c r="CF372" s="7"/>
      <c r="CG372" s="7"/>
      <c r="CH372" s="7"/>
      <c r="CI372" s="7"/>
      <c r="CJ372" s="7"/>
      <c r="CK372" s="7"/>
      <c r="CL372" s="7"/>
      <c r="CM372" s="7"/>
      <c r="CN372" s="9"/>
      <c r="CO372" s="7"/>
      <c r="CP372" s="7"/>
      <c r="CQ372" s="7"/>
      <c r="CR372" s="7"/>
    </row>
    <row r="373" customFormat="false" ht="12.75" hidden="false" customHeight="true" outlineLevel="0" collapsed="false">
      <c r="A373" s="7"/>
      <c r="B373" s="7"/>
      <c r="C373" s="8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  <c r="AW373" s="9"/>
      <c r="AX373" s="9"/>
      <c r="AY373" s="9"/>
      <c r="AZ373" s="9"/>
      <c r="BA373" s="9"/>
      <c r="BB373" s="9"/>
      <c r="BC373" s="9"/>
      <c r="BD373" s="9"/>
      <c r="BE373" s="9"/>
      <c r="BF373" s="9"/>
      <c r="BG373" s="9"/>
      <c r="BH373" s="9"/>
      <c r="BI373" s="9"/>
      <c r="BJ373" s="9"/>
      <c r="BK373" s="9"/>
      <c r="BL373" s="9"/>
      <c r="BM373" s="9"/>
      <c r="BN373" s="9"/>
      <c r="BO373" s="9"/>
      <c r="BP373" s="9"/>
      <c r="BQ373" s="9"/>
      <c r="BR373" s="9"/>
      <c r="BS373" s="9"/>
      <c r="BT373" s="9"/>
      <c r="BU373" s="10"/>
      <c r="BV373" s="9"/>
      <c r="BW373" s="9"/>
      <c r="BX373" s="9"/>
      <c r="BY373" s="9"/>
      <c r="BZ373" s="9"/>
      <c r="CA373" s="9"/>
      <c r="CB373" s="9"/>
      <c r="CC373" s="9"/>
      <c r="CD373" s="9"/>
      <c r="CE373" s="7"/>
      <c r="CF373" s="7"/>
      <c r="CG373" s="7"/>
      <c r="CH373" s="7"/>
      <c r="CI373" s="7"/>
      <c r="CJ373" s="7"/>
      <c r="CK373" s="7"/>
      <c r="CL373" s="7"/>
      <c r="CM373" s="7"/>
      <c r="CN373" s="9"/>
      <c r="CO373" s="7"/>
      <c r="CP373" s="7"/>
      <c r="CQ373" s="7"/>
      <c r="CR373" s="7"/>
    </row>
    <row r="374" customFormat="false" ht="12.75" hidden="false" customHeight="true" outlineLevel="0" collapsed="false">
      <c r="A374" s="7"/>
      <c r="B374" s="7"/>
      <c r="C374" s="8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  <c r="AW374" s="9"/>
      <c r="AX374" s="9"/>
      <c r="AY374" s="9"/>
      <c r="AZ374" s="9"/>
      <c r="BA374" s="9"/>
      <c r="BB374" s="9"/>
      <c r="BC374" s="9"/>
      <c r="BD374" s="9"/>
      <c r="BE374" s="9"/>
      <c r="BF374" s="9"/>
      <c r="BG374" s="9"/>
      <c r="BH374" s="9"/>
      <c r="BI374" s="9"/>
      <c r="BJ374" s="9"/>
      <c r="BK374" s="9"/>
      <c r="BL374" s="9"/>
      <c r="BM374" s="9"/>
      <c r="BN374" s="9"/>
      <c r="BO374" s="9"/>
      <c r="BP374" s="9"/>
      <c r="BQ374" s="9"/>
      <c r="BR374" s="9"/>
      <c r="BS374" s="9"/>
      <c r="BT374" s="9"/>
      <c r="BU374" s="10"/>
      <c r="BV374" s="9"/>
      <c r="BW374" s="9"/>
      <c r="BX374" s="9"/>
      <c r="BY374" s="9"/>
      <c r="BZ374" s="9"/>
      <c r="CA374" s="9"/>
      <c r="CB374" s="9"/>
      <c r="CC374" s="9"/>
      <c r="CD374" s="9"/>
      <c r="CE374" s="7"/>
      <c r="CF374" s="7"/>
      <c r="CG374" s="7"/>
      <c r="CH374" s="7"/>
      <c r="CI374" s="7"/>
      <c r="CJ374" s="7"/>
      <c r="CK374" s="7"/>
      <c r="CL374" s="7"/>
      <c r="CM374" s="7"/>
      <c r="CN374" s="9"/>
      <c r="CO374" s="7"/>
      <c r="CP374" s="7"/>
      <c r="CQ374" s="7"/>
      <c r="CR374" s="7"/>
    </row>
    <row r="375" customFormat="false" ht="12.75" hidden="false" customHeight="true" outlineLevel="0" collapsed="false">
      <c r="A375" s="7"/>
      <c r="B375" s="7"/>
      <c r="C375" s="8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  <c r="AW375" s="9"/>
      <c r="AX375" s="9"/>
      <c r="AY375" s="9"/>
      <c r="AZ375" s="9"/>
      <c r="BA375" s="9"/>
      <c r="BB375" s="9"/>
      <c r="BC375" s="9"/>
      <c r="BD375" s="9"/>
      <c r="BE375" s="9"/>
      <c r="BF375" s="9"/>
      <c r="BG375" s="9"/>
      <c r="BH375" s="9"/>
      <c r="BI375" s="9"/>
      <c r="BJ375" s="9"/>
      <c r="BK375" s="9"/>
      <c r="BL375" s="9"/>
      <c r="BM375" s="9"/>
      <c r="BN375" s="9"/>
      <c r="BO375" s="9"/>
      <c r="BP375" s="9"/>
      <c r="BQ375" s="9"/>
      <c r="BR375" s="9"/>
      <c r="BS375" s="9"/>
      <c r="BT375" s="9"/>
      <c r="BU375" s="10"/>
      <c r="BV375" s="9"/>
      <c r="BW375" s="9"/>
      <c r="BX375" s="9"/>
      <c r="BY375" s="9"/>
      <c r="BZ375" s="9"/>
      <c r="CA375" s="9"/>
      <c r="CB375" s="9"/>
      <c r="CC375" s="9"/>
      <c r="CD375" s="9"/>
      <c r="CE375" s="7"/>
      <c r="CF375" s="7"/>
      <c r="CG375" s="7"/>
      <c r="CH375" s="7"/>
      <c r="CI375" s="7"/>
      <c r="CJ375" s="7"/>
      <c r="CK375" s="7"/>
      <c r="CL375" s="7"/>
      <c r="CM375" s="7"/>
      <c r="CN375" s="9"/>
      <c r="CO375" s="7"/>
      <c r="CP375" s="7"/>
      <c r="CQ375" s="7"/>
      <c r="CR375" s="7"/>
    </row>
    <row r="376" customFormat="false" ht="12.75" hidden="false" customHeight="true" outlineLevel="0" collapsed="false">
      <c r="A376" s="7"/>
      <c r="B376" s="7"/>
      <c r="C376" s="8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9"/>
      <c r="AX376" s="9"/>
      <c r="AY376" s="9"/>
      <c r="AZ376" s="9"/>
      <c r="BA376" s="9"/>
      <c r="BB376" s="9"/>
      <c r="BC376" s="9"/>
      <c r="BD376" s="9"/>
      <c r="BE376" s="9"/>
      <c r="BF376" s="9"/>
      <c r="BG376" s="9"/>
      <c r="BH376" s="9"/>
      <c r="BI376" s="9"/>
      <c r="BJ376" s="9"/>
      <c r="BK376" s="9"/>
      <c r="BL376" s="9"/>
      <c r="BM376" s="9"/>
      <c r="BN376" s="9"/>
      <c r="BO376" s="9"/>
      <c r="BP376" s="9"/>
      <c r="BQ376" s="9"/>
      <c r="BR376" s="9"/>
      <c r="BS376" s="9"/>
      <c r="BT376" s="9"/>
      <c r="BU376" s="10"/>
      <c r="BV376" s="9"/>
      <c r="BW376" s="9"/>
      <c r="BX376" s="9"/>
      <c r="BY376" s="9"/>
      <c r="BZ376" s="9"/>
      <c r="CA376" s="9"/>
      <c r="CB376" s="9"/>
      <c r="CC376" s="9"/>
      <c r="CD376" s="9"/>
      <c r="CE376" s="7"/>
      <c r="CF376" s="7"/>
      <c r="CG376" s="7"/>
      <c r="CH376" s="7"/>
      <c r="CI376" s="7"/>
      <c r="CJ376" s="7"/>
      <c r="CK376" s="7"/>
      <c r="CL376" s="7"/>
      <c r="CM376" s="7"/>
      <c r="CN376" s="9"/>
      <c r="CO376" s="7"/>
      <c r="CP376" s="7"/>
      <c r="CQ376" s="7"/>
      <c r="CR376" s="7"/>
    </row>
    <row r="377" customFormat="false" ht="12.75" hidden="false" customHeight="true" outlineLevel="0" collapsed="false">
      <c r="A377" s="7"/>
      <c r="B377" s="7"/>
      <c r="C377" s="8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9"/>
      <c r="AX377" s="9"/>
      <c r="AY377" s="9"/>
      <c r="AZ377" s="9"/>
      <c r="BA377" s="9"/>
      <c r="BB377" s="9"/>
      <c r="BC377" s="9"/>
      <c r="BD377" s="9"/>
      <c r="BE377" s="9"/>
      <c r="BF377" s="9"/>
      <c r="BG377" s="9"/>
      <c r="BH377" s="9"/>
      <c r="BI377" s="9"/>
      <c r="BJ377" s="9"/>
      <c r="BK377" s="9"/>
      <c r="BL377" s="9"/>
      <c r="BM377" s="9"/>
      <c r="BN377" s="9"/>
      <c r="BO377" s="9"/>
      <c r="BP377" s="9"/>
      <c r="BQ377" s="9"/>
      <c r="BR377" s="9"/>
      <c r="BS377" s="9"/>
      <c r="BT377" s="9"/>
      <c r="BU377" s="10"/>
      <c r="BV377" s="9"/>
      <c r="BW377" s="9"/>
      <c r="BX377" s="9"/>
      <c r="BY377" s="9"/>
      <c r="BZ377" s="9"/>
      <c r="CA377" s="9"/>
      <c r="CB377" s="9"/>
      <c r="CC377" s="9"/>
      <c r="CD377" s="9"/>
      <c r="CE377" s="7"/>
      <c r="CF377" s="7"/>
      <c r="CG377" s="7"/>
      <c r="CH377" s="7"/>
      <c r="CI377" s="7"/>
      <c r="CJ377" s="7"/>
      <c r="CK377" s="7"/>
      <c r="CL377" s="7"/>
      <c r="CM377" s="7"/>
      <c r="CN377" s="9"/>
      <c r="CO377" s="7"/>
      <c r="CP377" s="7"/>
      <c r="CQ377" s="7"/>
      <c r="CR377" s="7"/>
    </row>
    <row r="378" customFormat="false" ht="12.75" hidden="false" customHeight="true" outlineLevel="0" collapsed="false">
      <c r="A378" s="7"/>
      <c r="B378" s="7"/>
      <c r="C378" s="8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  <c r="AW378" s="9"/>
      <c r="AX378" s="9"/>
      <c r="AY378" s="9"/>
      <c r="AZ378" s="9"/>
      <c r="BA378" s="9"/>
      <c r="BB378" s="9"/>
      <c r="BC378" s="9"/>
      <c r="BD378" s="9"/>
      <c r="BE378" s="9"/>
      <c r="BF378" s="9"/>
      <c r="BG378" s="9"/>
      <c r="BH378" s="9"/>
      <c r="BI378" s="9"/>
      <c r="BJ378" s="9"/>
      <c r="BK378" s="9"/>
      <c r="BL378" s="9"/>
      <c r="BM378" s="9"/>
      <c r="BN378" s="9"/>
      <c r="BO378" s="9"/>
      <c r="BP378" s="9"/>
      <c r="BQ378" s="9"/>
      <c r="BR378" s="9"/>
      <c r="BS378" s="9"/>
      <c r="BT378" s="9"/>
      <c r="BU378" s="10"/>
      <c r="BV378" s="9"/>
      <c r="BW378" s="9"/>
      <c r="BX378" s="9"/>
      <c r="BY378" s="9"/>
      <c r="BZ378" s="9"/>
      <c r="CA378" s="9"/>
      <c r="CB378" s="9"/>
      <c r="CC378" s="9"/>
      <c r="CD378" s="9"/>
      <c r="CE378" s="7"/>
      <c r="CF378" s="7"/>
      <c r="CG378" s="7"/>
      <c r="CH378" s="7"/>
      <c r="CI378" s="7"/>
      <c r="CJ378" s="7"/>
      <c r="CK378" s="7"/>
      <c r="CL378" s="7"/>
      <c r="CM378" s="7"/>
      <c r="CN378" s="9"/>
      <c r="CO378" s="7"/>
      <c r="CP378" s="7"/>
      <c r="CQ378" s="7"/>
      <c r="CR378" s="7"/>
    </row>
    <row r="379" customFormat="false" ht="12.75" hidden="false" customHeight="true" outlineLevel="0" collapsed="false">
      <c r="A379" s="7"/>
      <c r="B379" s="7"/>
      <c r="C379" s="8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  <c r="AW379" s="9"/>
      <c r="AX379" s="9"/>
      <c r="AY379" s="9"/>
      <c r="AZ379" s="9"/>
      <c r="BA379" s="9"/>
      <c r="BB379" s="9"/>
      <c r="BC379" s="9"/>
      <c r="BD379" s="9"/>
      <c r="BE379" s="9"/>
      <c r="BF379" s="9"/>
      <c r="BG379" s="9"/>
      <c r="BH379" s="9"/>
      <c r="BI379" s="9"/>
      <c r="BJ379" s="9"/>
      <c r="BK379" s="9"/>
      <c r="BL379" s="9"/>
      <c r="BM379" s="9"/>
      <c r="BN379" s="9"/>
      <c r="BO379" s="9"/>
      <c r="BP379" s="9"/>
      <c r="BQ379" s="9"/>
      <c r="BR379" s="9"/>
      <c r="BS379" s="9"/>
      <c r="BT379" s="9"/>
      <c r="BU379" s="10"/>
      <c r="BV379" s="9"/>
      <c r="BW379" s="9"/>
      <c r="BX379" s="9"/>
      <c r="BY379" s="9"/>
      <c r="BZ379" s="9"/>
      <c r="CA379" s="9"/>
      <c r="CB379" s="9"/>
      <c r="CC379" s="9"/>
      <c r="CD379" s="9"/>
      <c r="CE379" s="7"/>
      <c r="CF379" s="7"/>
      <c r="CG379" s="7"/>
      <c r="CH379" s="7"/>
      <c r="CI379" s="7"/>
      <c r="CJ379" s="7"/>
      <c r="CK379" s="7"/>
      <c r="CL379" s="7"/>
      <c r="CM379" s="7"/>
      <c r="CN379" s="9"/>
      <c r="CO379" s="7"/>
      <c r="CP379" s="7"/>
      <c r="CQ379" s="7"/>
      <c r="CR379" s="7"/>
    </row>
    <row r="380" customFormat="false" ht="12.75" hidden="false" customHeight="true" outlineLevel="0" collapsed="false">
      <c r="A380" s="7"/>
      <c r="B380" s="7"/>
      <c r="C380" s="8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  <c r="AX380" s="9"/>
      <c r="AY380" s="9"/>
      <c r="AZ380" s="9"/>
      <c r="BA380" s="9"/>
      <c r="BB380" s="9"/>
      <c r="BC380" s="9"/>
      <c r="BD380" s="9"/>
      <c r="BE380" s="9"/>
      <c r="BF380" s="9"/>
      <c r="BG380" s="9"/>
      <c r="BH380" s="9"/>
      <c r="BI380" s="9"/>
      <c r="BJ380" s="9"/>
      <c r="BK380" s="9"/>
      <c r="BL380" s="9"/>
      <c r="BM380" s="9"/>
      <c r="BN380" s="9"/>
      <c r="BO380" s="9"/>
      <c r="BP380" s="9"/>
      <c r="BQ380" s="9"/>
      <c r="BR380" s="9"/>
      <c r="BS380" s="9"/>
      <c r="BT380" s="9"/>
      <c r="BU380" s="10"/>
      <c r="BV380" s="9"/>
      <c r="BW380" s="9"/>
      <c r="BX380" s="9"/>
      <c r="BY380" s="9"/>
      <c r="BZ380" s="9"/>
      <c r="CA380" s="9"/>
      <c r="CB380" s="9"/>
      <c r="CC380" s="9"/>
      <c r="CD380" s="9"/>
      <c r="CE380" s="7"/>
      <c r="CF380" s="7"/>
      <c r="CG380" s="7"/>
      <c r="CH380" s="7"/>
      <c r="CI380" s="7"/>
      <c r="CJ380" s="7"/>
      <c r="CK380" s="7"/>
      <c r="CL380" s="7"/>
      <c r="CM380" s="7"/>
      <c r="CN380" s="9"/>
      <c r="CO380" s="7"/>
      <c r="CP380" s="7"/>
      <c r="CQ380" s="7"/>
      <c r="CR380" s="7"/>
    </row>
    <row r="381" customFormat="false" ht="12.75" hidden="false" customHeight="true" outlineLevel="0" collapsed="false">
      <c r="A381" s="7"/>
      <c r="B381" s="7"/>
      <c r="C381" s="8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9"/>
      <c r="AX381" s="9"/>
      <c r="AY381" s="9"/>
      <c r="AZ381" s="9"/>
      <c r="BA381" s="9"/>
      <c r="BB381" s="9"/>
      <c r="BC381" s="9"/>
      <c r="BD381" s="9"/>
      <c r="BE381" s="9"/>
      <c r="BF381" s="9"/>
      <c r="BG381" s="9"/>
      <c r="BH381" s="9"/>
      <c r="BI381" s="9"/>
      <c r="BJ381" s="9"/>
      <c r="BK381" s="9"/>
      <c r="BL381" s="9"/>
      <c r="BM381" s="9"/>
      <c r="BN381" s="9"/>
      <c r="BO381" s="9"/>
      <c r="BP381" s="9"/>
      <c r="BQ381" s="9"/>
      <c r="BR381" s="9"/>
      <c r="BS381" s="9"/>
      <c r="BT381" s="9"/>
      <c r="BU381" s="10"/>
      <c r="BV381" s="9"/>
      <c r="BW381" s="9"/>
      <c r="BX381" s="9"/>
      <c r="BY381" s="9"/>
      <c r="BZ381" s="9"/>
      <c r="CA381" s="9"/>
      <c r="CB381" s="9"/>
      <c r="CC381" s="9"/>
      <c r="CD381" s="9"/>
      <c r="CE381" s="7"/>
      <c r="CF381" s="7"/>
      <c r="CG381" s="7"/>
      <c r="CH381" s="7"/>
      <c r="CI381" s="7"/>
      <c r="CJ381" s="7"/>
      <c r="CK381" s="7"/>
      <c r="CL381" s="7"/>
      <c r="CM381" s="7"/>
      <c r="CN381" s="9"/>
      <c r="CO381" s="7"/>
      <c r="CP381" s="7"/>
      <c r="CQ381" s="7"/>
      <c r="CR381" s="7"/>
    </row>
    <row r="382" customFormat="false" ht="12.75" hidden="false" customHeight="true" outlineLevel="0" collapsed="false">
      <c r="A382" s="7"/>
      <c r="B382" s="7"/>
      <c r="C382" s="8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  <c r="AX382" s="9"/>
      <c r="AY382" s="9"/>
      <c r="AZ382" s="9"/>
      <c r="BA382" s="9"/>
      <c r="BB382" s="9"/>
      <c r="BC382" s="9"/>
      <c r="BD382" s="9"/>
      <c r="BE382" s="9"/>
      <c r="BF382" s="9"/>
      <c r="BG382" s="9"/>
      <c r="BH382" s="9"/>
      <c r="BI382" s="9"/>
      <c r="BJ382" s="9"/>
      <c r="BK382" s="9"/>
      <c r="BL382" s="9"/>
      <c r="BM382" s="9"/>
      <c r="BN382" s="9"/>
      <c r="BO382" s="9"/>
      <c r="BP382" s="9"/>
      <c r="BQ382" s="9"/>
      <c r="BR382" s="9"/>
      <c r="BS382" s="9"/>
      <c r="BT382" s="9"/>
      <c r="BU382" s="10"/>
      <c r="BV382" s="9"/>
      <c r="BW382" s="9"/>
      <c r="BX382" s="9"/>
      <c r="BY382" s="9"/>
      <c r="BZ382" s="9"/>
      <c r="CA382" s="9"/>
      <c r="CB382" s="9"/>
      <c r="CC382" s="9"/>
      <c r="CD382" s="9"/>
      <c r="CE382" s="7"/>
      <c r="CF382" s="7"/>
      <c r="CG382" s="7"/>
      <c r="CH382" s="7"/>
      <c r="CI382" s="7"/>
      <c r="CJ382" s="7"/>
      <c r="CK382" s="7"/>
      <c r="CL382" s="7"/>
      <c r="CM382" s="7"/>
      <c r="CN382" s="9"/>
      <c r="CO382" s="7"/>
      <c r="CP382" s="7"/>
      <c r="CQ382" s="7"/>
      <c r="CR382" s="7"/>
    </row>
    <row r="383" customFormat="false" ht="12.75" hidden="false" customHeight="true" outlineLevel="0" collapsed="false">
      <c r="A383" s="7"/>
      <c r="B383" s="7"/>
      <c r="C383" s="8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  <c r="AX383" s="9"/>
      <c r="AY383" s="9"/>
      <c r="AZ383" s="9"/>
      <c r="BA383" s="9"/>
      <c r="BB383" s="9"/>
      <c r="BC383" s="9"/>
      <c r="BD383" s="9"/>
      <c r="BE383" s="9"/>
      <c r="BF383" s="9"/>
      <c r="BG383" s="9"/>
      <c r="BH383" s="9"/>
      <c r="BI383" s="9"/>
      <c r="BJ383" s="9"/>
      <c r="BK383" s="9"/>
      <c r="BL383" s="9"/>
      <c r="BM383" s="9"/>
      <c r="BN383" s="9"/>
      <c r="BO383" s="9"/>
      <c r="BP383" s="9"/>
      <c r="BQ383" s="9"/>
      <c r="BR383" s="9"/>
      <c r="BS383" s="9"/>
      <c r="BT383" s="9"/>
      <c r="BU383" s="10"/>
      <c r="BV383" s="9"/>
      <c r="BW383" s="9"/>
      <c r="BX383" s="9"/>
      <c r="BY383" s="9"/>
      <c r="BZ383" s="9"/>
      <c r="CA383" s="9"/>
      <c r="CB383" s="9"/>
      <c r="CC383" s="9"/>
      <c r="CD383" s="9"/>
      <c r="CE383" s="7"/>
      <c r="CF383" s="7"/>
      <c r="CG383" s="7"/>
      <c r="CH383" s="7"/>
      <c r="CI383" s="7"/>
      <c r="CJ383" s="7"/>
      <c r="CK383" s="7"/>
      <c r="CL383" s="7"/>
      <c r="CM383" s="7"/>
      <c r="CN383" s="9"/>
      <c r="CO383" s="7"/>
      <c r="CP383" s="7"/>
      <c r="CQ383" s="7"/>
      <c r="CR383" s="7"/>
    </row>
    <row r="384" customFormat="false" ht="12.75" hidden="false" customHeight="true" outlineLevel="0" collapsed="false">
      <c r="A384" s="7"/>
      <c r="B384" s="7"/>
      <c r="C384" s="8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  <c r="AX384" s="9"/>
      <c r="AY384" s="9"/>
      <c r="AZ384" s="9"/>
      <c r="BA384" s="9"/>
      <c r="BB384" s="9"/>
      <c r="BC384" s="9"/>
      <c r="BD384" s="9"/>
      <c r="BE384" s="9"/>
      <c r="BF384" s="9"/>
      <c r="BG384" s="9"/>
      <c r="BH384" s="9"/>
      <c r="BI384" s="9"/>
      <c r="BJ384" s="9"/>
      <c r="BK384" s="9"/>
      <c r="BL384" s="9"/>
      <c r="BM384" s="9"/>
      <c r="BN384" s="9"/>
      <c r="BO384" s="9"/>
      <c r="BP384" s="9"/>
      <c r="BQ384" s="9"/>
      <c r="BR384" s="9"/>
      <c r="BS384" s="9"/>
      <c r="BT384" s="9"/>
      <c r="BU384" s="10"/>
      <c r="BV384" s="9"/>
      <c r="BW384" s="9"/>
      <c r="BX384" s="9"/>
      <c r="BY384" s="9"/>
      <c r="BZ384" s="9"/>
      <c r="CA384" s="9"/>
      <c r="CB384" s="9"/>
      <c r="CC384" s="9"/>
      <c r="CD384" s="9"/>
      <c r="CE384" s="7"/>
      <c r="CF384" s="7"/>
      <c r="CG384" s="7"/>
      <c r="CH384" s="7"/>
      <c r="CI384" s="7"/>
      <c r="CJ384" s="7"/>
      <c r="CK384" s="7"/>
      <c r="CL384" s="7"/>
      <c r="CM384" s="7"/>
      <c r="CN384" s="9"/>
      <c r="CO384" s="7"/>
      <c r="CP384" s="7"/>
      <c r="CQ384" s="7"/>
      <c r="CR384" s="7"/>
    </row>
    <row r="385" customFormat="false" ht="12.75" hidden="false" customHeight="true" outlineLevel="0" collapsed="false">
      <c r="A385" s="7"/>
      <c r="B385" s="7"/>
      <c r="C385" s="8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  <c r="AX385" s="9"/>
      <c r="AY385" s="9"/>
      <c r="AZ385" s="9"/>
      <c r="BA385" s="9"/>
      <c r="BB385" s="9"/>
      <c r="BC385" s="9"/>
      <c r="BD385" s="9"/>
      <c r="BE385" s="9"/>
      <c r="BF385" s="9"/>
      <c r="BG385" s="9"/>
      <c r="BH385" s="9"/>
      <c r="BI385" s="9"/>
      <c r="BJ385" s="9"/>
      <c r="BK385" s="9"/>
      <c r="BL385" s="9"/>
      <c r="BM385" s="9"/>
      <c r="BN385" s="9"/>
      <c r="BO385" s="9"/>
      <c r="BP385" s="9"/>
      <c r="BQ385" s="9"/>
      <c r="BR385" s="9"/>
      <c r="BS385" s="9"/>
      <c r="BT385" s="9"/>
      <c r="BU385" s="10"/>
      <c r="BV385" s="9"/>
      <c r="BW385" s="9"/>
      <c r="BX385" s="9"/>
      <c r="BY385" s="9"/>
      <c r="BZ385" s="9"/>
      <c r="CA385" s="9"/>
      <c r="CB385" s="9"/>
      <c r="CC385" s="9"/>
      <c r="CD385" s="9"/>
      <c r="CE385" s="7"/>
      <c r="CF385" s="7"/>
      <c r="CG385" s="7"/>
      <c r="CH385" s="7"/>
      <c r="CI385" s="7"/>
      <c r="CJ385" s="7"/>
      <c r="CK385" s="7"/>
      <c r="CL385" s="7"/>
      <c r="CM385" s="7"/>
      <c r="CN385" s="9"/>
      <c r="CO385" s="7"/>
      <c r="CP385" s="7"/>
      <c r="CQ385" s="7"/>
      <c r="CR385" s="7"/>
    </row>
    <row r="386" customFormat="false" ht="12.75" hidden="false" customHeight="true" outlineLevel="0" collapsed="false">
      <c r="A386" s="7"/>
      <c r="B386" s="7"/>
      <c r="C386" s="8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  <c r="AX386" s="9"/>
      <c r="AY386" s="9"/>
      <c r="AZ386" s="9"/>
      <c r="BA386" s="9"/>
      <c r="BB386" s="9"/>
      <c r="BC386" s="9"/>
      <c r="BD386" s="9"/>
      <c r="BE386" s="9"/>
      <c r="BF386" s="9"/>
      <c r="BG386" s="9"/>
      <c r="BH386" s="9"/>
      <c r="BI386" s="9"/>
      <c r="BJ386" s="9"/>
      <c r="BK386" s="9"/>
      <c r="BL386" s="9"/>
      <c r="BM386" s="9"/>
      <c r="BN386" s="9"/>
      <c r="BO386" s="9"/>
      <c r="BP386" s="9"/>
      <c r="BQ386" s="9"/>
      <c r="BR386" s="9"/>
      <c r="BS386" s="9"/>
      <c r="BT386" s="9"/>
      <c r="BU386" s="10"/>
      <c r="BV386" s="9"/>
      <c r="BW386" s="9"/>
      <c r="BX386" s="9"/>
      <c r="BY386" s="9"/>
      <c r="BZ386" s="9"/>
      <c r="CA386" s="9"/>
      <c r="CB386" s="9"/>
      <c r="CC386" s="9"/>
      <c r="CD386" s="9"/>
      <c r="CE386" s="7"/>
      <c r="CF386" s="7"/>
      <c r="CG386" s="7"/>
      <c r="CH386" s="7"/>
      <c r="CI386" s="7"/>
      <c r="CJ386" s="7"/>
      <c r="CK386" s="7"/>
      <c r="CL386" s="7"/>
      <c r="CM386" s="7"/>
      <c r="CN386" s="9"/>
      <c r="CO386" s="7"/>
      <c r="CP386" s="7"/>
      <c r="CQ386" s="7"/>
      <c r="CR386" s="7"/>
    </row>
    <row r="387" customFormat="false" ht="12.75" hidden="false" customHeight="true" outlineLevel="0" collapsed="false">
      <c r="A387" s="7"/>
      <c r="B387" s="7"/>
      <c r="C387" s="8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9"/>
      <c r="AX387" s="9"/>
      <c r="AY387" s="9"/>
      <c r="AZ387" s="9"/>
      <c r="BA387" s="9"/>
      <c r="BB387" s="9"/>
      <c r="BC387" s="9"/>
      <c r="BD387" s="9"/>
      <c r="BE387" s="9"/>
      <c r="BF387" s="9"/>
      <c r="BG387" s="9"/>
      <c r="BH387" s="9"/>
      <c r="BI387" s="9"/>
      <c r="BJ387" s="9"/>
      <c r="BK387" s="9"/>
      <c r="BL387" s="9"/>
      <c r="BM387" s="9"/>
      <c r="BN387" s="9"/>
      <c r="BO387" s="9"/>
      <c r="BP387" s="9"/>
      <c r="BQ387" s="9"/>
      <c r="BR387" s="9"/>
      <c r="BS387" s="9"/>
      <c r="BT387" s="9"/>
      <c r="BU387" s="10"/>
      <c r="BV387" s="9"/>
      <c r="BW387" s="9"/>
      <c r="BX387" s="9"/>
      <c r="BY387" s="9"/>
      <c r="BZ387" s="9"/>
      <c r="CA387" s="9"/>
      <c r="CB387" s="9"/>
      <c r="CC387" s="9"/>
      <c r="CD387" s="9"/>
      <c r="CE387" s="7"/>
      <c r="CF387" s="7"/>
      <c r="CG387" s="7"/>
      <c r="CH387" s="7"/>
      <c r="CI387" s="7"/>
      <c r="CJ387" s="7"/>
      <c r="CK387" s="7"/>
      <c r="CL387" s="7"/>
      <c r="CM387" s="7"/>
      <c r="CN387" s="9"/>
      <c r="CO387" s="7"/>
      <c r="CP387" s="7"/>
      <c r="CQ387" s="7"/>
      <c r="CR387" s="7"/>
    </row>
    <row r="388" customFormat="false" ht="12.75" hidden="false" customHeight="true" outlineLevel="0" collapsed="false">
      <c r="A388" s="7"/>
      <c r="B388" s="7"/>
      <c r="C388" s="8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9"/>
      <c r="AX388" s="9"/>
      <c r="AY388" s="9"/>
      <c r="AZ388" s="9"/>
      <c r="BA388" s="9"/>
      <c r="BB388" s="9"/>
      <c r="BC388" s="9"/>
      <c r="BD388" s="9"/>
      <c r="BE388" s="9"/>
      <c r="BF388" s="9"/>
      <c r="BG388" s="9"/>
      <c r="BH388" s="9"/>
      <c r="BI388" s="9"/>
      <c r="BJ388" s="9"/>
      <c r="BK388" s="9"/>
      <c r="BL388" s="9"/>
      <c r="BM388" s="9"/>
      <c r="BN388" s="9"/>
      <c r="BO388" s="9"/>
      <c r="BP388" s="9"/>
      <c r="BQ388" s="9"/>
      <c r="BR388" s="9"/>
      <c r="BS388" s="9"/>
      <c r="BT388" s="9"/>
      <c r="BU388" s="10"/>
      <c r="BV388" s="9"/>
      <c r="BW388" s="9"/>
      <c r="BX388" s="9"/>
      <c r="BY388" s="9"/>
      <c r="BZ388" s="9"/>
      <c r="CA388" s="9"/>
      <c r="CB388" s="9"/>
      <c r="CC388" s="9"/>
      <c r="CD388" s="9"/>
      <c r="CE388" s="7"/>
      <c r="CF388" s="7"/>
      <c r="CG388" s="7"/>
      <c r="CH388" s="7"/>
      <c r="CI388" s="7"/>
      <c r="CJ388" s="7"/>
      <c r="CK388" s="7"/>
      <c r="CL388" s="7"/>
      <c r="CM388" s="7"/>
      <c r="CN388" s="9"/>
      <c r="CO388" s="7"/>
      <c r="CP388" s="7"/>
      <c r="CQ388" s="7"/>
      <c r="CR388" s="7"/>
    </row>
  </sheetData>
  <autoFilter ref="A1:CQ388"/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1287</TotalTime>
  <Application>LibreOffice/25.2.4.3$Windows_X86_64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2025-01-13T21:08:37Z</dcterms:created>
  <dc:creator>Eduardo Scardellato</dc:creator>
  <dc:description/>
  <dc:language>pt-BR</dc:language>
  <cp:lastModifiedBy/>
  <dcterms:modified xsi:type="dcterms:W3CDTF">2025-07-02T16:06:07Z</dcterms:modified>
  <cp:revision>1</cp:revision>
  <dc:subject/>
  <dc:title/>
</cp:coreProperties>
</file>